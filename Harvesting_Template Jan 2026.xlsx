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5533B20-788A-4A06-AFED-0DB1854656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RVESTING INTERVAL-Jan" sheetId="1" r:id="rId1"/>
  </sheets>
  <definedNames>
    <definedName name="_xlnm.Print_Area" localSheetId="0">'HARVESTING INTERVAL-Jan'!$A$1:$AU$82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73" i="1" l="1"/>
  <c r="AS73" i="1"/>
  <c r="AT71" i="1"/>
  <c r="AS71" i="1"/>
  <c r="AT69" i="1"/>
  <c r="AS69" i="1"/>
  <c r="AT67" i="1"/>
  <c r="AS67" i="1"/>
  <c r="AT65" i="1"/>
  <c r="AS65" i="1"/>
  <c r="AT63" i="1"/>
  <c r="AS63" i="1"/>
  <c r="AT61" i="1"/>
  <c r="AS61" i="1"/>
  <c r="AT59" i="1"/>
  <c r="AS59" i="1"/>
  <c r="AT57" i="1"/>
  <c r="AS57" i="1"/>
  <c r="AT55" i="1"/>
  <c r="AS55" i="1"/>
  <c r="AT53" i="1"/>
  <c r="AS53" i="1"/>
  <c r="AT51" i="1"/>
  <c r="AS51" i="1"/>
  <c r="AT49" i="1"/>
  <c r="AS49" i="1"/>
  <c r="AT47" i="1"/>
  <c r="AS47" i="1"/>
  <c r="AT45" i="1"/>
  <c r="AS45" i="1"/>
  <c r="AT43" i="1"/>
  <c r="AS43" i="1"/>
  <c r="AT41" i="1"/>
  <c r="AS41" i="1"/>
  <c r="AT39" i="1"/>
  <c r="AS39" i="1"/>
  <c r="AT37" i="1"/>
  <c r="AS37" i="1"/>
  <c r="AT35" i="1"/>
  <c r="AS35" i="1"/>
  <c r="AT33" i="1"/>
  <c r="AS33" i="1"/>
  <c r="AT31" i="1"/>
  <c r="AS31" i="1"/>
  <c r="AT29" i="1"/>
  <c r="AS29" i="1"/>
  <c r="AT27" i="1"/>
  <c r="AS27" i="1"/>
  <c r="AT25" i="1"/>
  <c r="AS25" i="1"/>
  <c r="AT23" i="1"/>
  <c r="AS23" i="1"/>
  <c r="AT21" i="1"/>
  <c r="AS21" i="1"/>
  <c r="AT19" i="1"/>
  <c r="AS19" i="1"/>
  <c r="AT17" i="1"/>
  <c r="AS17" i="1"/>
  <c r="AT15" i="1"/>
  <c r="AS15" i="1"/>
  <c r="AT13" i="1"/>
  <c r="AS13" i="1"/>
  <c r="AT11" i="1"/>
  <c r="AS11" i="1"/>
  <c r="AT9" i="1"/>
  <c r="AS9" i="1"/>
  <c r="AT7" i="1"/>
  <c r="AS7" i="1"/>
  <c r="AT5" i="1"/>
  <c r="AS5" i="1"/>
  <c r="AI75" i="1" l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AJ73" i="1"/>
  <c r="AJ71" i="1"/>
  <c r="AM69" i="1"/>
  <c r="AK69" i="1"/>
  <c r="AJ69" i="1"/>
  <c r="AM67" i="1"/>
  <c r="AK67" i="1"/>
  <c r="AJ67" i="1"/>
  <c r="AM65" i="1"/>
  <c r="AK65" i="1"/>
  <c r="AJ65" i="1"/>
  <c r="AM63" i="1"/>
  <c r="AK63" i="1"/>
  <c r="AJ63" i="1"/>
  <c r="AM61" i="1"/>
  <c r="AK61" i="1"/>
  <c r="AJ61" i="1"/>
  <c r="AO59" i="1"/>
  <c r="AM59" i="1"/>
  <c r="AK59" i="1"/>
  <c r="AJ59" i="1"/>
  <c r="AM57" i="1"/>
  <c r="AK57" i="1"/>
  <c r="AJ57" i="1"/>
  <c r="AM55" i="1"/>
  <c r="AK55" i="1"/>
  <c r="AJ55" i="1"/>
  <c r="AM53" i="1"/>
  <c r="AK53" i="1"/>
  <c r="AJ53" i="1"/>
  <c r="AM51" i="1"/>
  <c r="AK51" i="1"/>
  <c r="AJ51" i="1"/>
  <c r="AM49" i="1"/>
  <c r="AK49" i="1"/>
  <c r="AJ49" i="1"/>
  <c r="AM47" i="1"/>
  <c r="AK47" i="1"/>
  <c r="AJ47" i="1"/>
  <c r="AM45" i="1"/>
  <c r="AK45" i="1"/>
  <c r="AJ45" i="1"/>
  <c r="AM43" i="1"/>
  <c r="AK43" i="1"/>
  <c r="AJ43" i="1"/>
  <c r="AM41" i="1"/>
  <c r="AK41" i="1"/>
  <c r="AJ41" i="1"/>
  <c r="AM39" i="1"/>
  <c r="AK39" i="1"/>
  <c r="AJ39" i="1"/>
  <c r="AO37" i="1"/>
  <c r="AM37" i="1"/>
  <c r="AK37" i="1"/>
  <c r="AJ37" i="1"/>
  <c r="AO35" i="1"/>
  <c r="AM35" i="1"/>
  <c r="AK35" i="1"/>
  <c r="AJ35" i="1"/>
  <c r="AO33" i="1"/>
  <c r="AM33" i="1"/>
  <c r="AK33" i="1"/>
  <c r="AJ33" i="1"/>
  <c r="AM31" i="1"/>
  <c r="AK31" i="1"/>
  <c r="AJ31" i="1"/>
  <c r="AO29" i="1"/>
  <c r="AM29" i="1"/>
  <c r="AK29" i="1"/>
  <c r="AJ29" i="1"/>
  <c r="AO27" i="1"/>
  <c r="AM27" i="1"/>
  <c r="AK27" i="1"/>
  <c r="AJ27" i="1"/>
  <c r="AO25" i="1"/>
  <c r="AM25" i="1"/>
  <c r="AK25" i="1"/>
  <c r="AJ25" i="1"/>
  <c r="AO23" i="1"/>
  <c r="AM23" i="1"/>
  <c r="AK23" i="1"/>
  <c r="AJ23" i="1"/>
  <c r="AM21" i="1"/>
  <c r="AK21" i="1"/>
  <c r="AJ21" i="1"/>
  <c r="AM19" i="1"/>
  <c r="AK19" i="1"/>
  <c r="AJ19" i="1"/>
  <c r="AK17" i="1"/>
  <c r="AJ17" i="1"/>
  <c r="AM15" i="1"/>
  <c r="AK15" i="1"/>
  <c r="AJ15" i="1"/>
  <c r="AO13" i="1"/>
  <c r="AM13" i="1"/>
  <c r="AK13" i="1"/>
  <c r="AJ13" i="1"/>
  <c r="AM11" i="1"/>
  <c r="AK11" i="1"/>
  <c r="AJ11" i="1"/>
  <c r="AO9" i="1"/>
  <c r="AM9" i="1"/>
  <c r="AK9" i="1"/>
  <c r="AJ9" i="1"/>
  <c r="AM7" i="1"/>
  <c r="AK7" i="1"/>
  <c r="AJ7" i="1"/>
  <c r="AM5" i="1"/>
  <c r="AK5" i="1"/>
  <c r="AJ5" i="1"/>
</calcChain>
</file>

<file path=xl/sharedStrings.xml><?xml version="1.0" encoding="utf-8"?>
<sst xmlns="http://schemas.openxmlformats.org/spreadsheetml/2006/main" count="35" uniqueCount="24">
  <si>
    <t/>
  </si>
  <si>
    <t>MONTH :</t>
  </si>
  <si>
    <t>MARCH</t>
  </si>
  <si>
    <t>GANG</t>
  </si>
  <si>
    <t>YEAR</t>
  </si>
  <si>
    <t xml:space="preserve">BLOCK </t>
  </si>
  <si>
    <t>HA</t>
  </si>
  <si>
    <t>TOTAL MANDAY</t>
  </si>
  <si>
    <t>1ST RD</t>
  </si>
  <si>
    <t>2ND RD</t>
  </si>
  <si>
    <t>3RD RD</t>
  </si>
  <si>
    <t>4TH RD</t>
  </si>
  <si>
    <t>FFB&amp;LF PRODUCTION</t>
  </si>
  <si>
    <t>NO</t>
  </si>
  <si>
    <t>FFB/MT</t>
  </si>
  <si>
    <t>LF/MT</t>
  </si>
  <si>
    <t>YUVENTUS GANG</t>
  </si>
  <si>
    <t>SOFIO MODENTUS MISSA GANG</t>
  </si>
  <si>
    <t>DARSO GANG</t>
  </si>
  <si>
    <t>NU AZANI</t>
  </si>
  <si>
    <t>WENDELINUS</t>
  </si>
  <si>
    <t>26A</t>
  </si>
  <si>
    <t>YUDI</t>
  </si>
  <si>
    <t>TOTAL MANDAYS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</si>
</sst>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8064A2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0" xfId="0" applyFont="1" applyFill="1"/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16" borderId="2" xfId="0" applyFont="1" applyFill="1" applyBorder="1" applyAlignment="1">
      <alignment vertical="center" wrapText="1"/>
    </xf>
    <xf numFmtId="0" fontId="2" fillId="16" borderId="8" xfId="0" applyFont="1" applyFill="1" applyBorder="1" applyAlignment="1">
      <alignment vertical="center" wrapText="1"/>
    </xf>
    <xf numFmtId="0" fontId="2" fillId="16" borderId="6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/>
    <xf numFmtId="1" fontId="1" fillId="0" borderId="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2" fillId="2" borderId="9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X103"/>
  <sheetViews>
    <sheetView tabSelected="1" zoomScale="90" zoomScaleNormal="90" zoomScaleSheetLayoutView="90" workbookViewId="0">
      <pane xSplit="2" ySplit="3" topLeftCell="C59" activePane="bottomRight" state="frozen"/>
      <selection pane="topRight" activeCell="C1" sqref="C1"/>
      <selection pane="bottomLeft" activeCell="A4" sqref="A4"/>
      <selection pane="bottomRight" activeCell="A76" sqref="A76:D76"/>
    </sheetView>
  </sheetViews>
  <sheetFormatPr defaultColWidth="8.85546875" defaultRowHeight="21" x14ac:dyDescent="0.35"/>
  <cols>
    <col min="1" max="1" width="21" style="2" customWidth="1"/>
    <col min="2" max="2" width="8.85546875" style="2" customWidth="1"/>
    <col min="3" max="3" width="8.85546875" style="3" customWidth="1"/>
    <col min="4" max="4" width="12.42578125" style="3" customWidth="1"/>
    <col min="5" max="5" width="7.85546875" style="3" customWidth="1"/>
    <col min="6" max="6" width="7.28515625" style="3" customWidth="1"/>
    <col min="7" max="7" width="7.5703125" style="3" customWidth="1"/>
    <col min="8" max="16" width="7.7109375" style="3" customWidth="1"/>
    <col min="17" max="17" width="6.85546875" style="3" customWidth="1"/>
    <col min="18" max="18" width="7.7109375" style="3" customWidth="1"/>
    <col min="19" max="19" width="6" style="3" customWidth="1"/>
    <col min="20" max="34" width="7.7109375" style="3" customWidth="1"/>
    <col min="35" max="35" width="7.85546875" style="3" customWidth="1"/>
    <col min="36" max="36" width="22" style="3" customWidth="1"/>
    <col min="37" max="38" width="14.85546875" style="2" customWidth="1"/>
    <col min="39" max="40" width="15.42578125" style="2" customWidth="1"/>
    <col min="41" max="42" width="13.7109375" style="2" customWidth="1"/>
    <col min="43" max="44" width="11.140625" style="2" customWidth="1"/>
    <col min="45" max="45" width="19.7109375" style="2" customWidth="1"/>
    <col min="46" max="46" width="22.5703125" style="2" customWidth="1"/>
    <col min="47" max="47" width="8.85546875" style="3" customWidth="1"/>
    <col min="48" max="48" width="11.28515625" style="2" customWidth="1"/>
    <col min="49" max="49" width="8.85546875" style="2" customWidth="1"/>
    <col min="50" max="50" width="12" style="2" bestFit="1" customWidth="1"/>
    <col min="51" max="51" width="10.5703125" style="2" bestFit="1" customWidth="1"/>
    <col min="52" max="52" width="14" style="2" bestFit="1" customWidth="1"/>
    <col min="53" max="53" width="8.85546875" style="2" customWidth="1"/>
    <col min="54" max="16384" width="8.85546875" style="2"/>
  </cols>
  <sheetData>
    <row r="1" spans="1:50" x14ac:dyDescent="0.35">
      <c r="A1" s="83"/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0"/>
      <c r="AL1" s="40"/>
      <c r="AM1" s="40"/>
      <c r="AN1" s="40"/>
      <c r="AO1" s="40"/>
      <c r="AP1" s="40"/>
      <c r="AQ1" s="40"/>
      <c r="AR1" s="1"/>
      <c r="AS1" s="1"/>
      <c r="AT1" s="1"/>
      <c r="AU1" s="2"/>
    </row>
    <row r="2" spans="1:50" ht="26.25" customHeight="1" x14ac:dyDescent="0.4">
      <c r="Q2" s="3" t="s">
        <v>0</v>
      </c>
      <c r="AM2" s="79" t="s">
        <v>1</v>
      </c>
      <c r="AN2" s="80"/>
      <c r="AO2" s="80"/>
      <c r="AP2" s="4"/>
      <c r="AQ2" s="5" t="s">
        <v>2</v>
      </c>
      <c r="AR2" s="5"/>
    </row>
    <row r="3" spans="1:50" ht="83.25" customHeight="1" x14ac:dyDescent="0.35">
      <c r="A3" s="37" t="s">
        <v>3</v>
      </c>
      <c r="B3" s="37" t="s">
        <v>4</v>
      </c>
      <c r="C3" s="6" t="s">
        <v>5</v>
      </c>
      <c r="D3" s="6" t="s">
        <v>6</v>
      </c>
      <c r="E3" s="7">
        <v>1</v>
      </c>
      <c r="F3" s="8">
        <v>2</v>
      </c>
      <c r="G3" s="7">
        <v>3</v>
      </c>
      <c r="H3" s="8">
        <v>4</v>
      </c>
      <c r="I3" s="7">
        <v>5</v>
      </c>
      <c r="J3" s="8">
        <v>6</v>
      </c>
      <c r="K3" s="7">
        <v>7</v>
      </c>
      <c r="L3" s="8">
        <v>8</v>
      </c>
      <c r="M3" s="7">
        <v>9</v>
      </c>
      <c r="N3" s="8">
        <v>10</v>
      </c>
      <c r="O3" s="7">
        <v>11</v>
      </c>
      <c r="P3" s="8">
        <v>12</v>
      </c>
      <c r="Q3" s="7">
        <v>13</v>
      </c>
      <c r="R3" s="8">
        <v>14</v>
      </c>
      <c r="S3" s="7">
        <v>15</v>
      </c>
      <c r="T3" s="8">
        <v>16</v>
      </c>
      <c r="U3" s="7">
        <v>17</v>
      </c>
      <c r="V3" s="8">
        <v>18</v>
      </c>
      <c r="W3" s="7">
        <v>19</v>
      </c>
      <c r="X3" s="8">
        <v>20</v>
      </c>
      <c r="Y3" s="7">
        <v>21</v>
      </c>
      <c r="Z3" s="8">
        <v>22</v>
      </c>
      <c r="AA3" s="7">
        <v>23</v>
      </c>
      <c r="AB3" s="8">
        <v>24</v>
      </c>
      <c r="AC3" s="7">
        <v>25</v>
      </c>
      <c r="AD3" s="8">
        <v>26</v>
      </c>
      <c r="AE3" s="7">
        <v>27</v>
      </c>
      <c r="AF3" s="8">
        <v>28</v>
      </c>
      <c r="AG3" s="7">
        <v>29</v>
      </c>
      <c r="AH3" s="8">
        <v>30</v>
      </c>
      <c r="AI3" s="7">
        <v>31</v>
      </c>
      <c r="AJ3" s="77" t="s">
        <v>7</v>
      </c>
      <c r="AK3" s="42" t="s">
        <v>8</v>
      </c>
      <c r="AL3" s="43"/>
      <c r="AM3" s="65" t="s">
        <v>9</v>
      </c>
      <c r="AN3" s="66"/>
      <c r="AO3" s="73" t="s">
        <v>10</v>
      </c>
      <c r="AP3" s="74"/>
      <c r="AQ3" s="75" t="s">
        <v>11</v>
      </c>
      <c r="AR3" s="76"/>
      <c r="AS3" s="63" t="s">
        <v>12</v>
      </c>
      <c r="AT3" s="64"/>
      <c r="AU3" s="9" t="s">
        <v>5</v>
      </c>
    </row>
    <row r="4" spans="1:50" ht="21.75" customHeight="1" x14ac:dyDescent="0.35">
      <c r="A4" s="39"/>
      <c r="B4" s="39"/>
      <c r="C4" s="10" t="s">
        <v>13</v>
      </c>
      <c r="D4" s="10"/>
      <c r="E4" s="50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11"/>
      <c r="AI4" s="11"/>
      <c r="AJ4" s="78"/>
      <c r="AK4" s="12" t="s">
        <v>14</v>
      </c>
      <c r="AL4" s="12" t="s">
        <v>15</v>
      </c>
      <c r="AM4" s="13" t="s">
        <v>14</v>
      </c>
      <c r="AN4" s="13" t="s">
        <v>15</v>
      </c>
      <c r="AO4" s="14" t="s">
        <v>14</v>
      </c>
      <c r="AP4" s="14" t="s">
        <v>15</v>
      </c>
      <c r="AQ4" s="15" t="s">
        <v>14</v>
      </c>
      <c r="AR4" s="15" t="s">
        <v>15</v>
      </c>
      <c r="AS4" s="16" t="s">
        <v>14</v>
      </c>
      <c r="AT4" s="17" t="s">
        <v>15</v>
      </c>
      <c r="AU4" s="10" t="s">
        <v>13</v>
      </c>
    </row>
    <row r="5" spans="1:50" ht="24" customHeight="1" x14ac:dyDescent="0.35">
      <c r="A5" s="67" t="s">
        <v>16</v>
      </c>
      <c r="B5" s="37">
        <v>2010</v>
      </c>
      <c r="C5" s="37">
        <v>1</v>
      </c>
      <c r="D5" s="6">
        <v>53.2</v>
      </c>
      <c r="E5" s="19">
        <v>11</v>
      </c>
      <c r="F5" s="19">
        <v>12</v>
      </c>
      <c r="G5" s="19">
        <v>13</v>
      </c>
      <c r="H5" s="19">
        <v>14</v>
      </c>
      <c r="I5" s="19">
        <v>15</v>
      </c>
      <c r="J5" s="19">
        <v>16</v>
      </c>
      <c r="K5" s="19">
        <v>17</v>
      </c>
      <c r="L5" s="19">
        <v>18</v>
      </c>
      <c r="M5" s="19">
        <v>19</v>
      </c>
      <c r="N5" s="19">
        <v>20</v>
      </c>
      <c r="O5" s="19">
        <v>21</v>
      </c>
      <c r="P5" s="12">
        <v>1</v>
      </c>
      <c r="Q5" s="12">
        <v>2</v>
      </c>
      <c r="R5" s="12">
        <v>3</v>
      </c>
      <c r="S5" s="12">
        <v>4</v>
      </c>
      <c r="T5" s="19">
        <v>5</v>
      </c>
      <c r="U5" s="12">
        <v>6</v>
      </c>
      <c r="V5" s="19">
        <v>7</v>
      </c>
      <c r="W5" s="19">
        <v>8</v>
      </c>
      <c r="X5" s="19">
        <v>9</v>
      </c>
      <c r="Y5" s="19">
        <v>10</v>
      </c>
      <c r="Z5" s="19">
        <v>11</v>
      </c>
      <c r="AA5" s="19">
        <v>12</v>
      </c>
      <c r="AB5" s="19">
        <v>13</v>
      </c>
      <c r="AC5" s="19">
        <v>14</v>
      </c>
      <c r="AD5" s="13">
        <v>1</v>
      </c>
      <c r="AE5" s="13">
        <v>2</v>
      </c>
      <c r="AF5" s="13">
        <v>3</v>
      </c>
      <c r="AG5" s="13">
        <v>4</v>
      </c>
      <c r="AH5" s="19">
        <v>5</v>
      </c>
      <c r="AI5" s="19">
        <v>6</v>
      </c>
      <c r="AJ5" s="53">
        <f>SUM(D6:AI6)</f>
        <v>80</v>
      </c>
      <c r="AK5" s="44">
        <f>5.4+10.69+13.05+8.95+6.04</f>
        <v>44.13</v>
      </c>
      <c r="AL5" s="44"/>
      <c r="AM5" s="44">
        <f>10.5+3.92+5.73</f>
        <v>20.149999999999999</v>
      </c>
      <c r="AN5" s="44"/>
      <c r="AO5" s="44"/>
      <c r="AP5" s="44"/>
      <c r="AQ5" s="44"/>
      <c r="AR5" s="44"/>
      <c r="AS5" s="84">
        <f>AK5+AM5+AO5+AQ5</f>
        <v>64.28</v>
      </c>
      <c r="AT5" s="84">
        <f t="shared" ref="AT5" si="0">AL5+AN5+AP5+AR5</f>
        <v>0</v>
      </c>
      <c r="AU5" s="59">
        <v>1</v>
      </c>
      <c r="AV5" s="40"/>
      <c r="AW5" s="40"/>
      <c r="AX5" s="41"/>
    </row>
    <row r="6" spans="1:50" ht="24" customHeight="1" x14ac:dyDescent="0.35">
      <c r="A6" s="68"/>
      <c r="B6" s="39"/>
      <c r="C6" s="39"/>
      <c r="D6" s="1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>
        <v>8</v>
      </c>
      <c r="Q6" s="20">
        <v>10</v>
      </c>
      <c r="R6" s="20">
        <v>9</v>
      </c>
      <c r="S6" s="20">
        <v>10</v>
      </c>
      <c r="T6" s="20"/>
      <c r="U6" s="20">
        <v>7</v>
      </c>
      <c r="V6" s="20"/>
      <c r="W6" s="20"/>
      <c r="X6" s="20"/>
      <c r="Y6" s="20"/>
      <c r="Z6" s="20"/>
      <c r="AA6" s="20"/>
      <c r="AB6" s="20"/>
      <c r="AC6" s="20"/>
      <c r="AD6" s="20">
        <v>7</v>
      </c>
      <c r="AE6" s="20">
        <v>9</v>
      </c>
      <c r="AF6" s="20">
        <v>10</v>
      </c>
      <c r="AG6" s="20">
        <v>10</v>
      </c>
      <c r="AH6" s="20"/>
      <c r="AI6" s="20"/>
      <c r="AJ6" s="54"/>
      <c r="AK6" s="44"/>
      <c r="AL6" s="44"/>
      <c r="AM6" s="44"/>
      <c r="AN6" s="44"/>
      <c r="AO6" s="44"/>
      <c r="AP6" s="44"/>
      <c r="AQ6" s="44"/>
      <c r="AR6" s="44"/>
      <c r="AS6" s="84"/>
      <c r="AT6" s="84"/>
      <c r="AU6" s="60"/>
      <c r="AV6" s="40"/>
      <c r="AW6" s="40"/>
      <c r="AX6" s="41"/>
    </row>
    <row r="7" spans="1:50" ht="24" customHeight="1" x14ac:dyDescent="0.35">
      <c r="A7" s="68"/>
      <c r="B7" s="38">
        <v>2010</v>
      </c>
      <c r="C7" s="37">
        <v>3</v>
      </c>
      <c r="D7" s="6">
        <v>69.2</v>
      </c>
      <c r="E7" s="19">
        <v>18</v>
      </c>
      <c r="F7" s="19">
        <v>19</v>
      </c>
      <c r="G7" s="19">
        <v>20</v>
      </c>
      <c r="H7" s="19">
        <v>21</v>
      </c>
      <c r="I7" s="19">
        <v>22</v>
      </c>
      <c r="J7" s="19">
        <v>23</v>
      </c>
      <c r="K7" s="12">
        <v>1</v>
      </c>
      <c r="L7" s="12">
        <v>2</v>
      </c>
      <c r="M7" s="12">
        <v>3</v>
      </c>
      <c r="N7" s="12">
        <v>4</v>
      </c>
      <c r="O7" s="12">
        <v>5</v>
      </c>
      <c r="P7" s="19">
        <v>6</v>
      </c>
      <c r="Q7" s="19">
        <v>7</v>
      </c>
      <c r="R7" s="19">
        <v>8</v>
      </c>
      <c r="S7" s="19">
        <v>9</v>
      </c>
      <c r="T7" s="19">
        <v>10</v>
      </c>
      <c r="U7" s="19">
        <v>11</v>
      </c>
      <c r="V7" s="19">
        <v>12</v>
      </c>
      <c r="W7" s="19">
        <v>13</v>
      </c>
      <c r="X7" s="19">
        <v>14</v>
      </c>
      <c r="Y7" s="19">
        <v>15</v>
      </c>
      <c r="Z7" s="13">
        <v>1</v>
      </c>
      <c r="AA7" s="13">
        <v>2</v>
      </c>
      <c r="AB7" s="13">
        <v>3</v>
      </c>
      <c r="AC7" s="19">
        <v>4</v>
      </c>
      <c r="AD7" s="19">
        <v>5</v>
      </c>
      <c r="AE7" s="19">
        <v>6</v>
      </c>
      <c r="AF7" s="19">
        <v>7</v>
      </c>
      <c r="AG7" s="19">
        <v>8</v>
      </c>
      <c r="AH7" s="19">
        <v>9</v>
      </c>
      <c r="AI7" s="19">
        <v>10</v>
      </c>
      <c r="AJ7" s="53">
        <f>SUM(D8:AI8)</f>
        <v>72</v>
      </c>
      <c r="AK7" s="44">
        <f>5.07+12.97+21+12.67+4.2+5.07</f>
        <v>60.980000000000004</v>
      </c>
      <c r="AL7" s="44"/>
      <c r="AM7" s="44">
        <f>3.75+13.35+3.85+4.33</f>
        <v>25.28</v>
      </c>
      <c r="AN7" s="44"/>
      <c r="AO7" s="44"/>
      <c r="AP7" s="44"/>
      <c r="AQ7" s="44"/>
      <c r="AR7" s="44"/>
      <c r="AS7" s="84">
        <f>AK7+AM7+AO7+AQ7</f>
        <v>86.26</v>
      </c>
      <c r="AT7" s="84">
        <f>AL7+AN7+AP7+AR7</f>
        <v>0</v>
      </c>
      <c r="AU7" s="59">
        <v>3</v>
      </c>
      <c r="AV7" s="40"/>
      <c r="AW7" s="40"/>
      <c r="AX7" s="41"/>
    </row>
    <row r="8" spans="1:50" ht="24" customHeight="1" x14ac:dyDescent="0.35">
      <c r="A8" s="68"/>
      <c r="B8" s="38"/>
      <c r="C8" s="39"/>
      <c r="D8" s="10"/>
      <c r="E8" s="20"/>
      <c r="F8" s="20"/>
      <c r="G8" s="20"/>
      <c r="H8" s="20"/>
      <c r="I8" s="20"/>
      <c r="J8" s="20"/>
      <c r="K8" s="20">
        <v>9</v>
      </c>
      <c r="L8" s="20">
        <v>10</v>
      </c>
      <c r="M8" s="20">
        <v>10</v>
      </c>
      <c r="N8" s="20">
        <v>9</v>
      </c>
      <c r="O8" s="20">
        <v>10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>
        <v>5</v>
      </c>
      <c r="AA8" s="20">
        <v>9</v>
      </c>
      <c r="AB8" s="20">
        <v>10</v>
      </c>
      <c r="AC8" s="20"/>
      <c r="AD8" s="20"/>
      <c r="AE8" s="20"/>
      <c r="AF8" s="20"/>
      <c r="AG8" s="20"/>
      <c r="AH8" s="20"/>
      <c r="AI8" s="20"/>
      <c r="AJ8" s="54"/>
      <c r="AK8" s="44"/>
      <c r="AL8" s="44"/>
      <c r="AM8" s="44"/>
      <c r="AN8" s="44"/>
      <c r="AO8" s="44"/>
      <c r="AP8" s="44"/>
      <c r="AQ8" s="44"/>
      <c r="AR8" s="44"/>
      <c r="AS8" s="84"/>
      <c r="AT8" s="84"/>
      <c r="AU8" s="60"/>
      <c r="AV8" s="40"/>
      <c r="AW8" s="40"/>
      <c r="AX8" s="41"/>
    </row>
    <row r="9" spans="1:50" ht="24" customHeight="1" x14ac:dyDescent="0.35">
      <c r="A9" s="68"/>
      <c r="B9" s="38">
        <v>2011</v>
      </c>
      <c r="C9" s="37">
        <v>14</v>
      </c>
      <c r="D9" s="6">
        <v>41.6</v>
      </c>
      <c r="E9" s="19">
        <v>2</v>
      </c>
      <c r="F9" s="19">
        <v>3</v>
      </c>
      <c r="G9" s="12">
        <v>4</v>
      </c>
      <c r="H9" s="12">
        <v>5</v>
      </c>
      <c r="I9" s="12">
        <v>6</v>
      </c>
      <c r="J9" s="12">
        <v>7</v>
      </c>
      <c r="K9" s="19">
        <v>8</v>
      </c>
      <c r="L9" s="19">
        <v>9</v>
      </c>
      <c r="M9" s="19">
        <v>10</v>
      </c>
      <c r="N9" s="19">
        <v>11</v>
      </c>
      <c r="O9" s="19">
        <v>12</v>
      </c>
      <c r="P9" s="19">
        <v>13</v>
      </c>
      <c r="Q9" s="19">
        <v>14</v>
      </c>
      <c r="R9" s="19">
        <v>15</v>
      </c>
      <c r="S9" s="19">
        <v>16</v>
      </c>
      <c r="T9" s="19">
        <v>17</v>
      </c>
      <c r="U9" s="19">
        <v>18</v>
      </c>
      <c r="V9" s="13">
        <v>1</v>
      </c>
      <c r="W9" s="13">
        <v>2</v>
      </c>
      <c r="X9" s="13">
        <v>3</v>
      </c>
      <c r="Y9" s="13">
        <v>4</v>
      </c>
      <c r="Z9" s="13">
        <v>5</v>
      </c>
      <c r="AA9" s="19">
        <v>6</v>
      </c>
      <c r="AB9" s="19">
        <v>7</v>
      </c>
      <c r="AC9" s="19">
        <v>8</v>
      </c>
      <c r="AD9" s="19">
        <v>9</v>
      </c>
      <c r="AE9" s="19">
        <v>10</v>
      </c>
      <c r="AF9" s="19">
        <v>11</v>
      </c>
      <c r="AG9" s="19">
        <v>12</v>
      </c>
      <c r="AH9" s="19">
        <v>13</v>
      </c>
      <c r="AI9" s="14">
        <v>1</v>
      </c>
      <c r="AJ9" s="53">
        <f>SUM(D10:AI10)</f>
        <v>77</v>
      </c>
      <c r="AK9" s="44">
        <f>3.86+4.98+4.9+15.13+12.78</f>
        <v>41.65</v>
      </c>
      <c r="AL9" s="44"/>
      <c r="AM9" s="44">
        <f>3.95+8.2+3.17+2.7</f>
        <v>18.02</v>
      </c>
      <c r="AN9" s="44"/>
      <c r="AO9" s="44">
        <f>2.61</f>
        <v>2.61</v>
      </c>
      <c r="AP9" s="44"/>
      <c r="AQ9" s="44"/>
      <c r="AR9" s="44"/>
      <c r="AS9" s="84">
        <f>AK9+AM9+AO9+AQ9</f>
        <v>62.28</v>
      </c>
      <c r="AT9" s="84">
        <f t="shared" ref="AT9" si="1">AL9+AN9+AP9+AR9</f>
        <v>0</v>
      </c>
      <c r="AU9" s="59">
        <v>14</v>
      </c>
      <c r="AV9" s="40"/>
      <c r="AW9" s="40"/>
      <c r="AX9" s="41"/>
    </row>
    <row r="10" spans="1:50" ht="24" customHeight="1" x14ac:dyDescent="0.35">
      <c r="A10" s="69"/>
      <c r="B10" s="38"/>
      <c r="C10" s="39"/>
      <c r="D10" s="10"/>
      <c r="E10" s="20"/>
      <c r="F10" s="20"/>
      <c r="G10" s="20">
        <v>6</v>
      </c>
      <c r="H10" s="20">
        <v>9</v>
      </c>
      <c r="I10" s="20">
        <v>7</v>
      </c>
      <c r="J10" s="20">
        <v>10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>
        <v>8</v>
      </c>
      <c r="W10" s="20">
        <v>9</v>
      </c>
      <c r="X10" s="20">
        <v>9</v>
      </c>
      <c r="Y10" s="20">
        <v>9</v>
      </c>
      <c r="Z10" s="20">
        <v>4</v>
      </c>
      <c r="AA10" s="20"/>
      <c r="AB10" s="20"/>
      <c r="AC10" s="20"/>
      <c r="AD10" s="20"/>
      <c r="AE10" s="20"/>
      <c r="AF10" s="20"/>
      <c r="AG10" s="20"/>
      <c r="AH10" s="20"/>
      <c r="AI10" s="20">
        <v>6</v>
      </c>
      <c r="AJ10" s="54"/>
      <c r="AK10" s="44"/>
      <c r="AL10" s="44"/>
      <c r="AM10" s="44"/>
      <c r="AN10" s="44"/>
      <c r="AO10" s="44"/>
      <c r="AP10" s="44"/>
      <c r="AQ10" s="44"/>
      <c r="AR10" s="44"/>
      <c r="AS10" s="84"/>
      <c r="AT10" s="84"/>
      <c r="AU10" s="60"/>
      <c r="AV10" s="40"/>
      <c r="AW10" s="40"/>
      <c r="AX10" s="41"/>
    </row>
    <row r="11" spans="1:50" ht="24" customHeight="1" x14ac:dyDescent="0.35">
      <c r="A11" s="68" t="s">
        <v>17</v>
      </c>
      <c r="B11" s="37">
        <v>2010</v>
      </c>
      <c r="C11" s="37">
        <v>4</v>
      </c>
      <c r="D11" s="6">
        <v>70.599999999999994</v>
      </c>
      <c r="E11" s="19">
        <v>21</v>
      </c>
      <c r="F11" s="19">
        <v>22</v>
      </c>
      <c r="G11" s="19">
        <v>23</v>
      </c>
      <c r="H11" s="19">
        <v>24</v>
      </c>
      <c r="I11" s="12">
        <v>1</v>
      </c>
      <c r="J11" s="12">
        <v>2</v>
      </c>
      <c r="K11" s="12">
        <v>3</v>
      </c>
      <c r="L11" s="19">
        <v>4</v>
      </c>
      <c r="M11" s="19">
        <v>5</v>
      </c>
      <c r="N11" s="19">
        <v>6</v>
      </c>
      <c r="O11" s="19">
        <v>7</v>
      </c>
      <c r="P11" s="19">
        <v>8</v>
      </c>
      <c r="Q11" s="19">
        <v>9</v>
      </c>
      <c r="R11" s="19">
        <v>10</v>
      </c>
      <c r="S11" s="19">
        <v>11</v>
      </c>
      <c r="T11" s="19">
        <v>12</v>
      </c>
      <c r="U11" s="19">
        <v>13</v>
      </c>
      <c r="V11" s="19">
        <v>14</v>
      </c>
      <c r="W11" s="13">
        <v>1</v>
      </c>
      <c r="X11" s="13">
        <v>2</v>
      </c>
      <c r="Y11" s="19">
        <v>3</v>
      </c>
      <c r="Z11" s="19">
        <v>4</v>
      </c>
      <c r="AA11" s="19">
        <v>5</v>
      </c>
      <c r="AB11" s="19">
        <v>6</v>
      </c>
      <c r="AC11" s="19">
        <v>7</v>
      </c>
      <c r="AD11" s="19">
        <v>8</v>
      </c>
      <c r="AE11" s="19">
        <v>9</v>
      </c>
      <c r="AF11" s="19">
        <v>10</v>
      </c>
      <c r="AG11" s="19">
        <v>11</v>
      </c>
      <c r="AH11" s="19">
        <v>12</v>
      </c>
      <c r="AI11" s="19">
        <v>13</v>
      </c>
      <c r="AJ11" s="53">
        <f>SUM(D12:AI12)</f>
        <v>59</v>
      </c>
      <c r="AK11" s="44">
        <f>11.23+14.86+15.85+14.07</f>
        <v>56.01</v>
      </c>
      <c r="AL11" s="44"/>
      <c r="AM11" s="44">
        <f>3.96+6.87+4.07</f>
        <v>14.9</v>
      </c>
      <c r="AN11" s="44"/>
      <c r="AO11" s="44"/>
      <c r="AP11" s="44"/>
      <c r="AQ11" s="44"/>
      <c r="AR11" s="44"/>
      <c r="AS11" s="84">
        <f>AK11+AM11+AO11+AQ11</f>
        <v>70.91</v>
      </c>
      <c r="AT11" s="84">
        <f t="shared" ref="AT11" si="2">AL11+AN11+AP11+AR11</f>
        <v>0</v>
      </c>
      <c r="AU11" s="45">
        <v>4</v>
      </c>
      <c r="AV11" s="40"/>
      <c r="AW11" s="40"/>
      <c r="AX11" s="41"/>
    </row>
    <row r="12" spans="1:50" ht="24" customHeight="1" x14ac:dyDescent="0.35">
      <c r="A12" s="68"/>
      <c r="B12" s="38"/>
      <c r="C12" s="39"/>
      <c r="D12" s="10"/>
      <c r="E12" s="20"/>
      <c r="F12" s="20"/>
      <c r="G12" s="20"/>
      <c r="H12" s="20"/>
      <c r="I12" s="20">
        <v>12</v>
      </c>
      <c r="J12" s="20">
        <v>12</v>
      </c>
      <c r="K12" s="20">
        <v>11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>
        <v>12</v>
      </c>
      <c r="X12" s="20">
        <v>12</v>
      </c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54"/>
      <c r="AK12" s="44"/>
      <c r="AL12" s="44"/>
      <c r="AM12" s="44"/>
      <c r="AN12" s="44"/>
      <c r="AO12" s="44"/>
      <c r="AP12" s="44"/>
      <c r="AQ12" s="44"/>
      <c r="AR12" s="44"/>
      <c r="AS12" s="85"/>
      <c r="AT12" s="84"/>
      <c r="AU12" s="46"/>
      <c r="AV12" s="40"/>
      <c r="AW12" s="40"/>
      <c r="AX12" s="41"/>
    </row>
    <row r="13" spans="1:50" ht="24" customHeight="1" x14ac:dyDescent="0.35">
      <c r="A13" s="68"/>
      <c r="B13" s="38">
        <v>2010</v>
      </c>
      <c r="C13" s="37">
        <v>5</v>
      </c>
      <c r="D13" s="6">
        <v>54.3</v>
      </c>
      <c r="E13" s="19">
        <v>4</v>
      </c>
      <c r="F13" s="19">
        <v>5</v>
      </c>
      <c r="G13" s="12">
        <v>6</v>
      </c>
      <c r="H13" s="19">
        <v>7</v>
      </c>
      <c r="I13" s="19">
        <v>8</v>
      </c>
      <c r="J13" s="19">
        <v>9</v>
      </c>
      <c r="K13" s="19">
        <v>10</v>
      </c>
      <c r="L13" s="19">
        <v>11</v>
      </c>
      <c r="M13" s="19">
        <v>12</v>
      </c>
      <c r="N13" s="19">
        <v>13</v>
      </c>
      <c r="O13" s="19">
        <v>14</v>
      </c>
      <c r="P13" s="19">
        <v>15</v>
      </c>
      <c r="Q13" s="19">
        <v>16</v>
      </c>
      <c r="R13" s="19">
        <v>17</v>
      </c>
      <c r="S13" s="13">
        <v>1</v>
      </c>
      <c r="T13" s="19">
        <v>2</v>
      </c>
      <c r="U13" s="13">
        <v>3</v>
      </c>
      <c r="V13" s="13">
        <v>4</v>
      </c>
      <c r="W13" s="19">
        <v>5</v>
      </c>
      <c r="X13" s="19">
        <v>6</v>
      </c>
      <c r="Y13" s="19">
        <v>7</v>
      </c>
      <c r="Z13" s="19">
        <v>8</v>
      </c>
      <c r="AA13" s="19">
        <v>9</v>
      </c>
      <c r="AB13" s="19">
        <v>10</v>
      </c>
      <c r="AC13" s="19">
        <v>11</v>
      </c>
      <c r="AD13" s="19">
        <v>12</v>
      </c>
      <c r="AE13" s="14">
        <v>1</v>
      </c>
      <c r="AF13" s="19">
        <v>2</v>
      </c>
      <c r="AG13" s="19">
        <v>3</v>
      </c>
      <c r="AH13" s="19">
        <v>4</v>
      </c>
      <c r="AI13" s="19">
        <v>5</v>
      </c>
      <c r="AJ13" s="48">
        <f>SUM(D14:AI14)</f>
        <v>52</v>
      </c>
      <c r="AK13" s="44">
        <f>7.42+3.9+4.38</f>
        <v>15.7</v>
      </c>
      <c r="AL13" s="44"/>
      <c r="AM13" s="44">
        <f>10.87+9.81</f>
        <v>20.68</v>
      </c>
      <c r="AN13" s="44"/>
      <c r="AO13" s="44">
        <f>2.51</f>
        <v>2.5099999999999998</v>
      </c>
      <c r="AP13" s="44"/>
      <c r="AQ13" s="44"/>
      <c r="AR13" s="44"/>
      <c r="AS13" s="84">
        <f>AK13+AM13+AO13+AQ13</f>
        <v>38.889999999999993</v>
      </c>
      <c r="AT13" s="84">
        <f t="shared" ref="AT13" si="3">AL13+AN13+AP13+AR13</f>
        <v>0</v>
      </c>
      <c r="AU13" s="45">
        <v>5</v>
      </c>
      <c r="AV13" s="40"/>
      <c r="AW13" s="40"/>
      <c r="AX13" s="41"/>
    </row>
    <row r="14" spans="1:50" ht="24" customHeight="1" x14ac:dyDescent="0.35">
      <c r="A14" s="68"/>
      <c r="B14" s="38"/>
      <c r="C14" s="39"/>
      <c r="D14" s="10"/>
      <c r="E14" s="20"/>
      <c r="F14" s="20"/>
      <c r="G14" s="20">
        <v>10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>
        <v>6</v>
      </c>
      <c r="T14" s="20"/>
      <c r="U14" s="20">
        <v>12</v>
      </c>
      <c r="V14" s="20">
        <v>12</v>
      </c>
      <c r="W14" s="20"/>
      <c r="X14" s="20"/>
      <c r="Y14" s="20"/>
      <c r="Z14" s="20"/>
      <c r="AA14" s="20"/>
      <c r="AB14" s="20"/>
      <c r="AC14" s="20"/>
      <c r="AD14" s="20"/>
      <c r="AE14" s="20">
        <v>12</v>
      </c>
      <c r="AF14" s="20"/>
      <c r="AG14" s="20"/>
      <c r="AH14" s="20"/>
      <c r="AI14" s="20"/>
      <c r="AJ14" s="49"/>
      <c r="AK14" s="44"/>
      <c r="AL14" s="44"/>
      <c r="AM14" s="44"/>
      <c r="AN14" s="44"/>
      <c r="AO14" s="44"/>
      <c r="AP14" s="44"/>
      <c r="AQ14" s="44"/>
      <c r="AR14" s="44"/>
      <c r="AS14" s="84"/>
      <c r="AT14" s="84"/>
      <c r="AU14" s="46"/>
      <c r="AV14" s="40"/>
      <c r="AW14" s="40"/>
      <c r="AX14" s="41"/>
    </row>
    <row r="15" spans="1:50" ht="24" customHeight="1" x14ac:dyDescent="0.35">
      <c r="A15" s="68"/>
      <c r="B15" s="38">
        <v>2010</v>
      </c>
      <c r="C15" s="37">
        <v>6</v>
      </c>
      <c r="D15" s="6">
        <v>58.6</v>
      </c>
      <c r="E15" s="19">
        <v>10</v>
      </c>
      <c r="F15" s="19">
        <v>11</v>
      </c>
      <c r="G15" s="19">
        <v>12</v>
      </c>
      <c r="H15" s="19">
        <v>13</v>
      </c>
      <c r="I15" s="19">
        <v>14</v>
      </c>
      <c r="J15" s="19">
        <v>15</v>
      </c>
      <c r="K15" s="19">
        <v>16</v>
      </c>
      <c r="L15" s="19">
        <v>17</v>
      </c>
      <c r="M15" s="19">
        <v>18</v>
      </c>
      <c r="N15" s="19">
        <v>19</v>
      </c>
      <c r="O15" s="19">
        <v>20</v>
      </c>
      <c r="P15" s="12">
        <v>1</v>
      </c>
      <c r="Q15" s="12">
        <v>2</v>
      </c>
      <c r="R15" s="12">
        <v>3</v>
      </c>
      <c r="S15" s="12">
        <v>4</v>
      </c>
      <c r="T15" s="19">
        <v>5</v>
      </c>
      <c r="U15" s="19">
        <v>6</v>
      </c>
      <c r="V15" s="19">
        <v>7</v>
      </c>
      <c r="W15" s="19">
        <v>8</v>
      </c>
      <c r="X15" s="19">
        <v>9</v>
      </c>
      <c r="Y15" s="19">
        <v>10</v>
      </c>
      <c r="Z15" s="19">
        <v>11</v>
      </c>
      <c r="AA15" s="13">
        <v>1</v>
      </c>
      <c r="AB15" s="13">
        <v>2</v>
      </c>
      <c r="AC15" s="19">
        <v>3</v>
      </c>
      <c r="AD15" s="13">
        <v>4</v>
      </c>
      <c r="AE15" s="19">
        <v>5</v>
      </c>
      <c r="AF15" s="19">
        <v>6</v>
      </c>
      <c r="AG15" s="19">
        <v>7</v>
      </c>
      <c r="AH15" s="19">
        <v>8</v>
      </c>
      <c r="AI15" s="19">
        <v>9</v>
      </c>
      <c r="AJ15" s="48">
        <f>SUM(D16:AI16)</f>
        <v>71</v>
      </c>
      <c r="AK15" s="44">
        <f>15.06+4.57+4.07+12.22+4.38</f>
        <v>40.300000000000004</v>
      </c>
      <c r="AL15" s="44"/>
      <c r="AM15" s="44">
        <f>4.3+7.9+3.79</f>
        <v>15.989999999999998</v>
      </c>
      <c r="AN15" s="44"/>
      <c r="AO15" s="44"/>
      <c r="AP15" s="44"/>
      <c r="AQ15" s="44"/>
      <c r="AR15" s="44"/>
      <c r="AS15" s="84">
        <f>AK15+AM15+AO15+AQ15</f>
        <v>56.290000000000006</v>
      </c>
      <c r="AT15" s="84">
        <f t="shared" ref="AT15" si="4">AL15+AN15+AP15+AR15</f>
        <v>0</v>
      </c>
      <c r="AU15" s="45">
        <v>6</v>
      </c>
      <c r="AV15" s="40"/>
      <c r="AW15" s="40"/>
      <c r="AX15" s="41"/>
    </row>
    <row r="16" spans="1:50" ht="24" customHeight="1" x14ac:dyDescent="0.35">
      <c r="A16" s="68"/>
      <c r="B16" s="38"/>
      <c r="C16" s="39"/>
      <c r="D16" s="1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>
        <v>12</v>
      </c>
      <c r="Q16" s="20">
        <v>11</v>
      </c>
      <c r="R16" s="20">
        <v>12</v>
      </c>
      <c r="S16" s="20">
        <v>6</v>
      </c>
      <c r="T16" s="20"/>
      <c r="U16" s="20"/>
      <c r="V16" s="20"/>
      <c r="W16" s="20"/>
      <c r="X16" s="20"/>
      <c r="Y16" s="20"/>
      <c r="Z16" s="20"/>
      <c r="AA16" s="20">
        <v>6</v>
      </c>
      <c r="AB16" s="20">
        <v>12</v>
      </c>
      <c r="AC16" s="20"/>
      <c r="AD16" s="20">
        <v>12</v>
      </c>
      <c r="AE16" s="20"/>
      <c r="AF16" s="20"/>
      <c r="AG16" s="20"/>
      <c r="AH16" s="20"/>
      <c r="AI16" s="20"/>
      <c r="AJ16" s="49"/>
      <c r="AK16" s="44"/>
      <c r="AL16" s="44"/>
      <c r="AM16" s="44"/>
      <c r="AN16" s="44"/>
      <c r="AO16" s="44"/>
      <c r="AP16" s="44"/>
      <c r="AQ16" s="44"/>
      <c r="AR16" s="44"/>
      <c r="AS16" s="84"/>
      <c r="AT16" s="84"/>
      <c r="AU16" s="46"/>
      <c r="AV16" s="40"/>
      <c r="AW16" s="40"/>
      <c r="AX16" s="41"/>
    </row>
    <row r="17" spans="1:50" ht="24" customHeight="1" x14ac:dyDescent="0.35">
      <c r="A17" s="68"/>
      <c r="B17" s="38">
        <v>2010</v>
      </c>
      <c r="C17" s="37">
        <v>7</v>
      </c>
      <c r="D17" s="6">
        <v>23.6</v>
      </c>
      <c r="E17" s="19">
        <v>21</v>
      </c>
      <c r="F17" s="19">
        <v>22</v>
      </c>
      <c r="G17" s="19">
        <v>23</v>
      </c>
      <c r="H17" s="12">
        <v>1</v>
      </c>
      <c r="I17" s="19">
        <v>2</v>
      </c>
      <c r="J17" s="19">
        <v>3</v>
      </c>
      <c r="K17" s="19">
        <v>4</v>
      </c>
      <c r="L17" s="19">
        <v>5</v>
      </c>
      <c r="M17" s="19">
        <v>6</v>
      </c>
      <c r="N17" s="19">
        <v>7</v>
      </c>
      <c r="O17" s="19">
        <v>8</v>
      </c>
      <c r="P17" s="19">
        <v>9</v>
      </c>
      <c r="Q17" s="19">
        <v>10</v>
      </c>
      <c r="R17" s="19">
        <v>11</v>
      </c>
      <c r="S17" s="19">
        <v>12</v>
      </c>
      <c r="T17" s="19">
        <v>13</v>
      </c>
      <c r="U17" s="19">
        <v>14</v>
      </c>
      <c r="V17" s="19">
        <v>15</v>
      </c>
      <c r="W17" s="19">
        <v>16</v>
      </c>
      <c r="X17" s="19">
        <v>17</v>
      </c>
      <c r="Y17" s="19">
        <v>18</v>
      </c>
      <c r="Z17" s="19">
        <v>19</v>
      </c>
      <c r="AA17" s="19">
        <v>20</v>
      </c>
      <c r="AB17" s="19">
        <v>21</v>
      </c>
      <c r="AC17" s="19">
        <v>22</v>
      </c>
      <c r="AD17" s="19">
        <v>23</v>
      </c>
      <c r="AE17" s="19">
        <v>24</v>
      </c>
      <c r="AF17" s="19">
        <v>25</v>
      </c>
      <c r="AG17" s="19">
        <v>26</v>
      </c>
      <c r="AH17" s="19">
        <v>27</v>
      </c>
      <c r="AI17" s="19">
        <v>28</v>
      </c>
      <c r="AJ17" s="48">
        <f>SUM(D18:AI18)</f>
        <v>12</v>
      </c>
      <c r="AK17" s="44">
        <f>13.46+11.26</f>
        <v>24.72</v>
      </c>
      <c r="AL17" s="44"/>
      <c r="AM17" s="44"/>
      <c r="AN17" s="44"/>
      <c r="AO17" s="44"/>
      <c r="AP17" s="44"/>
      <c r="AQ17" s="44"/>
      <c r="AR17" s="44"/>
      <c r="AS17" s="84">
        <f>AK17+AM17+AO17+AQ17</f>
        <v>24.72</v>
      </c>
      <c r="AT17" s="84">
        <f t="shared" ref="AT17" si="5">AL17+AN17+AP17+AR17</f>
        <v>0</v>
      </c>
      <c r="AU17" s="45">
        <v>7</v>
      </c>
      <c r="AV17" s="40"/>
      <c r="AW17" s="40"/>
      <c r="AX17" s="41"/>
    </row>
    <row r="18" spans="1:50" ht="24" customHeight="1" x14ac:dyDescent="0.35">
      <c r="A18" s="68"/>
      <c r="B18" s="38"/>
      <c r="C18" s="39"/>
      <c r="D18" s="10"/>
      <c r="E18" s="20"/>
      <c r="F18" s="20"/>
      <c r="G18" s="20"/>
      <c r="H18" s="20">
        <v>12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49"/>
      <c r="AK18" s="44"/>
      <c r="AL18" s="44"/>
      <c r="AM18" s="44"/>
      <c r="AN18" s="44"/>
      <c r="AO18" s="44"/>
      <c r="AP18" s="44"/>
      <c r="AQ18" s="44"/>
      <c r="AR18" s="44"/>
      <c r="AS18" s="84"/>
      <c r="AT18" s="84"/>
      <c r="AU18" s="46"/>
      <c r="AV18" s="40"/>
      <c r="AW18" s="40"/>
      <c r="AX18" s="41"/>
    </row>
    <row r="19" spans="1:50" ht="24" customHeight="1" x14ac:dyDescent="0.35">
      <c r="A19" s="68"/>
      <c r="B19" s="38">
        <v>2010</v>
      </c>
      <c r="C19" s="37">
        <v>23</v>
      </c>
      <c r="D19" s="6">
        <v>14.6</v>
      </c>
      <c r="E19" s="19">
        <v>12</v>
      </c>
      <c r="F19" s="19">
        <v>13</v>
      </c>
      <c r="G19" s="19">
        <v>14</v>
      </c>
      <c r="H19" s="19">
        <v>15</v>
      </c>
      <c r="I19" s="19">
        <v>16</v>
      </c>
      <c r="J19" s="19">
        <v>17</v>
      </c>
      <c r="K19" s="19">
        <v>18</v>
      </c>
      <c r="L19" s="19">
        <v>19</v>
      </c>
      <c r="M19" s="19">
        <v>20</v>
      </c>
      <c r="N19" s="19">
        <v>21</v>
      </c>
      <c r="O19" s="12">
        <v>1</v>
      </c>
      <c r="P19" s="19">
        <v>2</v>
      </c>
      <c r="Q19" s="19">
        <v>3</v>
      </c>
      <c r="R19" s="19">
        <v>4</v>
      </c>
      <c r="S19" s="19">
        <v>5</v>
      </c>
      <c r="T19" s="19">
        <v>6</v>
      </c>
      <c r="U19" s="19">
        <v>7</v>
      </c>
      <c r="V19" s="19">
        <v>8</v>
      </c>
      <c r="W19" s="19">
        <v>9</v>
      </c>
      <c r="X19" s="19">
        <v>10</v>
      </c>
      <c r="Y19" s="19">
        <v>11</v>
      </c>
      <c r="Z19" s="19">
        <v>12</v>
      </c>
      <c r="AA19" s="13">
        <v>1</v>
      </c>
      <c r="AB19" s="19">
        <v>2</v>
      </c>
      <c r="AC19" s="19">
        <v>3</v>
      </c>
      <c r="AD19" s="19">
        <v>4</v>
      </c>
      <c r="AE19" s="19">
        <v>5</v>
      </c>
      <c r="AF19" s="19">
        <v>6</v>
      </c>
      <c r="AG19" s="19">
        <v>7</v>
      </c>
      <c r="AH19" s="19">
        <v>8</v>
      </c>
      <c r="AI19" s="19">
        <v>9</v>
      </c>
      <c r="AJ19" s="53">
        <f>SUM(D20:AI20)</f>
        <v>18</v>
      </c>
      <c r="AK19" s="44">
        <f>13.01+4.36</f>
        <v>17.37</v>
      </c>
      <c r="AL19" s="44"/>
      <c r="AM19" s="44">
        <f>3.79</f>
        <v>3.79</v>
      </c>
      <c r="AN19" s="44"/>
      <c r="AO19" s="44"/>
      <c r="AP19" s="44"/>
      <c r="AQ19" s="44"/>
      <c r="AR19" s="44"/>
      <c r="AS19" s="84">
        <f>AK19+AM19+AO19+AQ19</f>
        <v>21.16</v>
      </c>
      <c r="AT19" s="84">
        <f t="shared" ref="AT19" si="6">AL19+AN19+AP19+AR19</f>
        <v>0</v>
      </c>
      <c r="AU19" s="45">
        <v>23</v>
      </c>
      <c r="AV19" s="40"/>
      <c r="AW19" s="40"/>
      <c r="AX19" s="41"/>
    </row>
    <row r="20" spans="1:50" ht="24" customHeight="1" x14ac:dyDescent="0.35">
      <c r="A20" s="68"/>
      <c r="B20" s="38"/>
      <c r="C20" s="39"/>
      <c r="D20" s="1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>
        <v>12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>
        <v>6</v>
      </c>
      <c r="AB20" s="20"/>
      <c r="AC20" s="20"/>
      <c r="AD20" s="20"/>
      <c r="AE20" s="20"/>
      <c r="AF20" s="20"/>
      <c r="AG20" s="20"/>
      <c r="AH20" s="20"/>
      <c r="AI20" s="20"/>
      <c r="AJ20" s="54"/>
      <c r="AK20" s="44"/>
      <c r="AL20" s="44"/>
      <c r="AM20" s="44"/>
      <c r="AN20" s="44"/>
      <c r="AO20" s="44"/>
      <c r="AP20" s="44"/>
      <c r="AQ20" s="44"/>
      <c r="AR20" s="44"/>
      <c r="AS20" s="84"/>
      <c r="AT20" s="84"/>
      <c r="AU20" s="46"/>
      <c r="AV20" s="40"/>
      <c r="AW20" s="40"/>
      <c r="AX20" s="41"/>
    </row>
    <row r="21" spans="1:50" ht="24" customHeight="1" x14ac:dyDescent="0.35">
      <c r="A21" s="68"/>
      <c r="B21" s="38">
        <v>2012</v>
      </c>
      <c r="C21" s="37">
        <v>24</v>
      </c>
      <c r="D21" s="21">
        <v>44.7</v>
      </c>
      <c r="E21" s="19">
        <v>16</v>
      </c>
      <c r="F21" s="19">
        <v>17</v>
      </c>
      <c r="G21" s="19">
        <v>18</v>
      </c>
      <c r="H21" s="19">
        <v>19</v>
      </c>
      <c r="I21" s="19">
        <v>20</v>
      </c>
      <c r="J21" s="19">
        <v>21</v>
      </c>
      <c r="K21" s="19">
        <v>22</v>
      </c>
      <c r="L21" s="12">
        <v>1</v>
      </c>
      <c r="M21" s="12">
        <v>2</v>
      </c>
      <c r="N21" s="12">
        <v>3</v>
      </c>
      <c r="O21" s="19">
        <v>4</v>
      </c>
      <c r="P21" s="19">
        <v>5</v>
      </c>
      <c r="Q21" s="19">
        <v>6</v>
      </c>
      <c r="R21" s="19">
        <v>7</v>
      </c>
      <c r="S21" s="19">
        <v>8</v>
      </c>
      <c r="T21" s="19">
        <v>9</v>
      </c>
      <c r="U21" s="19">
        <v>10</v>
      </c>
      <c r="V21" s="19">
        <v>11</v>
      </c>
      <c r="W21" s="19">
        <v>12</v>
      </c>
      <c r="X21" s="19">
        <v>13</v>
      </c>
      <c r="Y21" s="13">
        <v>1</v>
      </c>
      <c r="Z21" s="13">
        <v>2</v>
      </c>
      <c r="AA21" s="19">
        <v>3</v>
      </c>
      <c r="AB21" s="19">
        <v>4</v>
      </c>
      <c r="AC21" s="19">
        <v>5</v>
      </c>
      <c r="AD21" s="19">
        <v>6</v>
      </c>
      <c r="AE21" s="19">
        <v>7</v>
      </c>
      <c r="AF21" s="19">
        <v>8</v>
      </c>
      <c r="AG21" s="19">
        <v>9</v>
      </c>
      <c r="AH21" s="19">
        <v>10</v>
      </c>
      <c r="AI21" s="19">
        <v>11</v>
      </c>
      <c r="AJ21" s="48">
        <f>SUM(D22:AI22)</f>
        <v>55</v>
      </c>
      <c r="AK21" s="44">
        <f>7.92+17.09+14.22+3.75</f>
        <v>42.98</v>
      </c>
      <c r="AL21" s="44"/>
      <c r="AM21" s="44">
        <f>7.64+5.68</f>
        <v>13.32</v>
      </c>
      <c r="AN21" s="44"/>
      <c r="AO21" s="44"/>
      <c r="AP21" s="44"/>
      <c r="AQ21" s="44"/>
      <c r="AR21" s="44"/>
      <c r="AS21" s="84">
        <f>AK21+AM21+AO21+AQ21</f>
        <v>56.3</v>
      </c>
      <c r="AT21" s="84">
        <f t="shared" ref="AT21" si="7">AL21+AN21+AP21+AR21</f>
        <v>0</v>
      </c>
      <c r="AU21" s="45">
        <v>24</v>
      </c>
      <c r="AV21" s="40"/>
      <c r="AW21" s="40"/>
      <c r="AX21" s="41"/>
    </row>
    <row r="22" spans="1:50" ht="24" customHeight="1" x14ac:dyDescent="0.35">
      <c r="A22" s="69"/>
      <c r="B22" s="39"/>
      <c r="C22" s="39"/>
      <c r="D22" s="10"/>
      <c r="E22" s="20"/>
      <c r="F22" s="20"/>
      <c r="G22" s="20"/>
      <c r="H22" s="20"/>
      <c r="I22" s="20"/>
      <c r="J22" s="20"/>
      <c r="K22" s="20"/>
      <c r="L22" s="20">
        <v>11</v>
      </c>
      <c r="M22" s="20">
        <v>12</v>
      </c>
      <c r="N22" s="20">
        <v>10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>
        <v>10</v>
      </c>
      <c r="Z22" s="20">
        <v>12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49"/>
      <c r="AK22" s="44"/>
      <c r="AL22" s="44"/>
      <c r="AM22" s="44"/>
      <c r="AN22" s="44"/>
      <c r="AO22" s="44"/>
      <c r="AP22" s="44"/>
      <c r="AQ22" s="44"/>
      <c r="AR22" s="44"/>
      <c r="AS22" s="84"/>
      <c r="AT22" s="84"/>
      <c r="AU22" s="46"/>
      <c r="AV22" s="40"/>
      <c r="AW22" s="40"/>
      <c r="AX22" s="41"/>
    </row>
    <row r="23" spans="1:50" ht="24" customHeight="1" x14ac:dyDescent="0.35">
      <c r="A23" s="68" t="s">
        <v>18</v>
      </c>
      <c r="B23" s="38">
        <v>2011</v>
      </c>
      <c r="C23" s="37">
        <v>15</v>
      </c>
      <c r="D23" s="6">
        <v>49.3</v>
      </c>
      <c r="E23" s="19">
        <v>8</v>
      </c>
      <c r="F23" s="19">
        <v>9</v>
      </c>
      <c r="G23" s="19">
        <v>10</v>
      </c>
      <c r="H23" s="19">
        <v>11</v>
      </c>
      <c r="I23" s="19">
        <v>12</v>
      </c>
      <c r="J23" s="19">
        <v>13</v>
      </c>
      <c r="K23" s="19">
        <v>14</v>
      </c>
      <c r="L23" s="12">
        <v>1</v>
      </c>
      <c r="M23" s="12">
        <v>2</v>
      </c>
      <c r="N23" s="19">
        <v>3</v>
      </c>
      <c r="O23" s="19">
        <v>4</v>
      </c>
      <c r="P23" s="19">
        <v>5</v>
      </c>
      <c r="Q23" s="19">
        <v>6</v>
      </c>
      <c r="R23" s="19">
        <v>7</v>
      </c>
      <c r="S23" s="19">
        <v>8</v>
      </c>
      <c r="T23" s="19">
        <v>9</v>
      </c>
      <c r="U23" s="19">
        <v>10</v>
      </c>
      <c r="V23" s="13">
        <v>1</v>
      </c>
      <c r="W23" s="19">
        <v>2</v>
      </c>
      <c r="X23" s="19">
        <v>3</v>
      </c>
      <c r="Y23" s="19">
        <v>4</v>
      </c>
      <c r="Z23" s="19">
        <v>5</v>
      </c>
      <c r="AA23" s="19">
        <v>6</v>
      </c>
      <c r="AB23" s="19">
        <v>7</v>
      </c>
      <c r="AC23" s="19">
        <v>8</v>
      </c>
      <c r="AD23" s="19">
        <v>9</v>
      </c>
      <c r="AE23" s="19">
        <v>10</v>
      </c>
      <c r="AF23" s="14">
        <v>1</v>
      </c>
      <c r="AG23" s="14">
        <v>2</v>
      </c>
      <c r="AH23" s="19">
        <v>3</v>
      </c>
      <c r="AI23" s="19">
        <v>4</v>
      </c>
      <c r="AJ23" s="53">
        <f>SUM(D24:AI24)</f>
        <v>56</v>
      </c>
      <c r="AK23" s="44">
        <f>3.92+29.46</f>
        <v>33.380000000000003</v>
      </c>
      <c r="AL23" s="44"/>
      <c r="AM23" s="44">
        <f>10.51</f>
        <v>10.51</v>
      </c>
      <c r="AN23" s="44"/>
      <c r="AO23" s="44">
        <f>17.62+2.45</f>
        <v>20.07</v>
      </c>
      <c r="AP23" s="44"/>
      <c r="AQ23" s="44"/>
      <c r="AR23" s="44"/>
      <c r="AS23" s="84">
        <f>AK23+AM23+AO23+AQ23</f>
        <v>63.96</v>
      </c>
      <c r="AT23" s="84">
        <f t="shared" ref="AT23" si="8">AL23+AN23+AP23+AR23</f>
        <v>0</v>
      </c>
      <c r="AU23" s="61">
        <v>15</v>
      </c>
      <c r="AV23" s="40"/>
      <c r="AW23" s="40"/>
      <c r="AX23" s="41"/>
    </row>
    <row r="24" spans="1:50" ht="24" customHeight="1" x14ac:dyDescent="0.35">
      <c r="A24" s="68"/>
      <c r="B24" s="38"/>
      <c r="C24" s="39"/>
      <c r="D24" s="10"/>
      <c r="E24" s="20"/>
      <c r="F24" s="20"/>
      <c r="G24" s="20"/>
      <c r="H24" s="20"/>
      <c r="I24" s="20"/>
      <c r="J24" s="20"/>
      <c r="K24" s="20"/>
      <c r="L24" s="20">
        <v>7</v>
      </c>
      <c r="M24" s="20">
        <v>13</v>
      </c>
      <c r="N24" s="20"/>
      <c r="O24" s="20"/>
      <c r="P24" s="20"/>
      <c r="Q24" s="20"/>
      <c r="R24" s="20"/>
      <c r="S24" s="20"/>
      <c r="T24" s="20"/>
      <c r="U24" s="20"/>
      <c r="V24" s="20">
        <v>15</v>
      </c>
      <c r="W24" s="20"/>
      <c r="X24" s="20"/>
      <c r="Y24" s="20"/>
      <c r="Z24" s="20"/>
      <c r="AA24" s="20"/>
      <c r="AB24" s="20"/>
      <c r="AC24" s="20"/>
      <c r="AD24" s="20"/>
      <c r="AE24" s="20"/>
      <c r="AF24" s="20">
        <v>15</v>
      </c>
      <c r="AG24" s="20">
        <v>6</v>
      </c>
      <c r="AH24" s="20"/>
      <c r="AI24" s="20"/>
      <c r="AJ24" s="54"/>
      <c r="AK24" s="44"/>
      <c r="AL24" s="44"/>
      <c r="AM24" s="44"/>
      <c r="AN24" s="44"/>
      <c r="AO24" s="44"/>
      <c r="AP24" s="44"/>
      <c r="AQ24" s="44"/>
      <c r="AR24" s="44"/>
      <c r="AS24" s="84"/>
      <c r="AT24" s="84"/>
      <c r="AU24" s="62"/>
      <c r="AV24" s="40"/>
      <c r="AW24" s="40"/>
      <c r="AX24" s="41"/>
    </row>
    <row r="25" spans="1:50" ht="24" customHeight="1" x14ac:dyDescent="0.35">
      <c r="A25" s="68"/>
      <c r="B25" s="38">
        <v>2011</v>
      </c>
      <c r="C25" s="37">
        <v>16</v>
      </c>
      <c r="D25" s="6">
        <v>50.4</v>
      </c>
      <c r="E25" s="19">
        <v>11</v>
      </c>
      <c r="F25" s="19">
        <v>12</v>
      </c>
      <c r="G25" s="19">
        <v>13</v>
      </c>
      <c r="H25" s="19">
        <v>14</v>
      </c>
      <c r="I25" s="19">
        <v>15</v>
      </c>
      <c r="J25" s="19">
        <v>16</v>
      </c>
      <c r="K25" s="12">
        <v>1</v>
      </c>
      <c r="L25" s="12">
        <v>2</v>
      </c>
      <c r="M25" s="19">
        <v>3</v>
      </c>
      <c r="N25" s="19">
        <v>4</v>
      </c>
      <c r="O25" s="19">
        <v>5</v>
      </c>
      <c r="P25" s="19">
        <v>6</v>
      </c>
      <c r="Q25" s="19">
        <v>7</v>
      </c>
      <c r="R25" s="19">
        <v>8</v>
      </c>
      <c r="S25" s="19">
        <v>9</v>
      </c>
      <c r="T25" s="19">
        <v>10</v>
      </c>
      <c r="U25" s="13">
        <v>1</v>
      </c>
      <c r="V25" s="19">
        <v>2</v>
      </c>
      <c r="W25" s="19">
        <v>3</v>
      </c>
      <c r="X25" s="19">
        <v>4</v>
      </c>
      <c r="Y25" s="19">
        <v>5</v>
      </c>
      <c r="Z25" s="19">
        <v>6</v>
      </c>
      <c r="AA25" s="19">
        <v>7</v>
      </c>
      <c r="AB25" s="19">
        <v>8</v>
      </c>
      <c r="AC25" s="19">
        <v>9</v>
      </c>
      <c r="AD25" s="19">
        <v>10</v>
      </c>
      <c r="AE25" s="14">
        <v>1</v>
      </c>
      <c r="AF25" s="19">
        <v>2</v>
      </c>
      <c r="AG25" s="19">
        <v>3</v>
      </c>
      <c r="AH25" s="19">
        <v>4</v>
      </c>
      <c r="AI25" s="19">
        <v>5</v>
      </c>
      <c r="AJ25" s="53">
        <f>SUM(D26:AI26)</f>
        <v>51</v>
      </c>
      <c r="AK25" s="44">
        <f>19.35+17.6</f>
        <v>36.950000000000003</v>
      </c>
      <c r="AL25" s="44"/>
      <c r="AM25" s="44">
        <f>21.07</f>
        <v>21.07</v>
      </c>
      <c r="AN25" s="44"/>
      <c r="AO25" s="44">
        <f>15.02+7.19</f>
        <v>22.21</v>
      </c>
      <c r="AP25" s="44"/>
      <c r="AQ25" s="44"/>
      <c r="AR25" s="44"/>
      <c r="AS25" s="84">
        <f>AK25+AM25+AO25+AQ25</f>
        <v>80.23</v>
      </c>
      <c r="AT25" s="84">
        <f t="shared" ref="AT25" si="9">AL25+AN25+AP25+AR25</f>
        <v>0</v>
      </c>
      <c r="AU25" s="61">
        <v>16</v>
      </c>
      <c r="AV25" s="40"/>
      <c r="AW25" s="40"/>
      <c r="AX25" s="41"/>
    </row>
    <row r="26" spans="1:50" ht="24" customHeight="1" x14ac:dyDescent="0.35">
      <c r="A26" s="68"/>
      <c r="B26" s="38"/>
      <c r="C26" s="39"/>
      <c r="D26" s="10"/>
      <c r="E26" s="20"/>
      <c r="F26" s="20"/>
      <c r="G26" s="20"/>
      <c r="H26" s="20"/>
      <c r="I26" s="20"/>
      <c r="J26" s="20"/>
      <c r="K26" s="20">
        <v>13</v>
      </c>
      <c r="L26" s="20">
        <v>6</v>
      </c>
      <c r="M26" s="20"/>
      <c r="N26" s="20"/>
      <c r="O26" s="20"/>
      <c r="P26" s="20"/>
      <c r="Q26" s="20"/>
      <c r="R26" s="20"/>
      <c r="S26" s="20"/>
      <c r="T26" s="20"/>
      <c r="U26" s="20">
        <v>16</v>
      </c>
      <c r="V26" s="20"/>
      <c r="W26" s="20"/>
      <c r="X26" s="20"/>
      <c r="Y26" s="20"/>
      <c r="Z26" s="20"/>
      <c r="AA26" s="20"/>
      <c r="AB26" s="20"/>
      <c r="AC26" s="20"/>
      <c r="AD26" s="20"/>
      <c r="AE26" s="20">
        <v>16</v>
      </c>
      <c r="AF26" s="20"/>
      <c r="AG26" s="20"/>
      <c r="AH26" s="20"/>
      <c r="AI26" s="20"/>
      <c r="AJ26" s="54"/>
      <c r="AK26" s="44"/>
      <c r="AL26" s="44"/>
      <c r="AM26" s="44"/>
      <c r="AN26" s="44"/>
      <c r="AO26" s="44"/>
      <c r="AP26" s="44"/>
      <c r="AQ26" s="44"/>
      <c r="AR26" s="44"/>
      <c r="AS26" s="84"/>
      <c r="AT26" s="84"/>
      <c r="AU26" s="62"/>
      <c r="AV26" s="40"/>
      <c r="AW26" s="40"/>
      <c r="AX26" s="41"/>
    </row>
    <row r="27" spans="1:50" ht="24" customHeight="1" x14ac:dyDescent="0.35">
      <c r="A27" s="68"/>
      <c r="B27" s="38">
        <v>2011</v>
      </c>
      <c r="C27" s="37">
        <v>17</v>
      </c>
      <c r="D27" s="6">
        <v>45.7</v>
      </c>
      <c r="E27" s="19">
        <v>12</v>
      </c>
      <c r="F27" s="19">
        <v>13</v>
      </c>
      <c r="G27" s="19">
        <v>14</v>
      </c>
      <c r="H27" s="19">
        <v>15</v>
      </c>
      <c r="I27" s="19">
        <v>16</v>
      </c>
      <c r="J27" s="12">
        <v>1</v>
      </c>
      <c r="K27" s="19">
        <v>2</v>
      </c>
      <c r="L27" s="19">
        <v>3</v>
      </c>
      <c r="M27" s="19">
        <v>4</v>
      </c>
      <c r="N27" s="19">
        <v>5</v>
      </c>
      <c r="O27" s="19">
        <v>6</v>
      </c>
      <c r="P27" s="19">
        <v>7</v>
      </c>
      <c r="Q27" s="19">
        <v>8</v>
      </c>
      <c r="R27" s="19">
        <v>9</v>
      </c>
      <c r="S27" s="13">
        <v>1</v>
      </c>
      <c r="T27" s="19">
        <v>2</v>
      </c>
      <c r="U27" s="19">
        <v>3</v>
      </c>
      <c r="V27" s="19">
        <v>4</v>
      </c>
      <c r="W27" s="19">
        <v>5</v>
      </c>
      <c r="X27" s="19">
        <v>6</v>
      </c>
      <c r="Y27" s="19">
        <v>7</v>
      </c>
      <c r="Z27" s="19">
        <v>8</v>
      </c>
      <c r="AA27" s="19">
        <v>9</v>
      </c>
      <c r="AB27" s="19">
        <v>10</v>
      </c>
      <c r="AC27" s="19">
        <v>11</v>
      </c>
      <c r="AD27" s="14">
        <v>1</v>
      </c>
      <c r="AE27" s="19">
        <v>2</v>
      </c>
      <c r="AF27" s="19">
        <v>3</v>
      </c>
      <c r="AG27" s="19">
        <v>4</v>
      </c>
      <c r="AH27" s="19">
        <v>5</v>
      </c>
      <c r="AI27" s="19">
        <v>6</v>
      </c>
      <c r="AJ27" s="53">
        <f>SUM(D28:AI28)</f>
        <v>49</v>
      </c>
      <c r="AK27" s="44">
        <f>22.15+3.71</f>
        <v>25.86</v>
      </c>
      <c r="AL27" s="44"/>
      <c r="AM27" s="44">
        <f>13.43</f>
        <v>13.43</v>
      </c>
      <c r="AN27" s="44"/>
      <c r="AO27" s="44">
        <f>18.86</f>
        <v>18.86</v>
      </c>
      <c r="AP27" s="44"/>
      <c r="AQ27" s="44"/>
      <c r="AR27" s="44"/>
      <c r="AS27" s="84">
        <f>AK27+AM27+AO27+AQ27</f>
        <v>58.15</v>
      </c>
      <c r="AT27" s="84">
        <f t="shared" ref="AT27" si="10">AL27+AN27+AP27+AR27</f>
        <v>0</v>
      </c>
      <c r="AU27" s="61">
        <v>17</v>
      </c>
      <c r="AV27" s="40"/>
      <c r="AW27" s="40"/>
      <c r="AX27" s="41"/>
    </row>
    <row r="28" spans="1:50" ht="24" customHeight="1" x14ac:dyDescent="0.35">
      <c r="A28" s="68"/>
      <c r="B28" s="38"/>
      <c r="C28" s="39"/>
      <c r="D28" s="10"/>
      <c r="E28" s="20"/>
      <c r="F28" s="20"/>
      <c r="G28" s="20"/>
      <c r="H28" s="20"/>
      <c r="I28" s="20"/>
      <c r="J28" s="20">
        <v>17</v>
      </c>
      <c r="K28" s="20"/>
      <c r="L28" s="20"/>
      <c r="M28" s="20"/>
      <c r="N28" s="20"/>
      <c r="O28" s="20"/>
      <c r="P28" s="20"/>
      <c r="Q28" s="20"/>
      <c r="R28" s="20"/>
      <c r="S28" s="20">
        <v>17</v>
      </c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>
        <v>15</v>
      </c>
      <c r="AE28" s="20"/>
      <c r="AF28" s="20"/>
      <c r="AG28" s="20"/>
      <c r="AH28" s="20"/>
      <c r="AI28" s="20"/>
      <c r="AJ28" s="54"/>
      <c r="AK28" s="44"/>
      <c r="AL28" s="44"/>
      <c r="AM28" s="44"/>
      <c r="AN28" s="44"/>
      <c r="AO28" s="44"/>
      <c r="AP28" s="44"/>
      <c r="AQ28" s="44"/>
      <c r="AR28" s="44"/>
      <c r="AS28" s="84"/>
      <c r="AT28" s="84"/>
      <c r="AU28" s="62"/>
      <c r="AV28" s="40"/>
      <c r="AW28" s="40"/>
      <c r="AX28" s="41"/>
    </row>
    <row r="29" spans="1:50" x14ac:dyDescent="0.35">
      <c r="A29" s="68"/>
      <c r="B29" s="38">
        <v>2012</v>
      </c>
      <c r="C29" s="37">
        <v>19</v>
      </c>
      <c r="D29" s="6">
        <v>50.6</v>
      </c>
      <c r="E29" s="19">
        <v>6</v>
      </c>
      <c r="F29" s="19">
        <v>7</v>
      </c>
      <c r="G29" s="19">
        <v>8</v>
      </c>
      <c r="H29" s="19">
        <v>9</v>
      </c>
      <c r="I29" s="19">
        <v>10</v>
      </c>
      <c r="J29" s="19">
        <v>11</v>
      </c>
      <c r="K29" s="19">
        <v>12</v>
      </c>
      <c r="L29" s="19">
        <v>13</v>
      </c>
      <c r="M29" s="19">
        <v>14</v>
      </c>
      <c r="N29" s="12">
        <v>1</v>
      </c>
      <c r="O29" s="19">
        <v>2</v>
      </c>
      <c r="P29" s="19">
        <v>3</v>
      </c>
      <c r="Q29" s="19">
        <v>4</v>
      </c>
      <c r="R29" s="19">
        <v>5</v>
      </c>
      <c r="S29" s="19">
        <v>6</v>
      </c>
      <c r="T29" s="19">
        <v>7</v>
      </c>
      <c r="U29" s="19">
        <v>8</v>
      </c>
      <c r="V29" s="19">
        <v>9</v>
      </c>
      <c r="W29" s="19">
        <v>10</v>
      </c>
      <c r="X29" s="13">
        <v>1</v>
      </c>
      <c r="Y29" s="19">
        <v>2</v>
      </c>
      <c r="Z29" s="19">
        <v>3</v>
      </c>
      <c r="AA29" s="19">
        <v>4</v>
      </c>
      <c r="AB29" s="19">
        <v>5</v>
      </c>
      <c r="AC29" s="19">
        <v>6</v>
      </c>
      <c r="AD29" s="19">
        <v>7</v>
      </c>
      <c r="AE29" s="19">
        <v>8</v>
      </c>
      <c r="AF29" s="19">
        <v>9</v>
      </c>
      <c r="AG29" s="14">
        <v>1</v>
      </c>
      <c r="AH29" s="19">
        <v>2</v>
      </c>
      <c r="AI29" s="19">
        <v>3</v>
      </c>
      <c r="AJ29" s="53">
        <f>SUM(D30:AI30)</f>
        <v>40</v>
      </c>
      <c r="AK29" s="44">
        <f>19.59</f>
        <v>19.59</v>
      </c>
      <c r="AL29" s="44"/>
      <c r="AM29" s="44">
        <f>14.64</f>
        <v>14.64</v>
      </c>
      <c r="AN29" s="44"/>
      <c r="AO29" s="44">
        <f>10.05</f>
        <v>10.050000000000001</v>
      </c>
      <c r="AP29" s="44"/>
      <c r="AQ29" s="44"/>
      <c r="AR29" s="44"/>
      <c r="AS29" s="84">
        <f>AK29+AM29+AO29+AQ29</f>
        <v>44.28</v>
      </c>
      <c r="AT29" s="84">
        <f t="shared" ref="AT29" si="11">AL29+AN29+AP29+AR29</f>
        <v>0</v>
      </c>
      <c r="AU29" s="61">
        <v>19</v>
      </c>
      <c r="AV29" s="40"/>
      <c r="AW29" s="40"/>
      <c r="AX29" s="41"/>
    </row>
    <row r="30" spans="1:50" ht="24" customHeight="1" x14ac:dyDescent="0.35">
      <c r="A30" s="68"/>
      <c r="B30" s="38"/>
      <c r="C30" s="39"/>
      <c r="D30" s="10"/>
      <c r="E30" s="20"/>
      <c r="F30" s="20"/>
      <c r="G30" s="20"/>
      <c r="H30" s="20"/>
      <c r="I30" s="20"/>
      <c r="J30" s="20"/>
      <c r="K30" s="20"/>
      <c r="L30" s="20"/>
      <c r="M30" s="20"/>
      <c r="N30" s="20">
        <v>15</v>
      </c>
      <c r="O30" s="20"/>
      <c r="P30" s="20"/>
      <c r="Q30" s="20"/>
      <c r="R30" s="20"/>
      <c r="S30" s="20"/>
      <c r="T30" s="20"/>
      <c r="U30" s="20"/>
      <c r="V30" s="20"/>
      <c r="W30" s="20"/>
      <c r="X30" s="20">
        <v>15</v>
      </c>
      <c r="Y30" s="20"/>
      <c r="Z30" s="20"/>
      <c r="AA30" s="20"/>
      <c r="AB30" s="20"/>
      <c r="AC30" s="20"/>
      <c r="AD30" s="20"/>
      <c r="AE30" s="20"/>
      <c r="AF30" s="20"/>
      <c r="AG30" s="20">
        <v>10</v>
      </c>
      <c r="AH30" s="19"/>
      <c r="AI30" s="20"/>
      <c r="AJ30" s="54"/>
      <c r="AK30" s="44"/>
      <c r="AL30" s="44"/>
      <c r="AM30" s="44"/>
      <c r="AN30" s="44"/>
      <c r="AO30" s="44"/>
      <c r="AP30" s="44"/>
      <c r="AQ30" s="44"/>
      <c r="AR30" s="44"/>
      <c r="AS30" s="84"/>
      <c r="AT30" s="84"/>
      <c r="AU30" s="62"/>
      <c r="AV30" s="40"/>
      <c r="AW30" s="40"/>
      <c r="AX30" s="41"/>
    </row>
    <row r="31" spans="1:50" ht="23.25" customHeight="1" x14ac:dyDescent="0.35">
      <c r="A31" s="68"/>
      <c r="B31" s="38">
        <v>2012</v>
      </c>
      <c r="C31" s="37">
        <v>20</v>
      </c>
      <c r="D31" s="6">
        <v>62.1</v>
      </c>
      <c r="E31" s="19">
        <v>5</v>
      </c>
      <c r="F31" s="19">
        <v>6</v>
      </c>
      <c r="G31" s="19">
        <v>7</v>
      </c>
      <c r="H31" s="19">
        <v>8</v>
      </c>
      <c r="I31" s="19">
        <v>9</v>
      </c>
      <c r="J31" s="19">
        <v>10</v>
      </c>
      <c r="K31" s="19">
        <v>11</v>
      </c>
      <c r="L31" s="19">
        <v>12</v>
      </c>
      <c r="M31" s="19">
        <v>13</v>
      </c>
      <c r="N31" s="19">
        <v>14</v>
      </c>
      <c r="O31" s="12">
        <v>1</v>
      </c>
      <c r="P31" s="12">
        <v>2</v>
      </c>
      <c r="Q31" s="19">
        <v>3</v>
      </c>
      <c r="R31" s="19">
        <v>4</v>
      </c>
      <c r="S31" s="19">
        <v>5</v>
      </c>
      <c r="T31" s="19">
        <v>6</v>
      </c>
      <c r="U31" s="19">
        <v>7</v>
      </c>
      <c r="V31" s="19">
        <v>8</v>
      </c>
      <c r="W31" s="19">
        <v>9</v>
      </c>
      <c r="X31" s="19">
        <v>10</v>
      </c>
      <c r="Y31" s="13">
        <v>1</v>
      </c>
      <c r="Z31" s="19">
        <v>2</v>
      </c>
      <c r="AA31" s="13">
        <v>3</v>
      </c>
      <c r="AB31" s="19">
        <v>4</v>
      </c>
      <c r="AC31" s="19">
        <v>5</v>
      </c>
      <c r="AD31" s="19">
        <v>6</v>
      </c>
      <c r="AE31" s="19">
        <v>7</v>
      </c>
      <c r="AF31" s="19">
        <v>8</v>
      </c>
      <c r="AG31" s="19">
        <v>9</v>
      </c>
      <c r="AH31" s="19">
        <v>10</v>
      </c>
      <c r="AI31" s="19">
        <v>11</v>
      </c>
      <c r="AJ31" s="53">
        <f>SUM(D32:AI32)</f>
        <v>50</v>
      </c>
      <c r="AK31" s="44">
        <f>22.25+7.62</f>
        <v>29.87</v>
      </c>
      <c r="AL31" s="44"/>
      <c r="AM31" s="44">
        <f>15.86+3.5</f>
        <v>19.36</v>
      </c>
      <c r="AN31" s="44"/>
      <c r="AO31" s="44"/>
      <c r="AP31" s="44"/>
      <c r="AQ31" s="44"/>
      <c r="AR31" s="44"/>
      <c r="AS31" s="84">
        <f>AK31+AM31+AO31+AQ31</f>
        <v>49.230000000000004</v>
      </c>
      <c r="AT31" s="84">
        <f t="shared" ref="AT31" si="12">AL31+AN31+AP31+AR31</f>
        <v>0</v>
      </c>
      <c r="AU31" s="61">
        <v>20</v>
      </c>
      <c r="AV31" s="40"/>
      <c r="AW31" s="40"/>
      <c r="AX31" s="41"/>
    </row>
    <row r="32" spans="1:50" ht="24" customHeight="1" x14ac:dyDescent="0.35">
      <c r="A32" s="68"/>
      <c r="B32" s="38"/>
      <c r="C32" s="39"/>
      <c r="D32" s="1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>
        <v>16</v>
      </c>
      <c r="P32" s="20">
        <v>8</v>
      </c>
      <c r="Q32" s="20"/>
      <c r="R32" s="20"/>
      <c r="S32" s="20"/>
      <c r="T32" s="20"/>
      <c r="U32" s="20"/>
      <c r="V32" s="20"/>
      <c r="W32" s="20"/>
      <c r="X32" s="20"/>
      <c r="Y32" s="20">
        <v>16</v>
      </c>
      <c r="Z32" s="20"/>
      <c r="AA32" s="20">
        <v>10</v>
      </c>
      <c r="AB32" s="20"/>
      <c r="AC32" s="20"/>
      <c r="AD32" s="20"/>
      <c r="AE32" s="20"/>
      <c r="AF32" s="20"/>
      <c r="AG32" s="20"/>
      <c r="AH32" s="20"/>
      <c r="AI32" s="20"/>
      <c r="AJ32" s="54"/>
      <c r="AK32" s="44"/>
      <c r="AL32" s="44"/>
      <c r="AM32" s="44"/>
      <c r="AN32" s="44"/>
      <c r="AO32" s="44"/>
      <c r="AP32" s="44"/>
      <c r="AQ32" s="44"/>
      <c r="AR32" s="44"/>
      <c r="AS32" s="84"/>
      <c r="AT32" s="84"/>
      <c r="AU32" s="62"/>
      <c r="AV32" s="40"/>
      <c r="AW32" s="40"/>
      <c r="AX32" s="41"/>
    </row>
    <row r="33" spans="1:50" ht="24" customHeight="1" x14ac:dyDescent="0.35">
      <c r="A33" s="68"/>
      <c r="B33" s="38">
        <v>2012</v>
      </c>
      <c r="C33" s="37">
        <v>21</v>
      </c>
      <c r="D33" s="6">
        <v>72.2</v>
      </c>
      <c r="E33" s="19">
        <v>3</v>
      </c>
      <c r="F33" s="22">
        <v>4</v>
      </c>
      <c r="G33" s="19">
        <v>5</v>
      </c>
      <c r="H33" s="12">
        <v>6</v>
      </c>
      <c r="I33" s="19">
        <v>7</v>
      </c>
      <c r="J33" s="19">
        <v>8</v>
      </c>
      <c r="K33" s="19">
        <v>9</v>
      </c>
      <c r="L33" s="19">
        <v>10</v>
      </c>
      <c r="M33" s="19">
        <v>11</v>
      </c>
      <c r="N33" s="19">
        <v>12</v>
      </c>
      <c r="O33" s="19">
        <v>13</v>
      </c>
      <c r="P33" s="13">
        <v>1</v>
      </c>
      <c r="Q33" s="13">
        <v>2</v>
      </c>
      <c r="R33" s="19">
        <v>3</v>
      </c>
      <c r="S33" s="19">
        <v>4</v>
      </c>
      <c r="T33" s="19">
        <v>5</v>
      </c>
      <c r="U33" s="19">
        <v>6</v>
      </c>
      <c r="V33" s="19">
        <v>7</v>
      </c>
      <c r="W33" s="19">
        <v>8</v>
      </c>
      <c r="X33" s="19">
        <v>9</v>
      </c>
      <c r="Y33" s="19">
        <v>10</v>
      </c>
      <c r="Z33" s="14">
        <v>1</v>
      </c>
      <c r="AA33" s="14">
        <v>2</v>
      </c>
      <c r="AB33" s="19">
        <v>3</v>
      </c>
      <c r="AC33" s="19">
        <v>4</v>
      </c>
      <c r="AD33" s="19">
        <v>5</v>
      </c>
      <c r="AE33" s="19">
        <v>6</v>
      </c>
      <c r="AF33" s="19">
        <v>7</v>
      </c>
      <c r="AG33" s="19">
        <v>8</v>
      </c>
      <c r="AH33" s="19">
        <v>9</v>
      </c>
      <c r="AI33" s="19">
        <v>10</v>
      </c>
      <c r="AJ33" s="48">
        <f>SUM(D34:AI34)</f>
        <v>71</v>
      </c>
      <c r="AK33" s="44">
        <f>7.54+16.34+8.73</f>
        <v>32.61</v>
      </c>
      <c r="AL33" s="44"/>
      <c r="AM33" s="44">
        <f>16.08+21.45</f>
        <v>37.53</v>
      </c>
      <c r="AN33" s="44"/>
      <c r="AO33" s="44">
        <f>15.43+8.23</f>
        <v>23.66</v>
      </c>
      <c r="AP33" s="44"/>
      <c r="AQ33" s="44"/>
      <c r="AR33" s="44"/>
      <c r="AS33" s="84">
        <f>AK33+AM33+AO33+AQ33</f>
        <v>93.8</v>
      </c>
      <c r="AT33" s="84">
        <f t="shared" ref="AT33" si="13">AL33+AN33+AP33+AR33</f>
        <v>0</v>
      </c>
      <c r="AU33" s="61">
        <v>21</v>
      </c>
      <c r="AV33" s="40"/>
      <c r="AW33" s="40"/>
      <c r="AX33" s="41"/>
    </row>
    <row r="34" spans="1:50" ht="24" customHeight="1" x14ac:dyDescent="0.35">
      <c r="A34" s="68"/>
      <c r="B34" s="38"/>
      <c r="C34" s="39"/>
      <c r="D34" s="10"/>
      <c r="E34" s="19"/>
      <c r="F34" s="20">
        <v>11</v>
      </c>
      <c r="G34" s="20"/>
      <c r="H34" s="20">
        <v>13</v>
      </c>
      <c r="I34" s="20"/>
      <c r="J34" s="20"/>
      <c r="K34" s="20"/>
      <c r="L34" s="20"/>
      <c r="M34" s="20"/>
      <c r="N34" s="20"/>
      <c r="O34" s="20"/>
      <c r="P34" s="20">
        <v>8</v>
      </c>
      <c r="Q34" s="20">
        <v>15</v>
      </c>
      <c r="R34" s="20"/>
      <c r="S34" s="20"/>
      <c r="T34" s="20"/>
      <c r="U34" s="20"/>
      <c r="V34" s="20"/>
      <c r="W34" s="20"/>
      <c r="X34" s="20"/>
      <c r="Y34" s="20"/>
      <c r="Z34" s="20">
        <v>16</v>
      </c>
      <c r="AA34" s="20">
        <v>8</v>
      </c>
      <c r="AB34" s="20"/>
      <c r="AC34" s="20"/>
      <c r="AD34" s="20"/>
      <c r="AE34" s="20"/>
      <c r="AF34" s="20"/>
      <c r="AG34" s="20"/>
      <c r="AH34" s="20"/>
      <c r="AI34" s="20"/>
      <c r="AJ34" s="49"/>
      <c r="AK34" s="44"/>
      <c r="AL34" s="44"/>
      <c r="AM34" s="44"/>
      <c r="AN34" s="44"/>
      <c r="AO34" s="44"/>
      <c r="AP34" s="44"/>
      <c r="AQ34" s="44"/>
      <c r="AR34" s="44"/>
      <c r="AS34" s="84"/>
      <c r="AT34" s="84"/>
      <c r="AU34" s="62"/>
      <c r="AV34" s="40"/>
      <c r="AW34" s="40"/>
      <c r="AX34" s="41"/>
    </row>
    <row r="35" spans="1:50" ht="24" customHeight="1" x14ac:dyDescent="0.35">
      <c r="A35" s="68"/>
      <c r="B35" s="38">
        <v>2012</v>
      </c>
      <c r="C35" s="37">
        <v>22</v>
      </c>
      <c r="D35" s="6">
        <v>52.3</v>
      </c>
      <c r="E35" s="19">
        <v>15</v>
      </c>
      <c r="F35" s="19">
        <v>16</v>
      </c>
      <c r="G35" s="19">
        <v>17</v>
      </c>
      <c r="H35" s="19">
        <v>18</v>
      </c>
      <c r="I35" s="12">
        <v>1</v>
      </c>
      <c r="J35" s="19">
        <v>2</v>
      </c>
      <c r="K35" s="19">
        <v>3</v>
      </c>
      <c r="L35" s="19">
        <v>4</v>
      </c>
      <c r="M35" s="19">
        <v>5</v>
      </c>
      <c r="N35" s="19">
        <v>6</v>
      </c>
      <c r="O35" s="19">
        <v>7</v>
      </c>
      <c r="P35" s="19">
        <v>8</v>
      </c>
      <c r="Q35" s="19">
        <v>9</v>
      </c>
      <c r="R35" s="13">
        <v>1</v>
      </c>
      <c r="S35" s="19">
        <v>2</v>
      </c>
      <c r="T35" s="19">
        <v>3</v>
      </c>
      <c r="U35" s="19">
        <v>4</v>
      </c>
      <c r="V35" s="19">
        <v>5</v>
      </c>
      <c r="W35" s="19">
        <v>6</v>
      </c>
      <c r="X35" s="19">
        <v>7</v>
      </c>
      <c r="Y35" s="19">
        <v>8</v>
      </c>
      <c r="Z35" s="19">
        <v>9</v>
      </c>
      <c r="AA35" s="14">
        <v>1</v>
      </c>
      <c r="AB35" s="14">
        <v>2</v>
      </c>
      <c r="AC35" s="19">
        <v>3</v>
      </c>
      <c r="AD35" s="19">
        <v>4</v>
      </c>
      <c r="AE35" s="19">
        <v>5</v>
      </c>
      <c r="AF35" s="19">
        <v>6</v>
      </c>
      <c r="AG35" s="19">
        <v>7</v>
      </c>
      <c r="AH35" s="19">
        <v>8</v>
      </c>
      <c r="AI35" s="19">
        <v>9</v>
      </c>
      <c r="AJ35" s="48">
        <f>SUM(D36:AI36)</f>
        <v>54</v>
      </c>
      <c r="AK35" s="44">
        <f>7.47+33.78</f>
        <v>41.25</v>
      </c>
      <c r="AL35" s="44"/>
      <c r="AM35" s="44">
        <f>12.95+6.31</f>
        <v>19.259999999999998</v>
      </c>
      <c r="AN35" s="44"/>
      <c r="AO35" s="44">
        <f>5.51+18.72</f>
        <v>24.229999999999997</v>
      </c>
      <c r="AP35" s="44"/>
      <c r="AQ35" s="44"/>
      <c r="AR35" s="44"/>
      <c r="AS35" s="84">
        <f>AK35+AM35+AO35+AQ35</f>
        <v>84.74</v>
      </c>
      <c r="AT35" s="84">
        <f t="shared" ref="AT35" si="14">AL35+AN35+AP35+AR35</f>
        <v>0</v>
      </c>
      <c r="AU35" s="61">
        <v>22</v>
      </c>
      <c r="AV35" s="40"/>
      <c r="AW35" s="40"/>
      <c r="AX35" s="41"/>
    </row>
    <row r="36" spans="1:50" ht="24" customHeight="1" x14ac:dyDescent="0.35">
      <c r="A36" s="69"/>
      <c r="B36" s="39"/>
      <c r="C36" s="39"/>
      <c r="D36" s="10"/>
      <c r="E36" s="20"/>
      <c r="F36" s="20"/>
      <c r="G36" s="20"/>
      <c r="H36" s="20"/>
      <c r="I36" s="20">
        <v>14</v>
      </c>
      <c r="J36" s="20"/>
      <c r="K36" s="20"/>
      <c r="L36" s="20"/>
      <c r="M36" s="20"/>
      <c r="N36" s="20"/>
      <c r="O36" s="20"/>
      <c r="P36" s="20"/>
      <c r="Q36" s="20"/>
      <c r="R36" s="20">
        <v>16</v>
      </c>
      <c r="S36" s="20"/>
      <c r="T36" s="20"/>
      <c r="U36" s="20"/>
      <c r="V36" s="20"/>
      <c r="W36" s="20"/>
      <c r="X36" s="20"/>
      <c r="Y36" s="20"/>
      <c r="Z36" s="20"/>
      <c r="AA36" s="20">
        <v>7</v>
      </c>
      <c r="AB36" s="20">
        <v>17</v>
      </c>
      <c r="AC36" s="20"/>
      <c r="AD36" s="20"/>
      <c r="AE36" s="20"/>
      <c r="AF36" s="20"/>
      <c r="AG36" s="20"/>
      <c r="AH36" s="20"/>
      <c r="AI36" s="20"/>
      <c r="AJ36" s="49"/>
      <c r="AK36" s="44"/>
      <c r="AL36" s="44"/>
      <c r="AM36" s="44"/>
      <c r="AN36" s="44"/>
      <c r="AO36" s="44"/>
      <c r="AP36" s="44"/>
      <c r="AQ36" s="44"/>
      <c r="AR36" s="44"/>
      <c r="AS36" s="84"/>
      <c r="AT36" s="84"/>
      <c r="AU36" s="62"/>
      <c r="AV36" s="40"/>
      <c r="AW36" s="40"/>
      <c r="AX36" s="41"/>
    </row>
    <row r="37" spans="1:50" ht="24" customHeight="1" x14ac:dyDescent="0.35">
      <c r="A37" s="68" t="s">
        <v>19</v>
      </c>
      <c r="B37" s="37">
        <v>2010</v>
      </c>
      <c r="C37" s="37">
        <v>8</v>
      </c>
      <c r="D37" s="6">
        <v>61.6</v>
      </c>
      <c r="E37" s="19">
        <v>2</v>
      </c>
      <c r="F37" s="22">
        <v>3</v>
      </c>
      <c r="G37" s="19">
        <v>4</v>
      </c>
      <c r="H37" s="12">
        <v>5</v>
      </c>
      <c r="I37" s="12">
        <v>6</v>
      </c>
      <c r="J37" s="12">
        <v>7</v>
      </c>
      <c r="K37" s="19">
        <v>8</v>
      </c>
      <c r="L37" s="19">
        <v>9</v>
      </c>
      <c r="M37" s="19">
        <v>10</v>
      </c>
      <c r="N37" s="19">
        <v>11</v>
      </c>
      <c r="O37" s="19">
        <v>12</v>
      </c>
      <c r="P37" s="19">
        <v>13</v>
      </c>
      <c r="Q37" s="19">
        <v>14</v>
      </c>
      <c r="R37" s="19">
        <v>15</v>
      </c>
      <c r="S37" s="19">
        <v>16</v>
      </c>
      <c r="T37" s="19">
        <v>17</v>
      </c>
      <c r="U37" s="19">
        <v>18</v>
      </c>
      <c r="V37" s="19">
        <v>19</v>
      </c>
      <c r="W37" s="19">
        <v>20</v>
      </c>
      <c r="X37" s="19">
        <v>21</v>
      </c>
      <c r="Y37" s="13">
        <v>1</v>
      </c>
      <c r="Z37" s="19">
        <v>2</v>
      </c>
      <c r="AA37" s="19">
        <v>3</v>
      </c>
      <c r="AB37" s="19">
        <v>4</v>
      </c>
      <c r="AC37" s="19">
        <v>5</v>
      </c>
      <c r="AD37" s="19">
        <v>6</v>
      </c>
      <c r="AE37" s="19">
        <v>7</v>
      </c>
      <c r="AF37" s="19">
        <v>8</v>
      </c>
      <c r="AG37" s="19">
        <v>9</v>
      </c>
      <c r="AH37" s="19">
        <v>10</v>
      </c>
      <c r="AI37" s="14">
        <v>1</v>
      </c>
      <c r="AJ37" s="48">
        <f>SUM(D38:AI38)</f>
        <v>44</v>
      </c>
      <c r="AK37" s="44">
        <f>7.19+7.05+15.13+14.28</f>
        <v>43.65</v>
      </c>
      <c r="AL37" s="44"/>
      <c r="AM37" s="44">
        <f>18.81+10.47+7.21</f>
        <v>36.49</v>
      </c>
      <c r="AN37" s="44"/>
      <c r="AO37" s="44">
        <f>9.36</f>
        <v>9.36</v>
      </c>
      <c r="AP37" s="44"/>
      <c r="AQ37" s="44"/>
      <c r="AR37" s="44"/>
      <c r="AS37" s="84">
        <f>AK37+AM37+AO37+AQ37</f>
        <v>89.5</v>
      </c>
      <c r="AT37" s="84">
        <f t="shared" ref="AT37" si="15">AL37+AN37+AP37+AR37</f>
        <v>0</v>
      </c>
      <c r="AU37" s="55">
        <v>8</v>
      </c>
      <c r="AV37" s="40"/>
      <c r="AW37" s="40"/>
      <c r="AX37" s="41"/>
    </row>
    <row r="38" spans="1:50" ht="24" customHeight="1" x14ac:dyDescent="0.35">
      <c r="A38" s="68"/>
      <c r="B38" s="38"/>
      <c r="C38" s="39"/>
      <c r="D38" s="10"/>
      <c r="E38" s="20"/>
      <c r="F38" s="20">
        <v>6</v>
      </c>
      <c r="G38" s="20"/>
      <c r="H38" s="20">
        <v>7</v>
      </c>
      <c r="I38" s="20">
        <v>8</v>
      </c>
      <c r="J38" s="20">
        <v>4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>
        <v>10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>
        <v>9</v>
      </c>
      <c r="AJ38" s="49"/>
      <c r="AK38" s="44"/>
      <c r="AL38" s="44"/>
      <c r="AM38" s="44"/>
      <c r="AN38" s="44"/>
      <c r="AO38" s="44"/>
      <c r="AP38" s="44"/>
      <c r="AQ38" s="44"/>
      <c r="AR38" s="44"/>
      <c r="AS38" s="84"/>
      <c r="AT38" s="84"/>
      <c r="AU38" s="56"/>
      <c r="AV38" s="40"/>
      <c r="AW38" s="40"/>
      <c r="AX38" s="41"/>
    </row>
    <row r="39" spans="1:50" ht="24" customHeight="1" x14ac:dyDescent="0.35">
      <c r="A39" s="68"/>
      <c r="B39" s="38">
        <v>2010</v>
      </c>
      <c r="C39" s="37">
        <v>9</v>
      </c>
      <c r="D39" s="6">
        <v>38.299999999999997</v>
      </c>
      <c r="E39" s="19">
        <v>18</v>
      </c>
      <c r="F39" s="19">
        <v>19</v>
      </c>
      <c r="G39" s="19">
        <v>20</v>
      </c>
      <c r="H39" s="19">
        <v>21</v>
      </c>
      <c r="I39" s="19">
        <v>22</v>
      </c>
      <c r="J39" s="12">
        <v>1</v>
      </c>
      <c r="K39" s="12">
        <v>2</v>
      </c>
      <c r="L39" s="12">
        <v>3</v>
      </c>
      <c r="M39" s="19">
        <v>4</v>
      </c>
      <c r="N39" s="19">
        <v>5</v>
      </c>
      <c r="O39" s="19">
        <v>6</v>
      </c>
      <c r="P39" s="19">
        <v>7</v>
      </c>
      <c r="Q39" s="19">
        <v>8</v>
      </c>
      <c r="R39" s="19">
        <v>9</v>
      </c>
      <c r="S39" s="19">
        <v>10</v>
      </c>
      <c r="T39" s="19">
        <v>11</v>
      </c>
      <c r="U39" s="19">
        <v>12</v>
      </c>
      <c r="V39" s="19">
        <v>13</v>
      </c>
      <c r="W39" s="19">
        <v>14</v>
      </c>
      <c r="X39" s="19">
        <v>15</v>
      </c>
      <c r="Y39" s="19">
        <v>16</v>
      </c>
      <c r="Z39" s="13">
        <v>1</v>
      </c>
      <c r="AA39" s="13">
        <v>2</v>
      </c>
      <c r="AB39" s="19">
        <v>3</v>
      </c>
      <c r="AC39" s="19">
        <v>4</v>
      </c>
      <c r="AD39" s="19">
        <v>5</v>
      </c>
      <c r="AE39" s="19">
        <v>6</v>
      </c>
      <c r="AF39" s="19">
        <v>7</v>
      </c>
      <c r="AG39" s="19">
        <v>8</v>
      </c>
      <c r="AH39" s="19">
        <v>9</v>
      </c>
      <c r="AI39" s="19">
        <v>10</v>
      </c>
      <c r="AJ39" s="48">
        <f>SUM(D40:AI40)</f>
        <v>40</v>
      </c>
      <c r="AK39" s="44">
        <f>3.92+14.55+10.21</f>
        <v>28.68</v>
      </c>
      <c r="AL39" s="44"/>
      <c r="AM39" s="44">
        <f>7.54+9.77</f>
        <v>17.309999999999999</v>
      </c>
      <c r="AN39" s="44"/>
      <c r="AO39" s="44"/>
      <c r="AP39" s="44"/>
      <c r="AQ39" s="35"/>
      <c r="AR39" s="44"/>
      <c r="AS39" s="84">
        <f>AK39+AM39+AO39+AQ39</f>
        <v>45.989999999999995</v>
      </c>
      <c r="AT39" s="84">
        <f t="shared" ref="AT39" si="16">AL39+AN39+AP39+AR39</f>
        <v>0</v>
      </c>
      <c r="AU39" s="55">
        <v>9</v>
      </c>
      <c r="AV39" s="40"/>
      <c r="AW39" s="40"/>
      <c r="AX39" s="41"/>
    </row>
    <row r="40" spans="1:50" ht="24" customHeight="1" x14ac:dyDescent="0.35">
      <c r="A40" s="68"/>
      <c r="B40" s="39"/>
      <c r="C40" s="39"/>
      <c r="D40" s="21"/>
      <c r="E40" s="20"/>
      <c r="F40" s="20"/>
      <c r="G40" s="20"/>
      <c r="H40" s="20"/>
      <c r="I40" s="20"/>
      <c r="J40" s="20">
        <v>4</v>
      </c>
      <c r="K40" s="20">
        <v>8</v>
      </c>
      <c r="L40" s="20">
        <v>8</v>
      </c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>
        <v>10</v>
      </c>
      <c r="AA40" s="20">
        <v>10</v>
      </c>
      <c r="AB40" s="20"/>
      <c r="AC40" s="20"/>
      <c r="AD40" s="20"/>
      <c r="AE40" s="20"/>
      <c r="AF40" s="20"/>
      <c r="AG40" s="20"/>
      <c r="AH40" s="20"/>
      <c r="AI40" s="20"/>
      <c r="AJ40" s="49"/>
      <c r="AK40" s="44"/>
      <c r="AL40" s="44"/>
      <c r="AM40" s="44"/>
      <c r="AN40" s="44"/>
      <c r="AO40" s="44"/>
      <c r="AP40" s="44"/>
      <c r="AQ40" s="36"/>
      <c r="AR40" s="44"/>
      <c r="AS40" s="84"/>
      <c r="AT40" s="84"/>
      <c r="AU40" s="56"/>
      <c r="AV40" s="40"/>
      <c r="AW40" s="40"/>
      <c r="AX40" s="41"/>
    </row>
    <row r="41" spans="1:50" ht="24" customHeight="1" x14ac:dyDescent="0.35">
      <c r="A41" s="68"/>
      <c r="B41" s="37">
        <v>2010</v>
      </c>
      <c r="C41" s="37">
        <v>12</v>
      </c>
      <c r="D41" s="6">
        <v>71</v>
      </c>
      <c r="E41" s="19">
        <v>15</v>
      </c>
      <c r="F41" s="19">
        <v>16</v>
      </c>
      <c r="G41" s="19">
        <v>17</v>
      </c>
      <c r="H41" s="19">
        <v>18</v>
      </c>
      <c r="I41" s="19">
        <v>19</v>
      </c>
      <c r="J41" s="19">
        <v>20</v>
      </c>
      <c r="K41" s="19">
        <v>21</v>
      </c>
      <c r="L41" s="19">
        <v>22</v>
      </c>
      <c r="M41" s="19">
        <v>23</v>
      </c>
      <c r="N41" s="12">
        <v>1</v>
      </c>
      <c r="O41" s="12">
        <v>2</v>
      </c>
      <c r="P41" s="12">
        <v>3</v>
      </c>
      <c r="Q41" s="12">
        <v>4</v>
      </c>
      <c r="R41" s="12">
        <v>5</v>
      </c>
      <c r="S41" s="19">
        <v>6</v>
      </c>
      <c r="T41" s="19">
        <v>7</v>
      </c>
      <c r="U41" s="19">
        <v>8</v>
      </c>
      <c r="V41" s="19">
        <v>9</v>
      </c>
      <c r="W41" s="19">
        <v>10</v>
      </c>
      <c r="X41" s="19">
        <v>11</v>
      </c>
      <c r="Y41" s="19">
        <v>12</v>
      </c>
      <c r="Z41" s="19">
        <v>13</v>
      </c>
      <c r="AA41" s="19">
        <v>14</v>
      </c>
      <c r="AB41" s="13">
        <v>1</v>
      </c>
      <c r="AC41" s="13">
        <v>2</v>
      </c>
      <c r="AD41" s="13">
        <v>3</v>
      </c>
      <c r="AE41" s="23">
        <v>4</v>
      </c>
      <c r="AF41" s="19">
        <v>5</v>
      </c>
      <c r="AG41" s="23">
        <v>6</v>
      </c>
      <c r="AH41" s="19">
        <v>7</v>
      </c>
      <c r="AI41" s="23">
        <v>8</v>
      </c>
      <c r="AJ41" s="48">
        <f>SUM(D42:AI42)</f>
        <v>64</v>
      </c>
      <c r="AK41" s="44">
        <f>7.18+10.57+12.37+8+20.68+3.58</f>
        <v>62.379999999999995</v>
      </c>
      <c r="AL41" s="44"/>
      <c r="AM41" s="44">
        <f>3.55+18.65</f>
        <v>22.2</v>
      </c>
      <c r="AN41" s="44"/>
      <c r="AO41" s="44"/>
      <c r="AP41" s="44"/>
      <c r="AQ41" s="44"/>
      <c r="AR41" s="44"/>
      <c r="AS41" s="84">
        <f>AK41+AM41+AO41+AQ41</f>
        <v>84.58</v>
      </c>
      <c r="AT41" s="84">
        <f t="shared" ref="AT41" si="17">AL41+AN41+AP41+AR41</f>
        <v>0</v>
      </c>
      <c r="AU41" s="55">
        <v>12</v>
      </c>
      <c r="AV41" s="40"/>
      <c r="AW41" s="40"/>
      <c r="AX41" s="41"/>
    </row>
    <row r="42" spans="1:50" ht="24" customHeight="1" x14ac:dyDescent="0.35">
      <c r="A42" s="68"/>
      <c r="B42" s="39"/>
      <c r="C42" s="39"/>
      <c r="D42" s="10"/>
      <c r="E42" s="20"/>
      <c r="F42" s="20"/>
      <c r="G42" s="20"/>
      <c r="H42" s="20"/>
      <c r="I42" s="20"/>
      <c r="J42" s="20"/>
      <c r="K42" s="20"/>
      <c r="L42" s="20"/>
      <c r="M42" s="20"/>
      <c r="N42" s="20">
        <v>7</v>
      </c>
      <c r="O42" s="20">
        <v>8</v>
      </c>
      <c r="P42" s="20">
        <v>8</v>
      </c>
      <c r="Q42" s="20">
        <v>8</v>
      </c>
      <c r="R42" s="20">
        <v>8</v>
      </c>
      <c r="S42" s="20"/>
      <c r="T42" s="20"/>
      <c r="U42" s="20"/>
      <c r="V42" s="20"/>
      <c r="W42" s="20"/>
      <c r="X42" s="20"/>
      <c r="Y42" s="20"/>
      <c r="Z42" s="20"/>
      <c r="AA42" s="20"/>
      <c r="AB42" s="20">
        <v>5</v>
      </c>
      <c r="AC42" s="20">
        <v>10</v>
      </c>
      <c r="AD42" s="20">
        <v>10</v>
      </c>
      <c r="AE42" s="20"/>
      <c r="AF42" s="20"/>
      <c r="AG42" s="20"/>
      <c r="AH42" s="20"/>
      <c r="AI42" s="20"/>
      <c r="AJ42" s="49"/>
      <c r="AK42" s="44"/>
      <c r="AL42" s="44"/>
      <c r="AM42" s="44"/>
      <c r="AN42" s="44"/>
      <c r="AO42" s="44"/>
      <c r="AP42" s="44"/>
      <c r="AQ42" s="44"/>
      <c r="AR42" s="44"/>
      <c r="AS42" s="84"/>
      <c r="AT42" s="84"/>
      <c r="AU42" s="56"/>
      <c r="AV42" s="40"/>
      <c r="AW42" s="40"/>
      <c r="AX42" s="41"/>
    </row>
    <row r="43" spans="1:50" ht="24" customHeight="1" x14ac:dyDescent="0.35">
      <c r="A43" s="68"/>
      <c r="B43" s="37">
        <v>2011</v>
      </c>
      <c r="C43" s="37">
        <v>10</v>
      </c>
      <c r="D43" s="6">
        <v>19.100000000000001</v>
      </c>
      <c r="E43" s="19">
        <v>16</v>
      </c>
      <c r="F43" s="19">
        <v>17</v>
      </c>
      <c r="G43" s="19">
        <v>18</v>
      </c>
      <c r="H43" s="19">
        <v>19</v>
      </c>
      <c r="I43" s="19">
        <v>20</v>
      </c>
      <c r="J43" s="19">
        <v>21</v>
      </c>
      <c r="K43" s="19">
        <v>22</v>
      </c>
      <c r="L43" s="19">
        <v>23</v>
      </c>
      <c r="M43" s="12">
        <v>1</v>
      </c>
      <c r="N43" s="19">
        <v>2</v>
      </c>
      <c r="O43" s="19">
        <v>3</v>
      </c>
      <c r="P43" s="19">
        <v>4</v>
      </c>
      <c r="Q43" s="19">
        <v>5</v>
      </c>
      <c r="R43" s="19">
        <v>6</v>
      </c>
      <c r="S43" s="19">
        <v>7</v>
      </c>
      <c r="T43" s="19">
        <v>8</v>
      </c>
      <c r="U43" s="19">
        <v>9</v>
      </c>
      <c r="V43" s="19">
        <v>10</v>
      </c>
      <c r="W43" s="19">
        <v>11</v>
      </c>
      <c r="X43" s="19">
        <v>12</v>
      </c>
      <c r="Y43" s="19">
        <v>13</v>
      </c>
      <c r="Z43" s="19">
        <v>14</v>
      </c>
      <c r="AA43" s="19">
        <v>15</v>
      </c>
      <c r="AB43" s="13">
        <v>1</v>
      </c>
      <c r="AC43" s="19">
        <v>2</v>
      </c>
      <c r="AD43" s="19">
        <v>3</v>
      </c>
      <c r="AE43" s="19">
        <v>4</v>
      </c>
      <c r="AF43" s="19">
        <v>5</v>
      </c>
      <c r="AG43" s="19">
        <v>6</v>
      </c>
      <c r="AH43" s="19">
        <v>7</v>
      </c>
      <c r="AI43" s="19">
        <v>8</v>
      </c>
      <c r="AJ43" s="53">
        <f>SUM(D44:AI44)</f>
        <v>13</v>
      </c>
      <c r="AK43" s="44">
        <f>17.56</f>
        <v>17.559999999999999</v>
      </c>
      <c r="AL43" s="44"/>
      <c r="AM43" s="44">
        <f>4.02+6.9</f>
        <v>10.92</v>
      </c>
      <c r="AN43" s="44"/>
      <c r="AO43" s="44"/>
      <c r="AP43" s="44"/>
      <c r="AQ43" s="44"/>
      <c r="AR43" s="44"/>
      <c r="AS43" s="84">
        <f>AK43+AM43+AO43+AQ43</f>
        <v>28.479999999999997</v>
      </c>
      <c r="AT43" s="84">
        <f t="shared" ref="AT43" si="18">AL43+AN43+AP43+AR43</f>
        <v>0</v>
      </c>
      <c r="AU43" s="55">
        <v>10</v>
      </c>
      <c r="AV43" s="40"/>
      <c r="AW43" s="40"/>
      <c r="AX43" s="41"/>
    </row>
    <row r="44" spans="1:50" ht="24" customHeight="1" x14ac:dyDescent="0.35">
      <c r="A44" s="68"/>
      <c r="B44" s="39"/>
      <c r="C44" s="39"/>
      <c r="D44" s="10"/>
      <c r="E44" s="20"/>
      <c r="F44" s="20"/>
      <c r="G44" s="20"/>
      <c r="H44" s="20"/>
      <c r="I44" s="20"/>
      <c r="J44" s="20"/>
      <c r="K44" s="20"/>
      <c r="L44" s="20"/>
      <c r="M44" s="20">
        <v>8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>
        <v>5</v>
      </c>
      <c r="AC44" s="20"/>
      <c r="AD44" s="20"/>
      <c r="AE44" s="20"/>
      <c r="AF44" s="20"/>
      <c r="AG44" s="20"/>
      <c r="AH44" s="20"/>
      <c r="AI44" s="20"/>
      <c r="AJ44" s="54"/>
      <c r="AK44" s="44"/>
      <c r="AL44" s="44"/>
      <c r="AM44" s="44"/>
      <c r="AN44" s="44"/>
      <c r="AO44" s="44"/>
      <c r="AP44" s="44"/>
      <c r="AQ44" s="44"/>
      <c r="AR44" s="44"/>
      <c r="AS44" s="84"/>
      <c r="AT44" s="84"/>
      <c r="AU44" s="56"/>
      <c r="AV44" s="40"/>
      <c r="AW44" s="40"/>
      <c r="AX44" s="41"/>
    </row>
    <row r="45" spans="1:50" ht="24" customHeight="1" x14ac:dyDescent="0.35">
      <c r="A45" s="68"/>
      <c r="B45" s="37">
        <v>2011</v>
      </c>
      <c r="C45" s="37">
        <v>13</v>
      </c>
      <c r="D45" s="6">
        <v>60.8</v>
      </c>
      <c r="E45" s="19">
        <v>8</v>
      </c>
      <c r="F45" s="19">
        <v>9</v>
      </c>
      <c r="G45" s="19">
        <v>10</v>
      </c>
      <c r="H45" s="19">
        <v>11</v>
      </c>
      <c r="I45" s="19">
        <v>12</v>
      </c>
      <c r="J45" s="19">
        <v>13</v>
      </c>
      <c r="K45" s="19">
        <v>14</v>
      </c>
      <c r="L45" s="19">
        <v>15</v>
      </c>
      <c r="M45" s="19">
        <v>16</v>
      </c>
      <c r="N45" s="19">
        <v>17</v>
      </c>
      <c r="O45" s="19">
        <v>18</v>
      </c>
      <c r="P45" s="19">
        <v>19</v>
      </c>
      <c r="Q45" s="19">
        <v>20</v>
      </c>
      <c r="R45" s="19">
        <v>21</v>
      </c>
      <c r="S45" s="19">
        <v>22</v>
      </c>
      <c r="T45" s="19">
        <v>23</v>
      </c>
      <c r="U45" s="19">
        <v>24</v>
      </c>
      <c r="V45" s="12">
        <v>1</v>
      </c>
      <c r="W45" s="12">
        <v>2</v>
      </c>
      <c r="X45" s="12">
        <v>3</v>
      </c>
      <c r="Y45" s="19">
        <v>4</v>
      </c>
      <c r="Z45" s="19">
        <v>5</v>
      </c>
      <c r="AA45" s="19">
        <v>6</v>
      </c>
      <c r="AB45" s="19">
        <v>7</v>
      </c>
      <c r="AC45" s="19">
        <v>8</v>
      </c>
      <c r="AD45" s="19">
        <v>9</v>
      </c>
      <c r="AE45" s="19">
        <v>10</v>
      </c>
      <c r="AF45" s="13">
        <v>1</v>
      </c>
      <c r="AG45" s="13">
        <v>2</v>
      </c>
      <c r="AH45" s="13">
        <v>3</v>
      </c>
      <c r="AI45" s="19">
        <v>4</v>
      </c>
      <c r="AJ45" s="53">
        <f>SUM(D46:AI46)</f>
        <v>53</v>
      </c>
      <c r="AK45" s="44">
        <f>11.83+24+23.69</f>
        <v>59.519999999999996</v>
      </c>
      <c r="AL45" s="44"/>
      <c r="AM45" s="44">
        <f>6.17+11.97+6.93+4.58</f>
        <v>29.65</v>
      </c>
      <c r="AN45" s="44"/>
      <c r="AO45" s="44"/>
      <c r="AP45" s="44"/>
      <c r="AQ45" s="44"/>
      <c r="AR45" s="44"/>
      <c r="AS45" s="84">
        <f>AK45+AM45+AO45+AQ45</f>
        <v>89.169999999999987</v>
      </c>
      <c r="AT45" s="84">
        <f t="shared" ref="AT45" si="19">AL45+AN45+AP45+AR45</f>
        <v>0</v>
      </c>
      <c r="AU45" s="55">
        <v>13</v>
      </c>
      <c r="AV45" s="40"/>
      <c r="AW45" s="40"/>
      <c r="AX45" s="41"/>
    </row>
    <row r="46" spans="1:50" ht="24" customHeight="1" x14ac:dyDescent="0.35">
      <c r="A46" s="68"/>
      <c r="B46" s="39"/>
      <c r="C46" s="39"/>
      <c r="D46" s="1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>
        <v>10</v>
      </c>
      <c r="W46" s="20">
        <v>10</v>
      </c>
      <c r="X46" s="20">
        <v>10</v>
      </c>
      <c r="Y46" s="20"/>
      <c r="Z46" s="20"/>
      <c r="AA46" s="20"/>
      <c r="AB46" s="20"/>
      <c r="AC46" s="20"/>
      <c r="AD46" s="20"/>
      <c r="AE46" s="20"/>
      <c r="AF46" s="20">
        <v>5</v>
      </c>
      <c r="AG46" s="20">
        <v>9</v>
      </c>
      <c r="AH46" s="20">
        <v>9</v>
      </c>
      <c r="AI46" s="20"/>
      <c r="AJ46" s="54"/>
      <c r="AK46" s="44"/>
      <c r="AL46" s="44"/>
      <c r="AM46" s="44"/>
      <c r="AN46" s="44"/>
      <c r="AO46" s="44"/>
      <c r="AP46" s="44"/>
      <c r="AQ46" s="44"/>
      <c r="AR46" s="44"/>
      <c r="AS46" s="84"/>
      <c r="AT46" s="84"/>
      <c r="AU46" s="56"/>
      <c r="AV46" s="40"/>
      <c r="AW46" s="40"/>
      <c r="AX46" s="41"/>
    </row>
    <row r="47" spans="1:50" ht="23.25" customHeight="1" x14ac:dyDescent="0.35">
      <c r="A47" s="68"/>
      <c r="B47" s="38">
        <v>2011</v>
      </c>
      <c r="C47" s="37">
        <v>18</v>
      </c>
      <c r="D47" s="6">
        <v>40.799999999999997</v>
      </c>
      <c r="E47" s="19">
        <v>11</v>
      </c>
      <c r="F47" s="19">
        <v>12</v>
      </c>
      <c r="G47" s="19">
        <v>13</v>
      </c>
      <c r="H47" s="19">
        <v>14</v>
      </c>
      <c r="I47" s="19">
        <v>15</v>
      </c>
      <c r="J47" s="19">
        <v>16</v>
      </c>
      <c r="K47" s="19">
        <v>17</v>
      </c>
      <c r="L47" s="19">
        <v>18</v>
      </c>
      <c r="M47" s="19">
        <v>19</v>
      </c>
      <c r="N47" s="19">
        <v>20</v>
      </c>
      <c r="O47" s="19">
        <v>21</v>
      </c>
      <c r="P47" s="19">
        <v>22</v>
      </c>
      <c r="Q47" s="19">
        <v>23</v>
      </c>
      <c r="R47" s="19">
        <v>24</v>
      </c>
      <c r="S47" s="12">
        <v>1</v>
      </c>
      <c r="T47" s="19">
        <v>2</v>
      </c>
      <c r="U47" s="12">
        <v>3</v>
      </c>
      <c r="V47" s="19">
        <v>4</v>
      </c>
      <c r="W47" s="19">
        <v>5</v>
      </c>
      <c r="X47" s="19">
        <v>6</v>
      </c>
      <c r="Y47" s="19">
        <v>7</v>
      </c>
      <c r="Z47" s="19">
        <v>8</v>
      </c>
      <c r="AA47" s="19">
        <v>9</v>
      </c>
      <c r="AB47" s="19">
        <v>10</v>
      </c>
      <c r="AC47" s="19">
        <v>11</v>
      </c>
      <c r="AD47" s="19">
        <v>12</v>
      </c>
      <c r="AE47" s="13">
        <v>1</v>
      </c>
      <c r="AF47" s="13">
        <v>2</v>
      </c>
      <c r="AG47" s="19">
        <v>3</v>
      </c>
      <c r="AH47" s="19">
        <v>4</v>
      </c>
      <c r="AI47" s="19">
        <v>5</v>
      </c>
      <c r="AJ47" s="53">
        <f>SUM(D48:AI48)</f>
        <v>35</v>
      </c>
      <c r="AK47" s="44">
        <f>15.09+2.94+16.02+8.61</f>
        <v>42.66</v>
      </c>
      <c r="AL47" s="44"/>
      <c r="AM47" s="44">
        <f>10.96+6.72</f>
        <v>17.68</v>
      </c>
      <c r="AN47" s="44"/>
      <c r="AO47" s="44"/>
      <c r="AP47" s="44"/>
      <c r="AQ47" s="44"/>
      <c r="AR47" s="44"/>
      <c r="AS47" s="84">
        <f>AK47+AM47+AO47+AQ47</f>
        <v>60.339999999999996</v>
      </c>
      <c r="AT47" s="84">
        <f t="shared" ref="AT47" si="20">AL47+AN47+AP47+AR47</f>
        <v>0</v>
      </c>
      <c r="AU47" s="55">
        <v>18</v>
      </c>
      <c r="AV47" s="40"/>
      <c r="AW47" s="40"/>
      <c r="AX47" s="41"/>
    </row>
    <row r="48" spans="1:50" ht="24" customHeight="1" x14ac:dyDescent="0.35">
      <c r="A48" s="69"/>
      <c r="B48" s="39"/>
      <c r="C48" s="39"/>
      <c r="D48" s="1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>
        <v>10</v>
      </c>
      <c r="T48" s="20"/>
      <c r="U48" s="20">
        <v>10</v>
      </c>
      <c r="V48" s="20"/>
      <c r="W48" s="20"/>
      <c r="X48" s="20"/>
      <c r="Y48" s="20"/>
      <c r="Z48" s="20"/>
      <c r="AA48" s="20"/>
      <c r="AB48" s="20"/>
      <c r="AC48" s="20"/>
      <c r="AD48" s="20"/>
      <c r="AE48" s="20">
        <v>10</v>
      </c>
      <c r="AF48" s="20">
        <v>5</v>
      </c>
      <c r="AG48" s="20"/>
      <c r="AH48" s="20"/>
      <c r="AI48" s="20"/>
      <c r="AJ48" s="54"/>
      <c r="AK48" s="44"/>
      <c r="AL48" s="44"/>
      <c r="AM48" s="44"/>
      <c r="AN48" s="44"/>
      <c r="AO48" s="44"/>
      <c r="AP48" s="44"/>
      <c r="AQ48" s="44"/>
      <c r="AR48" s="44"/>
      <c r="AS48" s="84"/>
      <c r="AT48" s="84"/>
      <c r="AU48" s="56"/>
      <c r="AV48" s="40"/>
      <c r="AW48" s="40"/>
      <c r="AX48" s="41"/>
    </row>
    <row r="49" spans="1:50" ht="24" customHeight="1" x14ac:dyDescent="0.35">
      <c r="A49" s="67" t="s">
        <v>20</v>
      </c>
      <c r="B49" s="38">
        <v>2015</v>
      </c>
      <c r="C49" s="37">
        <v>25</v>
      </c>
      <c r="D49" s="37">
        <v>36.64</v>
      </c>
      <c r="E49" s="19">
        <v>5</v>
      </c>
      <c r="F49" s="19">
        <v>6</v>
      </c>
      <c r="G49" s="19">
        <v>7</v>
      </c>
      <c r="H49" s="19">
        <v>8</v>
      </c>
      <c r="I49" s="19">
        <v>9</v>
      </c>
      <c r="J49" s="19">
        <v>10</v>
      </c>
      <c r="K49" s="19">
        <v>11</v>
      </c>
      <c r="L49" s="19">
        <v>12</v>
      </c>
      <c r="M49" s="19">
        <v>13</v>
      </c>
      <c r="N49" s="19">
        <v>14</v>
      </c>
      <c r="O49" s="19">
        <v>15</v>
      </c>
      <c r="P49" s="19">
        <v>16</v>
      </c>
      <c r="Q49" s="12">
        <v>1</v>
      </c>
      <c r="R49" s="12">
        <v>2</v>
      </c>
      <c r="S49" s="12">
        <v>3</v>
      </c>
      <c r="T49" s="19">
        <v>4</v>
      </c>
      <c r="U49" s="19">
        <v>5</v>
      </c>
      <c r="V49" s="19">
        <v>6</v>
      </c>
      <c r="W49" s="19">
        <v>7</v>
      </c>
      <c r="X49" s="19">
        <v>8</v>
      </c>
      <c r="Y49" s="19">
        <v>9</v>
      </c>
      <c r="Z49" s="19">
        <v>10</v>
      </c>
      <c r="AA49" s="19">
        <v>11</v>
      </c>
      <c r="AB49" s="19">
        <v>12</v>
      </c>
      <c r="AC49" s="19">
        <v>13</v>
      </c>
      <c r="AD49" s="19">
        <v>14</v>
      </c>
      <c r="AE49" s="19">
        <v>15</v>
      </c>
      <c r="AF49" s="13">
        <v>1</v>
      </c>
      <c r="AG49" s="19">
        <v>2</v>
      </c>
      <c r="AH49" s="19">
        <v>3</v>
      </c>
      <c r="AI49" s="19">
        <v>4</v>
      </c>
      <c r="AJ49" s="53">
        <f>SUM(D50:AI50)</f>
        <v>25</v>
      </c>
      <c r="AK49" s="44">
        <f>2.79+4.65+7.06+2.18</f>
        <v>16.68</v>
      </c>
      <c r="AL49" s="44"/>
      <c r="AM49" s="44">
        <f>3.34+2.65</f>
        <v>5.99</v>
      </c>
      <c r="AN49" s="44"/>
      <c r="AO49" s="35"/>
      <c r="AP49" s="44"/>
      <c r="AQ49" s="35"/>
      <c r="AR49" s="44"/>
      <c r="AS49" s="84">
        <f>AK49+AM49+AO49+AQ49</f>
        <v>22.67</v>
      </c>
      <c r="AT49" s="84">
        <f t="shared" ref="AT49" si="21">AL49+AN49+AP49+AR49</f>
        <v>0</v>
      </c>
      <c r="AU49" s="57">
        <v>25</v>
      </c>
      <c r="AV49" s="40"/>
      <c r="AW49" s="40"/>
      <c r="AX49" s="41"/>
    </row>
    <row r="50" spans="1:50" ht="24" customHeight="1" x14ac:dyDescent="0.35">
      <c r="A50" s="68"/>
      <c r="B50" s="39"/>
      <c r="C50" s="39"/>
      <c r="D50" s="3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>
        <v>4</v>
      </c>
      <c r="R50" s="20">
        <v>7</v>
      </c>
      <c r="S50" s="20">
        <v>7</v>
      </c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>
        <v>7</v>
      </c>
      <c r="AG50" s="20"/>
      <c r="AH50" s="20"/>
      <c r="AI50" s="20"/>
      <c r="AJ50" s="54"/>
      <c r="AK50" s="44"/>
      <c r="AL50" s="44"/>
      <c r="AM50" s="44"/>
      <c r="AN50" s="44"/>
      <c r="AO50" s="36"/>
      <c r="AP50" s="44"/>
      <c r="AQ50" s="36"/>
      <c r="AR50" s="44"/>
      <c r="AS50" s="84"/>
      <c r="AT50" s="84"/>
      <c r="AU50" s="58"/>
      <c r="AV50" s="40"/>
      <c r="AW50" s="40"/>
      <c r="AX50" s="41"/>
    </row>
    <row r="51" spans="1:50" ht="24" customHeight="1" x14ac:dyDescent="0.35">
      <c r="A51" s="68"/>
      <c r="B51" s="38">
        <v>2015</v>
      </c>
      <c r="C51" s="47" t="s">
        <v>21</v>
      </c>
      <c r="D51" s="47">
        <v>22.75</v>
      </c>
      <c r="E51" s="19">
        <v>12</v>
      </c>
      <c r="F51" s="19">
        <v>13</v>
      </c>
      <c r="G51" s="19">
        <v>14</v>
      </c>
      <c r="H51" s="19">
        <v>15</v>
      </c>
      <c r="I51" s="19">
        <v>16</v>
      </c>
      <c r="J51" s="19">
        <v>17</v>
      </c>
      <c r="K51" s="19">
        <v>18</v>
      </c>
      <c r="L51" s="12">
        <v>1</v>
      </c>
      <c r="M51" s="12">
        <v>2</v>
      </c>
      <c r="N51" s="19">
        <v>3</v>
      </c>
      <c r="O51" s="19">
        <v>4</v>
      </c>
      <c r="P51" s="19">
        <v>5</v>
      </c>
      <c r="Q51" s="19">
        <v>6</v>
      </c>
      <c r="R51" s="19">
        <v>7</v>
      </c>
      <c r="S51" s="19">
        <v>8</v>
      </c>
      <c r="T51" s="19">
        <v>9</v>
      </c>
      <c r="U51" s="19">
        <v>10</v>
      </c>
      <c r="V51" s="19">
        <v>11</v>
      </c>
      <c r="W51" s="19">
        <v>12</v>
      </c>
      <c r="X51" s="19">
        <v>13</v>
      </c>
      <c r="Y51" s="19">
        <v>14</v>
      </c>
      <c r="Z51" s="19">
        <v>15</v>
      </c>
      <c r="AA51" s="19">
        <v>16</v>
      </c>
      <c r="AB51" s="19">
        <v>17</v>
      </c>
      <c r="AC51" s="19">
        <v>18</v>
      </c>
      <c r="AD51" s="19">
        <v>19</v>
      </c>
      <c r="AE51" s="13">
        <v>1</v>
      </c>
      <c r="AF51" s="19">
        <v>2</v>
      </c>
      <c r="AG51" s="19">
        <v>3</v>
      </c>
      <c r="AH51" s="19">
        <v>4</v>
      </c>
      <c r="AI51" s="19">
        <v>5</v>
      </c>
      <c r="AJ51" s="53">
        <f>SUM(D52:AI52)</f>
        <v>21</v>
      </c>
      <c r="AK51" s="44">
        <f>8.08+6.16</f>
        <v>14.24</v>
      </c>
      <c r="AL51" s="44"/>
      <c r="AM51" s="44">
        <f>6.16+4.68</f>
        <v>10.84</v>
      </c>
      <c r="AN51" s="44"/>
      <c r="AO51" s="44"/>
      <c r="AP51" s="44"/>
      <c r="AQ51" s="44"/>
      <c r="AR51" s="44"/>
      <c r="AS51" s="84">
        <f>AK51+AM51+AO51+AQ51</f>
        <v>25.08</v>
      </c>
      <c r="AT51" s="84">
        <f t="shared" ref="AT51" si="22">AL51+AN51+AP51+AR51</f>
        <v>0</v>
      </c>
      <c r="AU51" s="57" t="s">
        <v>21</v>
      </c>
      <c r="AV51" s="40"/>
      <c r="AW51" s="40"/>
      <c r="AX51" s="41"/>
    </row>
    <row r="52" spans="1:50" ht="24" customHeight="1" x14ac:dyDescent="0.35">
      <c r="A52" s="68"/>
      <c r="B52" s="39"/>
      <c r="C52" s="47"/>
      <c r="D52" s="47"/>
      <c r="E52" s="20"/>
      <c r="F52" s="20"/>
      <c r="G52" s="20"/>
      <c r="H52" s="20"/>
      <c r="I52" s="20"/>
      <c r="J52" s="20"/>
      <c r="K52" s="20"/>
      <c r="L52" s="20">
        <v>7</v>
      </c>
      <c r="M52" s="20">
        <v>7</v>
      </c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>
        <v>7</v>
      </c>
      <c r="AF52" s="20"/>
      <c r="AG52" s="20"/>
      <c r="AH52" s="20"/>
      <c r="AI52" s="20"/>
      <c r="AJ52" s="54"/>
      <c r="AK52" s="44"/>
      <c r="AL52" s="44"/>
      <c r="AM52" s="44"/>
      <c r="AN52" s="44"/>
      <c r="AO52" s="44"/>
      <c r="AP52" s="44"/>
      <c r="AQ52" s="44"/>
      <c r="AR52" s="44"/>
      <c r="AS52" s="84"/>
      <c r="AT52" s="84"/>
      <c r="AU52" s="58"/>
      <c r="AV52" s="40"/>
      <c r="AW52" s="40"/>
      <c r="AX52" s="41"/>
    </row>
    <row r="53" spans="1:50" ht="24" customHeight="1" x14ac:dyDescent="0.35">
      <c r="A53" s="68"/>
      <c r="B53" s="38">
        <v>2015</v>
      </c>
      <c r="C53" s="37">
        <v>27</v>
      </c>
      <c r="D53" s="37">
        <v>35.93</v>
      </c>
      <c r="E53" s="19">
        <v>6</v>
      </c>
      <c r="F53" s="19">
        <v>7</v>
      </c>
      <c r="G53" s="19">
        <v>8</v>
      </c>
      <c r="H53" s="19">
        <v>9</v>
      </c>
      <c r="I53" s="19">
        <v>10</v>
      </c>
      <c r="J53" s="19">
        <v>11</v>
      </c>
      <c r="K53" s="19">
        <v>12</v>
      </c>
      <c r="L53" s="19">
        <v>13</v>
      </c>
      <c r="M53" s="19">
        <v>14</v>
      </c>
      <c r="N53" s="19">
        <v>15</v>
      </c>
      <c r="O53" s="19">
        <v>16</v>
      </c>
      <c r="P53" s="12">
        <v>1</v>
      </c>
      <c r="Q53" s="12">
        <v>2</v>
      </c>
      <c r="R53" s="19">
        <v>3</v>
      </c>
      <c r="S53" s="19">
        <v>4</v>
      </c>
      <c r="T53" s="19">
        <v>5</v>
      </c>
      <c r="U53" s="19">
        <v>6</v>
      </c>
      <c r="V53" s="19">
        <v>7</v>
      </c>
      <c r="W53" s="19">
        <v>8</v>
      </c>
      <c r="X53" s="19">
        <v>9</v>
      </c>
      <c r="Y53" s="19">
        <v>10</v>
      </c>
      <c r="Z53" s="19">
        <v>11</v>
      </c>
      <c r="AA53" s="19">
        <v>12</v>
      </c>
      <c r="AB53" s="19">
        <v>13</v>
      </c>
      <c r="AC53" s="19">
        <v>14</v>
      </c>
      <c r="AD53" s="19">
        <v>15</v>
      </c>
      <c r="AE53" s="19">
        <v>16</v>
      </c>
      <c r="AF53" s="19">
        <v>17</v>
      </c>
      <c r="AG53" s="13">
        <v>1</v>
      </c>
      <c r="AH53" s="19">
        <v>2</v>
      </c>
      <c r="AI53" s="19">
        <v>3</v>
      </c>
      <c r="AJ53" s="53">
        <f>SUM(D54:AI54)</f>
        <v>22</v>
      </c>
      <c r="AK53" s="44">
        <f>3.98+4.33</f>
        <v>8.31</v>
      </c>
      <c r="AL53" s="44"/>
      <c r="AM53" s="44">
        <f>8.74</f>
        <v>8.74</v>
      </c>
      <c r="AN53" s="44"/>
      <c r="AO53" s="44"/>
      <c r="AP53" s="44"/>
      <c r="AQ53" s="35"/>
      <c r="AR53" s="44"/>
      <c r="AS53" s="84">
        <f>AK53+AM53+AO53+AQ53</f>
        <v>17.05</v>
      </c>
      <c r="AT53" s="84">
        <f t="shared" ref="AT53" si="23">AL53+AN53+AP53+AR53</f>
        <v>0</v>
      </c>
      <c r="AU53" s="57">
        <v>27</v>
      </c>
      <c r="AV53" s="40"/>
      <c r="AW53" s="40"/>
      <c r="AX53" s="41"/>
    </row>
    <row r="54" spans="1:50" ht="24" customHeight="1" x14ac:dyDescent="0.35">
      <c r="A54" s="68"/>
      <c r="B54" s="39"/>
      <c r="C54" s="39"/>
      <c r="D54" s="3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>
        <v>7</v>
      </c>
      <c r="Q54" s="20">
        <v>3</v>
      </c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>
        <v>12</v>
      </c>
      <c r="AH54" s="20"/>
      <c r="AI54" s="20"/>
      <c r="AJ54" s="54"/>
      <c r="AK54" s="44"/>
      <c r="AL54" s="44"/>
      <c r="AM54" s="44"/>
      <c r="AN54" s="44"/>
      <c r="AO54" s="44"/>
      <c r="AP54" s="44"/>
      <c r="AQ54" s="36"/>
      <c r="AR54" s="44"/>
      <c r="AS54" s="84"/>
      <c r="AT54" s="84"/>
      <c r="AU54" s="58"/>
      <c r="AV54" s="40"/>
      <c r="AW54" s="40"/>
      <c r="AX54" s="41"/>
    </row>
    <row r="55" spans="1:50" ht="24" customHeight="1" x14ac:dyDescent="0.35">
      <c r="A55" s="68"/>
      <c r="B55" s="38">
        <v>2015</v>
      </c>
      <c r="C55" s="47">
        <v>28</v>
      </c>
      <c r="D55" s="47">
        <v>25.54</v>
      </c>
      <c r="E55" s="19">
        <v>15</v>
      </c>
      <c r="F55" s="19">
        <v>16</v>
      </c>
      <c r="G55" s="19">
        <v>17</v>
      </c>
      <c r="H55" s="19">
        <v>18</v>
      </c>
      <c r="I55" s="19">
        <v>19</v>
      </c>
      <c r="J55" s="12">
        <v>1</v>
      </c>
      <c r="K55" s="12">
        <v>2</v>
      </c>
      <c r="L55" s="19">
        <v>3</v>
      </c>
      <c r="M55" s="19">
        <v>4</v>
      </c>
      <c r="N55" s="19">
        <v>5</v>
      </c>
      <c r="O55" s="19">
        <v>6</v>
      </c>
      <c r="P55" s="19">
        <v>7</v>
      </c>
      <c r="Q55" s="19">
        <v>8</v>
      </c>
      <c r="R55" s="19">
        <v>9</v>
      </c>
      <c r="S55" s="19">
        <v>10</v>
      </c>
      <c r="T55" s="19">
        <v>11</v>
      </c>
      <c r="U55" s="19">
        <v>12</v>
      </c>
      <c r="V55" s="19">
        <v>13</v>
      </c>
      <c r="W55" s="19">
        <v>14</v>
      </c>
      <c r="X55" s="19">
        <v>15</v>
      </c>
      <c r="Y55" s="19">
        <v>16</v>
      </c>
      <c r="Z55" s="19">
        <v>17</v>
      </c>
      <c r="AA55" s="19">
        <v>18</v>
      </c>
      <c r="AB55" s="13">
        <v>1</v>
      </c>
      <c r="AC55" s="19">
        <v>2</v>
      </c>
      <c r="AD55" s="13">
        <v>3</v>
      </c>
      <c r="AE55" s="19">
        <v>4</v>
      </c>
      <c r="AF55" s="19">
        <v>5</v>
      </c>
      <c r="AG55" s="19">
        <v>6</v>
      </c>
      <c r="AH55" s="19">
        <v>7</v>
      </c>
      <c r="AI55" s="19">
        <v>8</v>
      </c>
      <c r="AJ55" s="53">
        <f>SUM(D56:AI56)</f>
        <v>28</v>
      </c>
      <c r="AK55" s="44">
        <f>8.56+8.33</f>
        <v>16.89</v>
      </c>
      <c r="AL55" s="44"/>
      <c r="AM55" s="44">
        <f>4.15+3.92+4.31</f>
        <v>12.379999999999999</v>
      </c>
      <c r="AN55" s="44"/>
      <c r="AO55" s="35"/>
      <c r="AP55" s="44"/>
      <c r="AQ55" s="35"/>
      <c r="AR55" s="44"/>
      <c r="AS55" s="84">
        <f>AK55+AM55+AO55+AQ55</f>
        <v>29.27</v>
      </c>
      <c r="AT55" s="84">
        <f t="shared" ref="AT55" si="24">AL55+AN55+AP55+AR55</f>
        <v>0</v>
      </c>
      <c r="AU55" s="57">
        <v>28</v>
      </c>
      <c r="AV55" s="40"/>
      <c r="AW55" s="40"/>
      <c r="AX55" s="41"/>
    </row>
    <row r="56" spans="1:50" ht="24" customHeight="1" x14ac:dyDescent="0.35">
      <c r="A56" s="68"/>
      <c r="B56" s="39"/>
      <c r="C56" s="47"/>
      <c r="D56" s="47"/>
      <c r="E56" s="20"/>
      <c r="F56" s="20"/>
      <c r="G56" s="20"/>
      <c r="H56" s="20"/>
      <c r="I56" s="20"/>
      <c r="J56" s="20">
        <v>7</v>
      </c>
      <c r="K56" s="20">
        <v>7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>
        <v>7</v>
      </c>
      <c r="AC56" s="20"/>
      <c r="AD56" s="20">
        <v>7</v>
      </c>
      <c r="AE56" s="20"/>
      <c r="AF56" s="20"/>
      <c r="AG56" s="20"/>
      <c r="AH56" s="20"/>
      <c r="AI56" s="20"/>
      <c r="AJ56" s="54"/>
      <c r="AK56" s="44"/>
      <c r="AL56" s="44"/>
      <c r="AM56" s="44"/>
      <c r="AN56" s="44"/>
      <c r="AO56" s="36"/>
      <c r="AP56" s="44"/>
      <c r="AQ56" s="36"/>
      <c r="AR56" s="44"/>
      <c r="AS56" s="84"/>
      <c r="AT56" s="84"/>
      <c r="AU56" s="58"/>
      <c r="AV56" s="40"/>
      <c r="AW56" s="40"/>
      <c r="AX56" s="41"/>
    </row>
    <row r="57" spans="1:50" ht="24" customHeight="1" x14ac:dyDescent="0.35">
      <c r="A57" s="68"/>
      <c r="B57" s="38">
        <v>2015</v>
      </c>
      <c r="C57" s="37">
        <v>30</v>
      </c>
      <c r="D57" s="37">
        <v>66.13</v>
      </c>
      <c r="E57" s="24">
        <v>19</v>
      </c>
      <c r="F57" s="24">
        <v>20</v>
      </c>
      <c r="G57" s="24">
        <v>21</v>
      </c>
      <c r="H57" s="24">
        <v>22</v>
      </c>
      <c r="I57" s="25">
        <v>1</v>
      </c>
      <c r="J57" s="24">
        <v>2</v>
      </c>
      <c r="K57" s="24">
        <v>3</v>
      </c>
      <c r="L57" s="24">
        <v>4</v>
      </c>
      <c r="M57" s="24">
        <v>5</v>
      </c>
      <c r="N57" s="24">
        <v>6</v>
      </c>
      <c r="O57" s="24">
        <v>7</v>
      </c>
      <c r="P57" s="24">
        <v>8</v>
      </c>
      <c r="Q57" s="24">
        <v>9</v>
      </c>
      <c r="R57" s="24">
        <v>10</v>
      </c>
      <c r="S57" s="24">
        <v>11</v>
      </c>
      <c r="T57" s="24">
        <v>12</v>
      </c>
      <c r="U57" s="24">
        <v>13</v>
      </c>
      <c r="V57" s="24">
        <v>14</v>
      </c>
      <c r="W57" s="24">
        <v>15</v>
      </c>
      <c r="X57" s="24">
        <v>16</v>
      </c>
      <c r="Y57" s="26">
        <v>1</v>
      </c>
      <c r="Z57" s="26">
        <v>2</v>
      </c>
      <c r="AA57" s="24">
        <v>3</v>
      </c>
      <c r="AB57" s="24">
        <v>4</v>
      </c>
      <c r="AC57" s="24">
        <v>5</v>
      </c>
      <c r="AD57" s="24">
        <v>6</v>
      </c>
      <c r="AE57" s="24">
        <v>7</v>
      </c>
      <c r="AF57" s="24">
        <v>8</v>
      </c>
      <c r="AG57" s="24">
        <v>9</v>
      </c>
      <c r="AH57" s="24">
        <v>10</v>
      </c>
      <c r="AI57" s="24">
        <v>11</v>
      </c>
      <c r="AJ57" s="53">
        <f>SUM(D58:AI58)</f>
        <v>21</v>
      </c>
      <c r="AK57" s="44">
        <f>11.82</f>
        <v>11.82</v>
      </c>
      <c r="AL57" s="44"/>
      <c r="AM57" s="44">
        <f>8.23+0.9</f>
        <v>9.1300000000000008</v>
      </c>
      <c r="AN57" s="44"/>
      <c r="AO57" s="44"/>
      <c r="AP57" s="44"/>
      <c r="AQ57" s="44"/>
      <c r="AR57" s="44"/>
      <c r="AS57" s="84">
        <f>AK57+AM57+AO57+AQ57</f>
        <v>20.950000000000003</v>
      </c>
      <c r="AT57" s="84">
        <f t="shared" ref="AT57" si="25">AL57+AN57+AP57+AR57</f>
        <v>0</v>
      </c>
      <c r="AU57" s="57">
        <v>30</v>
      </c>
      <c r="AV57" s="40"/>
      <c r="AW57" s="40"/>
      <c r="AX57" s="41"/>
    </row>
    <row r="58" spans="1:50" ht="24" customHeight="1" x14ac:dyDescent="0.35">
      <c r="A58" s="68"/>
      <c r="B58" s="39"/>
      <c r="C58" s="39"/>
      <c r="D58" s="39"/>
      <c r="E58" s="20"/>
      <c r="F58" s="20"/>
      <c r="G58" s="20"/>
      <c r="H58" s="20"/>
      <c r="I58" s="20">
        <v>7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>
        <v>7</v>
      </c>
      <c r="Z58" s="20">
        <v>7</v>
      </c>
      <c r="AA58" s="20"/>
      <c r="AB58" s="20"/>
      <c r="AC58" s="20"/>
      <c r="AD58" s="20"/>
      <c r="AE58" s="20"/>
      <c r="AF58" s="20"/>
      <c r="AG58" s="20"/>
      <c r="AH58" s="20"/>
      <c r="AI58" s="20"/>
      <c r="AJ58" s="54"/>
      <c r="AK58" s="44"/>
      <c r="AL58" s="44"/>
      <c r="AM58" s="44"/>
      <c r="AN58" s="44"/>
      <c r="AO58" s="44"/>
      <c r="AP58" s="44"/>
      <c r="AQ58" s="44"/>
      <c r="AR58" s="44"/>
      <c r="AS58" s="84"/>
      <c r="AT58" s="84"/>
      <c r="AU58" s="58"/>
      <c r="AV58" s="40"/>
      <c r="AW58" s="40"/>
      <c r="AX58" s="41"/>
    </row>
    <row r="59" spans="1:50" ht="22.9" customHeight="1" x14ac:dyDescent="0.35">
      <c r="A59" s="68"/>
      <c r="B59" s="38">
        <v>2015</v>
      </c>
      <c r="C59" s="37">
        <v>31</v>
      </c>
      <c r="D59" s="21">
        <v>34.08</v>
      </c>
      <c r="E59" s="24">
        <v>21</v>
      </c>
      <c r="F59" s="24">
        <v>22</v>
      </c>
      <c r="G59" s="25">
        <v>1</v>
      </c>
      <c r="H59" s="25">
        <v>2</v>
      </c>
      <c r="I59" s="24">
        <v>3</v>
      </c>
      <c r="J59" s="24">
        <v>4</v>
      </c>
      <c r="K59" s="24">
        <v>5</v>
      </c>
      <c r="L59" s="24">
        <v>6</v>
      </c>
      <c r="M59" s="24">
        <v>7</v>
      </c>
      <c r="N59" s="24">
        <v>8</v>
      </c>
      <c r="O59" s="24">
        <v>9</v>
      </c>
      <c r="P59" s="24">
        <v>10</v>
      </c>
      <c r="Q59" s="24">
        <v>11</v>
      </c>
      <c r="R59" s="24">
        <v>12</v>
      </c>
      <c r="S59" s="24">
        <v>13</v>
      </c>
      <c r="T59" s="24">
        <v>14</v>
      </c>
      <c r="U59" s="24">
        <v>15</v>
      </c>
      <c r="V59" s="24">
        <v>16</v>
      </c>
      <c r="W59" s="24">
        <v>17</v>
      </c>
      <c r="X59" s="26">
        <v>1</v>
      </c>
      <c r="Y59" s="24">
        <v>2</v>
      </c>
      <c r="Z59" s="24">
        <v>3</v>
      </c>
      <c r="AA59" s="24">
        <v>4</v>
      </c>
      <c r="AB59" s="24">
        <v>5</v>
      </c>
      <c r="AC59" s="24">
        <v>6</v>
      </c>
      <c r="AD59" s="24">
        <v>7</v>
      </c>
      <c r="AE59" s="24">
        <v>8</v>
      </c>
      <c r="AF59" s="24">
        <v>9</v>
      </c>
      <c r="AG59" s="24">
        <v>10</v>
      </c>
      <c r="AH59" s="24">
        <v>11</v>
      </c>
      <c r="AI59" s="27">
        <v>1</v>
      </c>
      <c r="AJ59" s="53">
        <f>SUM(D60:AI60)</f>
        <v>26</v>
      </c>
      <c r="AK59" s="44">
        <f>4.19+6.75</f>
        <v>10.940000000000001</v>
      </c>
      <c r="AL59" s="44"/>
      <c r="AM59" s="44">
        <f>3.75+3.17</f>
        <v>6.92</v>
      </c>
      <c r="AN59" s="44"/>
      <c r="AO59" s="44">
        <f>3.15</f>
        <v>3.15</v>
      </c>
      <c r="AP59" s="44"/>
      <c r="AQ59" s="44"/>
      <c r="AR59" s="44"/>
      <c r="AS59" s="84">
        <f>AK59+AM59+AO59+AQ59</f>
        <v>21.009999999999998</v>
      </c>
      <c r="AT59" s="84">
        <f t="shared" ref="AT59" si="26">AL59+AN59+AP59+AR59</f>
        <v>0</v>
      </c>
      <c r="AU59" s="57">
        <v>31</v>
      </c>
      <c r="AV59" s="40"/>
      <c r="AW59" s="40"/>
      <c r="AX59" s="41"/>
    </row>
    <row r="60" spans="1:50" ht="24" customHeight="1" x14ac:dyDescent="0.35">
      <c r="A60" s="68"/>
      <c r="B60" s="39"/>
      <c r="C60" s="39"/>
      <c r="D60" s="10"/>
      <c r="E60" s="20"/>
      <c r="F60" s="20"/>
      <c r="G60" s="20">
        <v>7</v>
      </c>
      <c r="H60" s="20">
        <v>7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>
        <v>7</v>
      </c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>
        <v>5</v>
      </c>
      <c r="AJ60" s="54"/>
      <c r="AK60" s="44"/>
      <c r="AL60" s="44"/>
      <c r="AM60" s="44"/>
      <c r="AN60" s="44"/>
      <c r="AO60" s="44"/>
      <c r="AP60" s="44"/>
      <c r="AQ60" s="44"/>
      <c r="AR60" s="44"/>
      <c r="AS60" s="84"/>
      <c r="AT60" s="84"/>
      <c r="AU60" s="58"/>
      <c r="AV60" s="40"/>
      <c r="AW60" s="40"/>
      <c r="AX60" s="41"/>
    </row>
    <row r="61" spans="1:50" ht="24" customHeight="1" x14ac:dyDescent="0.35">
      <c r="A61" s="68"/>
      <c r="B61" s="37">
        <v>2016</v>
      </c>
      <c r="C61" s="37">
        <v>33</v>
      </c>
      <c r="D61" s="21">
        <v>28.72</v>
      </c>
      <c r="E61" s="24">
        <v>4</v>
      </c>
      <c r="F61" s="24">
        <v>5</v>
      </c>
      <c r="G61" s="24">
        <v>6</v>
      </c>
      <c r="H61" s="24">
        <v>7</v>
      </c>
      <c r="I61" s="24">
        <v>8</v>
      </c>
      <c r="J61" s="24">
        <v>9</v>
      </c>
      <c r="K61" s="24">
        <v>10</v>
      </c>
      <c r="L61" s="24">
        <v>11</v>
      </c>
      <c r="M61" s="24">
        <v>12</v>
      </c>
      <c r="N61" s="24">
        <v>13</v>
      </c>
      <c r="O61" s="24">
        <v>14</v>
      </c>
      <c r="P61" s="24">
        <v>15</v>
      </c>
      <c r="Q61" s="24">
        <v>16</v>
      </c>
      <c r="R61" s="24">
        <v>17</v>
      </c>
      <c r="S61" s="24">
        <v>18</v>
      </c>
      <c r="T61" s="24">
        <v>19</v>
      </c>
      <c r="U61" s="25">
        <v>1</v>
      </c>
      <c r="V61" s="25">
        <v>2</v>
      </c>
      <c r="W61" s="25">
        <v>3</v>
      </c>
      <c r="X61" s="24">
        <v>4</v>
      </c>
      <c r="Y61" s="24">
        <v>5</v>
      </c>
      <c r="Z61" s="24">
        <v>6</v>
      </c>
      <c r="AA61" s="24">
        <v>7</v>
      </c>
      <c r="AB61" s="24">
        <v>8</v>
      </c>
      <c r="AC61" s="24">
        <v>9</v>
      </c>
      <c r="AD61" s="24">
        <v>10</v>
      </c>
      <c r="AE61" s="24">
        <v>11</v>
      </c>
      <c r="AF61" s="24">
        <v>12</v>
      </c>
      <c r="AG61" s="26">
        <v>1</v>
      </c>
      <c r="AH61" s="26">
        <v>2</v>
      </c>
      <c r="AI61" s="24">
        <v>3</v>
      </c>
      <c r="AJ61" s="53">
        <f>SUM(D62:AI62)</f>
        <v>35</v>
      </c>
      <c r="AK61" s="44">
        <f>7.38+4.4+7.3</f>
        <v>19.080000000000002</v>
      </c>
      <c r="AL61" s="44"/>
      <c r="AM61" s="44">
        <f>3.02+3.47</f>
        <v>6.49</v>
      </c>
      <c r="AN61" s="44"/>
      <c r="AO61" s="44"/>
      <c r="AP61" s="44"/>
      <c r="AQ61" s="35"/>
      <c r="AR61" s="44"/>
      <c r="AS61" s="84">
        <f>AK61+AM61+AO61+AQ61</f>
        <v>25.57</v>
      </c>
      <c r="AT61" s="84">
        <f t="shared" ref="AT61" si="27">AL61+AN61+AP61+AR61</f>
        <v>0</v>
      </c>
      <c r="AU61" s="57">
        <v>33</v>
      </c>
      <c r="AV61" s="40"/>
      <c r="AW61" s="40"/>
      <c r="AX61" s="41"/>
    </row>
    <row r="62" spans="1:50" ht="24" customHeight="1" x14ac:dyDescent="0.35">
      <c r="A62" s="68"/>
      <c r="B62" s="39"/>
      <c r="C62" s="39"/>
      <c r="D62" s="1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>
        <v>7</v>
      </c>
      <c r="V62" s="20">
        <v>7</v>
      </c>
      <c r="W62" s="20">
        <v>7</v>
      </c>
      <c r="X62" s="20"/>
      <c r="Y62" s="20"/>
      <c r="Z62" s="20"/>
      <c r="AA62" s="20"/>
      <c r="AB62" s="20"/>
      <c r="AC62" s="20"/>
      <c r="AD62" s="20"/>
      <c r="AE62" s="20"/>
      <c r="AF62" s="20"/>
      <c r="AG62" s="20">
        <v>7</v>
      </c>
      <c r="AH62" s="20">
        <v>7</v>
      </c>
      <c r="AI62" s="20"/>
      <c r="AJ62" s="54"/>
      <c r="AK62" s="44"/>
      <c r="AL62" s="44"/>
      <c r="AM62" s="44"/>
      <c r="AN62" s="44"/>
      <c r="AO62" s="44"/>
      <c r="AP62" s="44"/>
      <c r="AQ62" s="36"/>
      <c r="AR62" s="44"/>
      <c r="AS62" s="84"/>
      <c r="AT62" s="84"/>
      <c r="AU62" s="58"/>
      <c r="AV62" s="40"/>
      <c r="AW62" s="40"/>
      <c r="AX62" s="41"/>
    </row>
    <row r="63" spans="1:50" ht="24" customHeight="1" x14ac:dyDescent="0.35">
      <c r="A63" s="68"/>
      <c r="B63" s="72">
        <v>2016</v>
      </c>
      <c r="C63" s="70">
        <v>39</v>
      </c>
      <c r="D63" s="6">
        <v>1.48</v>
      </c>
      <c r="E63" s="19">
        <v>16</v>
      </c>
      <c r="F63" s="19">
        <v>17</v>
      </c>
      <c r="G63" s="19">
        <v>18</v>
      </c>
      <c r="H63" s="19">
        <v>19</v>
      </c>
      <c r="I63" s="19">
        <v>20</v>
      </c>
      <c r="J63" s="19">
        <v>21</v>
      </c>
      <c r="K63" s="19">
        <v>22</v>
      </c>
      <c r="L63" s="19">
        <v>23</v>
      </c>
      <c r="M63" s="19">
        <v>24</v>
      </c>
      <c r="N63" s="12">
        <v>1</v>
      </c>
      <c r="O63" s="19">
        <v>2</v>
      </c>
      <c r="P63" s="19">
        <v>3</v>
      </c>
      <c r="Q63" s="19">
        <v>4</v>
      </c>
      <c r="R63" s="19">
        <v>5</v>
      </c>
      <c r="S63" s="19">
        <v>6</v>
      </c>
      <c r="T63" s="19">
        <v>7</v>
      </c>
      <c r="U63" s="19">
        <v>8</v>
      </c>
      <c r="V63" s="19">
        <v>9</v>
      </c>
      <c r="W63" s="19">
        <v>10</v>
      </c>
      <c r="X63" s="19">
        <v>11</v>
      </c>
      <c r="Y63" s="19">
        <v>12</v>
      </c>
      <c r="Z63" s="19">
        <v>13</v>
      </c>
      <c r="AA63" s="13">
        <v>1</v>
      </c>
      <c r="AB63" s="19">
        <v>2</v>
      </c>
      <c r="AC63" s="19">
        <v>3</v>
      </c>
      <c r="AD63" s="19">
        <v>4</v>
      </c>
      <c r="AE63" s="19">
        <v>5</v>
      </c>
      <c r="AF63" s="19">
        <v>6</v>
      </c>
      <c r="AG63" s="19">
        <v>7</v>
      </c>
      <c r="AH63" s="19">
        <v>8</v>
      </c>
      <c r="AI63" s="19">
        <v>9</v>
      </c>
      <c r="AJ63" s="53">
        <f>SUM(D64:AI64)</f>
        <v>14</v>
      </c>
      <c r="AK63" s="44">
        <f>2.06</f>
        <v>2.06</v>
      </c>
      <c r="AL63" s="44"/>
      <c r="AM63" s="44">
        <f>0.87</f>
        <v>0.87</v>
      </c>
      <c r="AN63" s="44"/>
      <c r="AO63" s="44"/>
      <c r="AP63" s="44"/>
      <c r="AQ63" s="44"/>
      <c r="AR63" s="44"/>
      <c r="AS63" s="84">
        <f>AK63+AM63+AO63+AQ63</f>
        <v>2.93</v>
      </c>
      <c r="AT63" s="84">
        <f t="shared" ref="AT63" si="28">AL63+AN63+AP63+AR63</f>
        <v>0</v>
      </c>
      <c r="AU63" s="57">
        <v>39</v>
      </c>
      <c r="AV63" s="40"/>
      <c r="AW63" s="40"/>
      <c r="AX63" s="41"/>
    </row>
    <row r="64" spans="1:50" ht="24" customHeight="1" x14ac:dyDescent="0.35">
      <c r="A64" s="69"/>
      <c r="B64" s="72"/>
      <c r="C64" s="71"/>
      <c r="D64" s="10"/>
      <c r="E64" s="20"/>
      <c r="F64" s="20"/>
      <c r="G64" s="20"/>
      <c r="H64" s="20"/>
      <c r="I64" s="20"/>
      <c r="J64" s="20"/>
      <c r="K64" s="20"/>
      <c r="L64" s="20"/>
      <c r="M64" s="20"/>
      <c r="N64" s="20">
        <v>7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>
        <v>7</v>
      </c>
      <c r="AB64" s="20"/>
      <c r="AC64" s="20"/>
      <c r="AD64" s="20"/>
      <c r="AE64" s="20"/>
      <c r="AF64" s="20"/>
      <c r="AG64" s="20"/>
      <c r="AH64" s="20"/>
      <c r="AI64" s="20"/>
      <c r="AJ64" s="54"/>
      <c r="AK64" s="44"/>
      <c r="AL64" s="44"/>
      <c r="AM64" s="44"/>
      <c r="AN64" s="44"/>
      <c r="AO64" s="44"/>
      <c r="AP64" s="44"/>
      <c r="AQ64" s="44"/>
      <c r="AR64" s="44"/>
      <c r="AS64" s="84"/>
      <c r="AT64" s="84"/>
      <c r="AU64" s="58"/>
      <c r="AV64" s="40"/>
      <c r="AW64" s="40"/>
      <c r="AX64" s="41"/>
    </row>
    <row r="65" spans="1:50" ht="24" customHeight="1" x14ac:dyDescent="0.35">
      <c r="A65" s="67" t="s">
        <v>22</v>
      </c>
      <c r="B65" s="37">
        <v>2010</v>
      </c>
      <c r="C65" s="37">
        <v>2</v>
      </c>
      <c r="D65" s="6">
        <v>60.4</v>
      </c>
      <c r="E65" s="28">
        <v>19</v>
      </c>
      <c r="F65" s="12">
        <v>1</v>
      </c>
      <c r="G65" s="19">
        <v>2</v>
      </c>
      <c r="H65" s="19">
        <v>3</v>
      </c>
      <c r="I65" s="19">
        <v>4</v>
      </c>
      <c r="J65" s="19">
        <v>5</v>
      </c>
      <c r="K65" s="19">
        <v>6</v>
      </c>
      <c r="L65" s="19">
        <v>7</v>
      </c>
      <c r="M65" s="19">
        <v>8</v>
      </c>
      <c r="N65" s="19">
        <v>9</v>
      </c>
      <c r="O65" s="19">
        <v>10</v>
      </c>
      <c r="P65" s="19">
        <v>11</v>
      </c>
      <c r="Q65" s="13">
        <v>1</v>
      </c>
      <c r="R65" s="13">
        <v>2</v>
      </c>
      <c r="S65" s="13">
        <v>3</v>
      </c>
      <c r="T65" s="19">
        <v>4</v>
      </c>
      <c r="U65" s="13">
        <v>5</v>
      </c>
      <c r="V65" s="13">
        <v>6</v>
      </c>
      <c r="W65" s="13">
        <v>7</v>
      </c>
      <c r="X65" s="13">
        <v>8</v>
      </c>
      <c r="Y65" s="13">
        <v>9</v>
      </c>
      <c r="Z65" s="13">
        <v>10</v>
      </c>
      <c r="AA65" s="13">
        <v>11</v>
      </c>
      <c r="AB65" s="19">
        <v>12</v>
      </c>
      <c r="AC65" s="19">
        <v>13</v>
      </c>
      <c r="AD65" s="13">
        <v>14</v>
      </c>
      <c r="AE65" s="13">
        <v>15</v>
      </c>
      <c r="AF65" s="13">
        <v>16</v>
      </c>
      <c r="AG65" s="13">
        <v>17</v>
      </c>
      <c r="AH65" s="13">
        <v>18</v>
      </c>
      <c r="AI65" s="13">
        <v>19</v>
      </c>
      <c r="AJ65" s="53">
        <f>SUM(D66:AI66)</f>
        <v>102</v>
      </c>
      <c r="AK65" s="44">
        <f>3.25</f>
        <v>3.25</v>
      </c>
      <c r="AL65" s="44"/>
      <c r="AM65" s="44">
        <f>11.14+7.01+9.33+2.77+4.38+6.03+6.18+8.45+13.82+5.04+7.19+5.38</f>
        <v>86.719999999999985</v>
      </c>
      <c r="AN65" s="44"/>
      <c r="AO65" s="44"/>
      <c r="AP65" s="44"/>
      <c r="AQ65" s="44"/>
      <c r="AR65" s="44"/>
      <c r="AS65" s="84">
        <f>AK65+AM65+AO65+AQ65</f>
        <v>89.969999999999985</v>
      </c>
      <c r="AT65" s="84">
        <f>AL65+AN65+AP65+AR65</f>
        <v>0</v>
      </c>
      <c r="AU65" s="61">
        <v>2</v>
      </c>
      <c r="AV65" s="40"/>
      <c r="AW65" s="40"/>
      <c r="AX65" s="41"/>
    </row>
    <row r="66" spans="1:50" ht="24" customHeight="1" x14ac:dyDescent="0.35">
      <c r="A66" s="68"/>
      <c r="B66" s="38"/>
      <c r="C66" s="39"/>
      <c r="D66" s="10"/>
      <c r="E66" s="20"/>
      <c r="F66" s="20">
        <v>4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>
        <v>6</v>
      </c>
      <c r="R66" s="20">
        <v>5</v>
      </c>
      <c r="S66" s="20">
        <v>6</v>
      </c>
      <c r="T66" s="20"/>
      <c r="U66" s="20">
        <v>6</v>
      </c>
      <c r="V66" s="20">
        <v>5</v>
      </c>
      <c r="W66" s="20">
        <v>6</v>
      </c>
      <c r="X66" s="20">
        <v>4</v>
      </c>
      <c r="Y66" s="20">
        <v>5</v>
      </c>
      <c r="Z66" s="20">
        <v>7</v>
      </c>
      <c r="AA66" s="20">
        <v>5</v>
      </c>
      <c r="AB66" s="20">
        <v>4</v>
      </c>
      <c r="AC66" s="20"/>
      <c r="AD66" s="20">
        <v>7</v>
      </c>
      <c r="AE66" s="20">
        <v>7</v>
      </c>
      <c r="AF66" s="20">
        <v>6</v>
      </c>
      <c r="AG66" s="20">
        <v>6</v>
      </c>
      <c r="AH66" s="20">
        <v>6</v>
      </c>
      <c r="AI66" s="20">
        <v>7</v>
      </c>
      <c r="AJ66" s="54"/>
      <c r="AK66" s="44"/>
      <c r="AL66" s="44"/>
      <c r="AM66" s="44"/>
      <c r="AN66" s="44"/>
      <c r="AO66" s="44"/>
      <c r="AP66" s="44"/>
      <c r="AQ66" s="44"/>
      <c r="AR66" s="44"/>
      <c r="AS66" s="84"/>
      <c r="AT66" s="84"/>
      <c r="AU66" s="62"/>
      <c r="AV66" s="40"/>
      <c r="AW66" s="40"/>
      <c r="AX66" s="41"/>
    </row>
    <row r="67" spans="1:50" ht="24" customHeight="1" x14ac:dyDescent="0.35">
      <c r="A67" s="68"/>
      <c r="B67" s="37">
        <v>2010</v>
      </c>
      <c r="C67" s="37">
        <v>11</v>
      </c>
      <c r="D67" s="6">
        <v>44.5</v>
      </c>
      <c r="E67" s="19">
        <v>34</v>
      </c>
      <c r="F67" s="19">
        <v>35</v>
      </c>
      <c r="G67" s="19">
        <v>36</v>
      </c>
      <c r="H67" s="12">
        <v>1</v>
      </c>
      <c r="I67" s="12">
        <v>2</v>
      </c>
      <c r="J67" s="12">
        <v>3</v>
      </c>
      <c r="K67" s="12">
        <v>4</v>
      </c>
      <c r="L67" s="12">
        <v>5</v>
      </c>
      <c r="M67" s="12">
        <v>6</v>
      </c>
      <c r="N67" s="12">
        <v>7</v>
      </c>
      <c r="O67" s="12">
        <v>8</v>
      </c>
      <c r="P67" s="12">
        <v>9</v>
      </c>
      <c r="Q67" s="19">
        <v>10</v>
      </c>
      <c r="R67" s="19">
        <v>11</v>
      </c>
      <c r="S67" s="19">
        <v>12</v>
      </c>
      <c r="T67" s="19">
        <v>13</v>
      </c>
      <c r="U67" s="19">
        <v>14</v>
      </c>
      <c r="V67" s="19">
        <v>15</v>
      </c>
      <c r="W67" s="13">
        <v>1</v>
      </c>
      <c r="X67" s="19">
        <v>2</v>
      </c>
      <c r="Y67" s="19">
        <v>3</v>
      </c>
      <c r="Z67" s="19">
        <v>4</v>
      </c>
      <c r="AA67" s="19">
        <v>5</v>
      </c>
      <c r="AB67" s="19">
        <v>6</v>
      </c>
      <c r="AC67" s="19">
        <v>7</v>
      </c>
      <c r="AD67" s="19">
        <v>8</v>
      </c>
      <c r="AE67" s="19">
        <v>9</v>
      </c>
      <c r="AF67" s="19">
        <v>10</v>
      </c>
      <c r="AG67" s="19">
        <v>11</v>
      </c>
      <c r="AH67" s="19">
        <v>12</v>
      </c>
      <c r="AI67" s="19">
        <v>13</v>
      </c>
      <c r="AJ67" s="48">
        <f>SUM(D68:AI68)</f>
        <v>62</v>
      </c>
      <c r="AK67" s="44">
        <f>1.76+5.73+2.47+4.04+4.16+7.42+4.17+5.09</f>
        <v>34.840000000000003</v>
      </c>
      <c r="AL67" s="44"/>
      <c r="AM67" s="44">
        <f>14.29+1.44</f>
        <v>15.729999999999999</v>
      </c>
      <c r="AN67" s="44"/>
      <c r="AO67" s="44"/>
      <c r="AP67" s="44"/>
      <c r="AQ67" s="44"/>
      <c r="AR67" s="44"/>
      <c r="AS67" s="84">
        <f>AK67+AM67+AO67+AQ67</f>
        <v>50.57</v>
      </c>
      <c r="AT67" s="84">
        <f t="shared" ref="AT67" si="29">AL67+AN67+AP67+AR67</f>
        <v>0</v>
      </c>
      <c r="AU67" s="61">
        <v>11</v>
      </c>
      <c r="AV67" s="40"/>
      <c r="AW67" s="40"/>
      <c r="AX67" s="41"/>
    </row>
    <row r="68" spans="1:50" ht="24" customHeight="1" x14ac:dyDescent="0.35">
      <c r="A68" s="68"/>
      <c r="B68" s="39"/>
      <c r="C68" s="39"/>
      <c r="D68" s="10"/>
      <c r="E68" s="20"/>
      <c r="F68" s="20"/>
      <c r="G68" s="20"/>
      <c r="H68" s="20">
        <v>2</v>
      </c>
      <c r="I68" s="20">
        <v>3</v>
      </c>
      <c r="J68" s="20">
        <v>6</v>
      </c>
      <c r="K68" s="20">
        <v>5</v>
      </c>
      <c r="L68" s="20">
        <v>5</v>
      </c>
      <c r="M68" s="20">
        <v>6</v>
      </c>
      <c r="N68" s="20">
        <v>6</v>
      </c>
      <c r="O68" s="20">
        <v>6</v>
      </c>
      <c r="P68" s="20">
        <v>6</v>
      </c>
      <c r="Q68" s="20"/>
      <c r="R68" s="20"/>
      <c r="S68" s="20"/>
      <c r="T68" s="20"/>
      <c r="U68" s="20"/>
      <c r="V68" s="20"/>
      <c r="W68" s="20">
        <v>17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49"/>
      <c r="AK68" s="44"/>
      <c r="AL68" s="44"/>
      <c r="AM68" s="44"/>
      <c r="AN68" s="44"/>
      <c r="AO68" s="44"/>
      <c r="AP68" s="44"/>
      <c r="AQ68" s="44"/>
      <c r="AR68" s="44"/>
      <c r="AS68" s="84"/>
      <c r="AT68" s="84"/>
      <c r="AU68" s="62"/>
      <c r="AV68" s="40"/>
      <c r="AW68" s="40"/>
      <c r="AX68" s="41"/>
    </row>
    <row r="69" spans="1:50" ht="24" customHeight="1" x14ac:dyDescent="0.35">
      <c r="A69" s="68"/>
      <c r="B69" s="37">
        <v>2015</v>
      </c>
      <c r="C69" s="37">
        <v>29</v>
      </c>
      <c r="D69" s="21">
        <v>11.38</v>
      </c>
      <c r="E69" s="24">
        <v>10</v>
      </c>
      <c r="F69" s="24">
        <v>11</v>
      </c>
      <c r="G69" s="24">
        <v>12</v>
      </c>
      <c r="H69" s="24">
        <v>13</v>
      </c>
      <c r="I69" s="24">
        <v>14</v>
      </c>
      <c r="J69" s="24">
        <v>15</v>
      </c>
      <c r="K69" s="24">
        <v>16</v>
      </c>
      <c r="L69" s="24">
        <v>17</v>
      </c>
      <c r="M69" s="24">
        <v>18</v>
      </c>
      <c r="N69" s="24">
        <v>19</v>
      </c>
      <c r="O69" s="25">
        <v>1</v>
      </c>
      <c r="P69" s="24">
        <v>2</v>
      </c>
      <c r="Q69" s="24">
        <v>3</v>
      </c>
      <c r="R69" s="24">
        <v>4</v>
      </c>
      <c r="S69" s="24">
        <v>5</v>
      </c>
      <c r="T69" s="24">
        <v>6</v>
      </c>
      <c r="U69" s="24">
        <v>7</v>
      </c>
      <c r="V69" s="24">
        <v>8</v>
      </c>
      <c r="W69" s="24">
        <v>9</v>
      </c>
      <c r="X69" s="24">
        <v>10</v>
      </c>
      <c r="Y69" s="24">
        <v>11</v>
      </c>
      <c r="Z69" s="24">
        <v>12</v>
      </c>
      <c r="AA69" s="24">
        <v>13</v>
      </c>
      <c r="AB69" s="24">
        <v>14</v>
      </c>
      <c r="AC69" s="24">
        <v>15</v>
      </c>
      <c r="AD69" s="24">
        <v>16</v>
      </c>
      <c r="AE69" s="24">
        <v>17</v>
      </c>
      <c r="AF69" s="26">
        <v>1</v>
      </c>
      <c r="AG69" s="24">
        <v>2</v>
      </c>
      <c r="AH69" s="24">
        <v>3</v>
      </c>
      <c r="AI69" s="24">
        <v>4</v>
      </c>
      <c r="AJ69" s="53">
        <f>SUM(D70:AI70)</f>
        <v>19</v>
      </c>
      <c r="AK69" s="44">
        <f>3.14+3.03</f>
        <v>6.17</v>
      </c>
      <c r="AL69" s="44"/>
      <c r="AM69" s="44">
        <f>3.58</f>
        <v>3.58</v>
      </c>
      <c r="AN69" s="44"/>
      <c r="AO69" s="44"/>
      <c r="AP69" s="44"/>
      <c r="AQ69" s="35"/>
      <c r="AR69" s="44"/>
      <c r="AS69" s="84">
        <f>AK69+AM69+AO69+AQ69</f>
        <v>9.75</v>
      </c>
      <c r="AT69" s="84">
        <f t="shared" ref="AT69" si="30">AL69+AN69+AP69+AR69</f>
        <v>0</v>
      </c>
      <c r="AU69" s="61">
        <v>29</v>
      </c>
      <c r="AV69" s="40"/>
      <c r="AW69" s="40"/>
      <c r="AX69" s="41"/>
    </row>
    <row r="70" spans="1:50" ht="24" customHeight="1" x14ac:dyDescent="0.35">
      <c r="A70" s="68"/>
      <c r="B70" s="39"/>
      <c r="C70" s="39"/>
      <c r="D70" s="21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>
        <v>7</v>
      </c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>
        <v>12</v>
      </c>
      <c r="AG70" s="29"/>
      <c r="AH70" s="29"/>
      <c r="AI70" s="29"/>
      <c r="AJ70" s="54"/>
      <c r="AK70" s="44"/>
      <c r="AL70" s="44"/>
      <c r="AM70" s="44"/>
      <c r="AN70" s="44"/>
      <c r="AO70" s="44"/>
      <c r="AP70" s="44"/>
      <c r="AQ70" s="36"/>
      <c r="AR70" s="44"/>
      <c r="AS70" s="84"/>
      <c r="AT70" s="84"/>
      <c r="AU70" s="62"/>
      <c r="AV70" s="40"/>
      <c r="AW70" s="40"/>
      <c r="AX70" s="41"/>
    </row>
    <row r="71" spans="1:50" ht="24" customHeight="1" x14ac:dyDescent="0.35">
      <c r="A71" s="30"/>
      <c r="B71" s="37">
        <v>2014</v>
      </c>
      <c r="C71" s="37">
        <v>105</v>
      </c>
      <c r="D71" s="37"/>
      <c r="E71" s="24">
        <v>557</v>
      </c>
      <c r="F71" s="24">
        <v>558</v>
      </c>
      <c r="G71" s="24">
        <v>559</v>
      </c>
      <c r="H71" s="24">
        <v>560</v>
      </c>
      <c r="I71" s="24">
        <v>561</v>
      </c>
      <c r="J71" s="24">
        <v>562</v>
      </c>
      <c r="K71" s="24">
        <v>563</v>
      </c>
      <c r="L71" s="24">
        <v>564</v>
      </c>
      <c r="M71" s="24">
        <v>565</v>
      </c>
      <c r="N71" s="24">
        <v>566</v>
      </c>
      <c r="O71" s="24">
        <v>567</v>
      </c>
      <c r="P71" s="24">
        <v>568</v>
      </c>
      <c r="Q71" s="24">
        <v>569</v>
      </c>
      <c r="R71" s="24">
        <v>570</v>
      </c>
      <c r="S71" s="24">
        <v>571</v>
      </c>
      <c r="T71" s="24">
        <v>572</v>
      </c>
      <c r="U71" s="24">
        <v>573</v>
      </c>
      <c r="V71" s="24">
        <v>574</v>
      </c>
      <c r="W71" s="24">
        <v>575</v>
      </c>
      <c r="X71" s="24">
        <v>576</v>
      </c>
      <c r="Y71" s="24">
        <v>577</v>
      </c>
      <c r="Z71" s="24">
        <v>578</v>
      </c>
      <c r="AA71" s="24">
        <v>579</v>
      </c>
      <c r="AB71" s="24">
        <v>580</v>
      </c>
      <c r="AC71" s="24">
        <v>581</v>
      </c>
      <c r="AD71" s="24">
        <v>582</v>
      </c>
      <c r="AE71" s="24">
        <v>583</v>
      </c>
      <c r="AF71" s="24">
        <v>584</v>
      </c>
      <c r="AG71" s="24">
        <v>585</v>
      </c>
      <c r="AH71" s="24">
        <v>586</v>
      </c>
      <c r="AI71" s="24">
        <v>587</v>
      </c>
      <c r="AJ71" s="53">
        <f>SUM(D72:AI72)</f>
        <v>0</v>
      </c>
      <c r="AK71" s="44"/>
      <c r="AL71" s="44"/>
      <c r="AM71" s="44"/>
      <c r="AN71" s="44"/>
      <c r="AO71" s="44"/>
      <c r="AP71" s="44"/>
      <c r="AQ71" s="44"/>
      <c r="AR71" s="44"/>
      <c r="AS71" s="84">
        <f>AK71+AM71+AO71+AQ71</f>
        <v>0</v>
      </c>
      <c r="AT71" s="84">
        <f t="shared" ref="AT71" si="31">AL71+AN71+AP71+AR71</f>
        <v>0</v>
      </c>
      <c r="AU71" s="57">
        <v>105</v>
      </c>
      <c r="AV71" s="40"/>
      <c r="AW71" s="40"/>
      <c r="AX71" s="41"/>
    </row>
    <row r="72" spans="1:50" ht="24" customHeight="1" x14ac:dyDescent="0.35">
      <c r="A72" s="31"/>
      <c r="B72" s="39"/>
      <c r="C72" s="39"/>
      <c r="D72" s="39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54"/>
      <c r="AK72" s="44"/>
      <c r="AL72" s="44"/>
      <c r="AM72" s="44"/>
      <c r="AN72" s="44"/>
      <c r="AO72" s="44"/>
      <c r="AP72" s="44"/>
      <c r="AQ72" s="44"/>
      <c r="AR72" s="44"/>
      <c r="AS72" s="84"/>
      <c r="AT72" s="84"/>
      <c r="AU72" s="58"/>
      <c r="AV72" s="40"/>
      <c r="AW72" s="40"/>
      <c r="AX72" s="41"/>
    </row>
    <row r="73" spans="1:50" ht="24" customHeight="1" x14ac:dyDescent="0.35">
      <c r="A73" s="31"/>
      <c r="B73" s="37">
        <v>2008</v>
      </c>
      <c r="C73" s="37">
        <v>114</v>
      </c>
      <c r="D73" s="21"/>
      <c r="E73" s="24">
        <v>557</v>
      </c>
      <c r="F73" s="24">
        <v>558</v>
      </c>
      <c r="G73" s="24">
        <v>559</v>
      </c>
      <c r="H73" s="24">
        <v>560</v>
      </c>
      <c r="I73" s="24">
        <v>561</v>
      </c>
      <c r="J73" s="24">
        <v>562</v>
      </c>
      <c r="K73" s="24">
        <v>563</v>
      </c>
      <c r="L73" s="24">
        <v>564</v>
      </c>
      <c r="M73" s="24">
        <v>565</v>
      </c>
      <c r="N73" s="24">
        <v>566</v>
      </c>
      <c r="O73" s="24">
        <v>567</v>
      </c>
      <c r="P73" s="24">
        <v>568</v>
      </c>
      <c r="Q73" s="24">
        <v>569</v>
      </c>
      <c r="R73" s="24">
        <v>570</v>
      </c>
      <c r="S73" s="24">
        <v>571</v>
      </c>
      <c r="T73" s="24">
        <v>572</v>
      </c>
      <c r="U73" s="24">
        <v>573</v>
      </c>
      <c r="V73" s="24">
        <v>574</v>
      </c>
      <c r="W73" s="24">
        <v>575</v>
      </c>
      <c r="X73" s="24">
        <v>576</v>
      </c>
      <c r="Y73" s="24">
        <v>577</v>
      </c>
      <c r="Z73" s="24">
        <v>578</v>
      </c>
      <c r="AA73" s="24">
        <v>579</v>
      </c>
      <c r="AB73" s="24">
        <v>580</v>
      </c>
      <c r="AC73" s="24">
        <v>581</v>
      </c>
      <c r="AD73" s="24">
        <v>582</v>
      </c>
      <c r="AE73" s="24">
        <v>583</v>
      </c>
      <c r="AF73" s="24">
        <v>584</v>
      </c>
      <c r="AG73" s="24">
        <v>585</v>
      </c>
      <c r="AH73" s="24">
        <v>586</v>
      </c>
      <c r="AI73" s="24">
        <v>587</v>
      </c>
      <c r="AJ73" s="53">
        <f>SUM(D74:AI74)</f>
        <v>0</v>
      </c>
      <c r="AK73" s="44"/>
      <c r="AL73" s="44"/>
      <c r="AM73" s="44"/>
      <c r="AN73" s="44"/>
      <c r="AO73" s="44"/>
      <c r="AP73" s="44"/>
      <c r="AQ73" s="44"/>
      <c r="AR73" s="44"/>
      <c r="AS73" s="84">
        <f t="shared" ref="AS73:AT73" si="32">AK73+AM73+AO73+AQ73</f>
        <v>0</v>
      </c>
      <c r="AT73" s="84">
        <f t="shared" si="32"/>
        <v>0</v>
      </c>
      <c r="AU73" s="57">
        <v>114</v>
      </c>
      <c r="AV73" s="40"/>
      <c r="AW73" s="40"/>
      <c r="AX73" s="41"/>
    </row>
    <row r="74" spans="1:50" ht="24" customHeight="1" x14ac:dyDescent="0.35">
      <c r="A74" s="32"/>
      <c r="B74" s="39"/>
      <c r="C74" s="39"/>
      <c r="D74" s="10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54"/>
      <c r="AK74" s="44"/>
      <c r="AL74" s="44"/>
      <c r="AM74" s="44"/>
      <c r="AN74" s="44"/>
      <c r="AO74" s="44"/>
      <c r="AP74" s="44"/>
      <c r="AQ74" s="44"/>
      <c r="AR74" s="44"/>
      <c r="AS74" s="84"/>
      <c r="AT74" s="84"/>
      <c r="AU74" s="82"/>
      <c r="AV74" s="40"/>
      <c r="AW74" s="40"/>
      <c r="AX74" s="41"/>
    </row>
    <row r="75" spans="1:50" ht="21" customHeight="1" x14ac:dyDescent="0.35">
      <c r="A75" s="50" t="s">
        <v>23</v>
      </c>
      <c r="B75" s="51"/>
      <c r="C75" s="51"/>
      <c r="D75" s="51"/>
      <c r="E75" s="34">
        <f>E6+E8+E10+E12+E14+E16+E18+E20+E22+E24+E26+E28+E30+E32+E34+E36+E38+E40+E42+E44+E46+E48+E50+E52+E54+E56+E58+E60+E62+E68+E64+E66+E70+E72+E74</f>
        <v>0</v>
      </c>
      <c r="F75" s="34">
        <f t="shared" ref="F75:AI75" si="33">F6+F8+F10+F12+F14+F16+F18+F20+F22+F24+F26+F28+F30+F32+F34+F36+F38+F40+F42+F44+F46+F48+F50+F52+F54+F56+F58+F60+F62+F68+F64+F66+F70+F72+F74</f>
        <v>21</v>
      </c>
      <c r="G75" s="34">
        <f t="shared" si="33"/>
        <v>23</v>
      </c>
      <c r="H75" s="34">
        <f t="shared" si="33"/>
        <v>50</v>
      </c>
      <c r="I75" s="34">
        <f t="shared" si="33"/>
        <v>51</v>
      </c>
      <c r="J75" s="34">
        <f t="shared" si="33"/>
        <v>60</v>
      </c>
      <c r="K75" s="34">
        <f t="shared" si="33"/>
        <v>53</v>
      </c>
      <c r="L75" s="34">
        <f t="shared" si="33"/>
        <v>54</v>
      </c>
      <c r="M75" s="34">
        <f t="shared" si="33"/>
        <v>56</v>
      </c>
      <c r="N75" s="34">
        <f t="shared" si="33"/>
        <v>54</v>
      </c>
      <c r="O75" s="34">
        <f t="shared" si="33"/>
        <v>59</v>
      </c>
      <c r="P75" s="34">
        <f t="shared" si="33"/>
        <v>57</v>
      </c>
      <c r="Q75" s="34">
        <f t="shared" si="33"/>
        <v>57</v>
      </c>
      <c r="R75" s="34">
        <f t="shared" si="33"/>
        <v>57</v>
      </c>
      <c r="S75" s="34">
        <f t="shared" si="33"/>
        <v>62</v>
      </c>
      <c r="T75" s="34">
        <f t="shared" si="33"/>
        <v>0</v>
      </c>
      <c r="U75" s="34">
        <f t="shared" si="33"/>
        <v>58</v>
      </c>
      <c r="V75" s="34">
        <f t="shared" si="33"/>
        <v>57</v>
      </c>
      <c r="W75" s="34">
        <f t="shared" si="33"/>
        <v>61</v>
      </c>
      <c r="X75" s="34">
        <f t="shared" si="33"/>
        <v>57</v>
      </c>
      <c r="Y75" s="34">
        <f t="shared" si="33"/>
        <v>57</v>
      </c>
      <c r="Z75" s="34">
        <f t="shared" si="33"/>
        <v>61</v>
      </c>
      <c r="AA75" s="34">
        <f t="shared" si="33"/>
        <v>68</v>
      </c>
      <c r="AB75" s="34">
        <f t="shared" si="33"/>
        <v>60</v>
      </c>
      <c r="AC75" s="34">
        <f t="shared" si="33"/>
        <v>10</v>
      </c>
      <c r="AD75" s="34">
        <f t="shared" si="33"/>
        <v>58</v>
      </c>
      <c r="AE75" s="34">
        <f t="shared" si="33"/>
        <v>61</v>
      </c>
      <c r="AF75" s="34">
        <f t="shared" si="33"/>
        <v>60</v>
      </c>
      <c r="AG75" s="34">
        <f t="shared" si="33"/>
        <v>60</v>
      </c>
      <c r="AH75" s="34">
        <f t="shared" si="33"/>
        <v>22</v>
      </c>
      <c r="AI75" s="34">
        <f t="shared" si="33"/>
        <v>27</v>
      </c>
      <c r="AJ75" s="81"/>
      <c r="AK75" s="52"/>
      <c r="AL75" s="52"/>
      <c r="AM75" s="52"/>
      <c r="AN75" s="52"/>
      <c r="AO75" s="52"/>
      <c r="AP75" s="52"/>
      <c r="AQ75" s="52"/>
      <c r="AR75" s="52"/>
      <c r="AS75" s="40"/>
      <c r="AT75" s="40"/>
      <c r="AU75" s="18"/>
    </row>
    <row r="76" spans="1:50" x14ac:dyDescent="0.35">
      <c r="A76" s="52"/>
      <c r="B76" s="52"/>
      <c r="C76" s="52"/>
      <c r="D76" s="52"/>
      <c r="AJ76" s="41"/>
      <c r="AK76" s="40"/>
      <c r="AL76" s="40"/>
      <c r="AM76" s="40"/>
      <c r="AN76" s="40"/>
      <c r="AO76" s="40"/>
      <c r="AP76" s="40"/>
      <c r="AQ76" s="40"/>
      <c r="AR76" s="40"/>
      <c r="AS76" s="40"/>
      <c r="AT76" s="40"/>
    </row>
    <row r="77" spans="1:50" ht="28.5" customHeight="1" x14ac:dyDescent="0.35">
      <c r="A77" s="40"/>
      <c r="B77" s="40"/>
      <c r="C77" s="41"/>
      <c r="D77" s="41"/>
      <c r="AJ77" s="41"/>
      <c r="AK77" s="40"/>
      <c r="AL77" s="40"/>
      <c r="AM77" s="40"/>
      <c r="AN77" s="40"/>
      <c r="AO77" s="40"/>
      <c r="AP77" s="40"/>
      <c r="AQ77" s="40"/>
      <c r="AR77" s="40"/>
      <c r="AS77" s="40"/>
      <c r="AT77" s="40"/>
    </row>
    <row r="78" spans="1:50" ht="21" customHeight="1" x14ac:dyDescent="0.35">
      <c r="AS78" s="40"/>
    </row>
    <row r="79" spans="1:50" ht="42" customHeight="1" x14ac:dyDescent="0.35">
      <c r="E79" s="41"/>
      <c r="F79" s="41"/>
      <c r="G79" s="41"/>
      <c r="H79" s="41"/>
      <c r="I79" s="41"/>
      <c r="AS79" s="40"/>
    </row>
    <row r="80" spans="1:50" ht="21" customHeight="1" x14ac:dyDescent="0.35">
      <c r="AS80" s="40"/>
    </row>
    <row r="81" spans="45:45" ht="30.75" customHeight="1" x14ac:dyDescent="0.35">
      <c r="AS81" s="40"/>
    </row>
    <row r="82" spans="45:45" ht="30.75" customHeight="1" x14ac:dyDescent="0.35"/>
    <row r="83" spans="45:45" ht="30.75" customHeight="1" x14ac:dyDescent="0.35"/>
    <row r="84" spans="45:45" ht="30.75" customHeight="1" x14ac:dyDescent="0.35"/>
    <row r="85" spans="45:45" ht="30.75" customHeight="1" x14ac:dyDescent="0.35"/>
    <row r="86" spans="45:45" ht="30.75" customHeight="1" x14ac:dyDescent="0.35"/>
    <row r="87" spans="45:45" ht="30.75" customHeight="1" x14ac:dyDescent="0.35"/>
    <row r="88" spans="45:45" ht="30.75" customHeight="1" x14ac:dyDescent="0.35"/>
    <row r="89" spans="45:45" ht="30.75" customHeight="1" x14ac:dyDescent="0.35"/>
    <row r="90" spans="45:45" ht="32.25" customHeight="1" x14ac:dyDescent="0.35"/>
    <row r="91" spans="45:45" ht="32.25" customHeight="1" x14ac:dyDescent="0.35"/>
    <row r="92" spans="45:45" ht="36" customHeight="1" x14ac:dyDescent="0.35"/>
    <row r="93" spans="45:45" ht="36" customHeight="1" x14ac:dyDescent="0.35"/>
    <row r="94" spans="45:45" ht="36" customHeight="1" x14ac:dyDescent="0.35"/>
    <row r="95" spans="45:45" ht="36" customHeight="1" x14ac:dyDescent="0.35"/>
    <row r="99" ht="28.5" customHeight="1" x14ac:dyDescent="0.35"/>
    <row r="100" ht="28.5" customHeight="1" x14ac:dyDescent="0.35"/>
    <row r="101" ht="28.5" customHeight="1" x14ac:dyDescent="0.35"/>
    <row r="102" ht="28.5" customHeight="1" x14ac:dyDescent="0.35"/>
    <row r="103" ht="28.5" customHeight="1" x14ac:dyDescent="0.35"/>
  </sheetData>
  <mergeCells count="636">
    <mergeCell ref="B23:B24"/>
    <mergeCell ref="B29:B30"/>
    <mergeCell ref="AQ17:AQ18"/>
    <mergeCell ref="AN21:AN22"/>
    <mergeCell ref="B49:B50"/>
    <mergeCell ref="B51:B52"/>
    <mergeCell ref="B53:B54"/>
    <mergeCell ref="B55:B56"/>
    <mergeCell ref="B57:B58"/>
    <mergeCell ref="AS17:AS18"/>
    <mergeCell ref="B37:B38"/>
    <mergeCell ref="A65:A70"/>
    <mergeCell ref="AK41:AK42"/>
    <mergeCell ref="AK35:AK36"/>
    <mergeCell ref="AS19:AS20"/>
    <mergeCell ref="C27:C28"/>
    <mergeCell ref="A37:A48"/>
    <mergeCell ref="AO27:AO28"/>
    <mergeCell ref="AL49:AL50"/>
    <mergeCell ref="AN49:AN50"/>
    <mergeCell ref="AR57:AR58"/>
    <mergeCell ref="B17:B18"/>
    <mergeCell ref="A23:A36"/>
    <mergeCell ref="C57:C58"/>
    <mergeCell ref="AJ55:AJ56"/>
    <mergeCell ref="A11:A22"/>
    <mergeCell ref="AL55:AL56"/>
    <mergeCell ref="AJ43:AJ44"/>
    <mergeCell ref="AP67:AP68"/>
    <mergeCell ref="B11:B12"/>
    <mergeCell ref="C45:C46"/>
    <mergeCell ref="AK25:AK26"/>
    <mergeCell ref="B61:B62"/>
    <mergeCell ref="AT23:AT24"/>
    <mergeCell ref="C47:C48"/>
    <mergeCell ref="AU65:AU66"/>
    <mergeCell ref="AP19:AP20"/>
    <mergeCell ref="AM45:AM46"/>
    <mergeCell ref="AS7:AS8"/>
    <mergeCell ref="AO45:AO46"/>
    <mergeCell ref="AU7:AU8"/>
    <mergeCell ref="AT35:AT36"/>
    <mergeCell ref="AM63:AM64"/>
    <mergeCell ref="AO63:AO64"/>
    <mergeCell ref="C51:C52"/>
    <mergeCell ref="AO65:AO66"/>
    <mergeCell ref="AS29:AS30"/>
    <mergeCell ref="AM29:AM30"/>
    <mergeCell ref="AS31:AS32"/>
    <mergeCell ref="AU31:AU32"/>
    <mergeCell ref="AN59:AN60"/>
    <mergeCell ref="AK63:AK64"/>
    <mergeCell ref="AJ13:AJ14"/>
    <mergeCell ref="AN15:AN16"/>
    <mergeCell ref="AU63:AU64"/>
    <mergeCell ref="AT13:AT14"/>
    <mergeCell ref="AT7:AT8"/>
    <mergeCell ref="A1:AQ1"/>
    <mergeCell ref="B45:B46"/>
    <mergeCell ref="AL39:AL40"/>
    <mergeCell ref="AN39:AN40"/>
    <mergeCell ref="AQ27:AQ28"/>
    <mergeCell ref="AN37:AN38"/>
    <mergeCell ref="AS33:AS34"/>
    <mergeCell ref="AO69:AO70"/>
    <mergeCell ref="AU33:AU34"/>
    <mergeCell ref="AP37:AP38"/>
    <mergeCell ref="AQ13:AQ14"/>
    <mergeCell ref="AS13:AS14"/>
    <mergeCell ref="AR13:AR14"/>
    <mergeCell ref="A3:A4"/>
    <mergeCell ref="AP41:AP42"/>
    <mergeCell ref="AR41:AR42"/>
    <mergeCell ref="AR35:AR36"/>
    <mergeCell ref="AO61:AO62"/>
    <mergeCell ref="B41:B42"/>
    <mergeCell ref="AK47:AK48"/>
    <mergeCell ref="AO11:AO12"/>
    <mergeCell ref="AP9:AP10"/>
    <mergeCell ref="B43:B44"/>
    <mergeCell ref="AR9:AR10"/>
    <mergeCell ref="AS78:AS81"/>
    <mergeCell ref="AQ15:AQ16"/>
    <mergeCell ref="AS15:AS16"/>
    <mergeCell ref="AU71:AU72"/>
    <mergeCell ref="AJ75:AJ76"/>
    <mergeCell ref="AO71:AO72"/>
    <mergeCell ref="AU21:AU22"/>
    <mergeCell ref="AK57:AK58"/>
    <mergeCell ref="AJ25:AJ26"/>
    <mergeCell ref="AU73:AU74"/>
    <mergeCell ref="AU23:AU24"/>
    <mergeCell ref="AL45:AL46"/>
    <mergeCell ref="AQ41:AQ42"/>
    <mergeCell ref="AN45:AN46"/>
    <mergeCell ref="AS41:AS42"/>
    <mergeCell ref="AJ53:AJ54"/>
    <mergeCell ref="AL53:AL54"/>
    <mergeCell ref="AO43:AO44"/>
    <mergeCell ref="AL47:AL48"/>
    <mergeCell ref="AQ43:AQ44"/>
    <mergeCell ref="AN47:AN48"/>
    <mergeCell ref="AS43:AS44"/>
    <mergeCell ref="AT73:AT74"/>
    <mergeCell ref="AS77:AT77"/>
    <mergeCell ref="AM2:AO2"/>
    <mergeCell ref="C69:C70"/>
    <mergeCell ref="AQ11:AQ12"/>
    <mergeCell ref="AO67:AO68"/>
    <mergeCell ref="AU29:AU30"/>
    <mergeCell ref="D49:D50"/>
    <mergeCell ref="AK53:AK54"/>
    <mergeCell ref="AM53:AM54"/>
    <mergeCell ref="AP43:AP44"/>
    <mergeCell ref="AM47:AM48"/>
    <mergeCell ref="AR43:AR44"/>
    <mergeCell ref="AU57:AU58"/>
    <mergeCell ref="AM37:AM38"/>
    <mergeCell ref="C19:C20"/>
    <mergeCell ref="AJ29:AJ30"/>
    <mergeCell ref="AL29:AL30"/>
    <mergeCell ref="AM17:AM18"/>
    <mergeCell ref="AJ21:AJ22"/>
    <mergeCell ref="AO17:AO18"/>
    <mergeCell ref="AR31:AR32"/>
    <mergeCell ref="AS35:AS36"/>
    <mergeCell ref="AU35:AU36"/>
    <mergeCell ref="C59:C60"/>
    <mergeCell ref="AK29:AK30"/>
    <mergeCell ref="B3:B4"/>
    <mergeCell ref="AN51:AN52"/>
    <mergeCell ref="AM19:AM20"/>
    <mergeCell ref="AK55:AK56"/>
    <mergeCell ref="AO75:AO76"/>
    <mergeCell ref="AT71:AT72"/>
    <mergeCell ref="B67:B68"/>
    <mergeCell ref="AR63:AR64"/>
    <mergeCell ref="AT63:AT64"/>
    <mergeCell ref="AJ3:AJ4"/>
    <mergeCell ref="B69:B70"/>
    <mergeCell ref="AP59:AP60"/>
    <mergeCell ref="AS39:AS40"/>
    <mergeCell ref="AJ5:AJ6"/>
    <mergeCell ref="AL67:AL68"/>
    <mergeCell ref="AL5:AL6"/>
    <mergeCell ref="AN67:AN68"/>
    <mergeCell ref="AN61:AN62"/>
    <mergeCell ref="AS57:AS58"/>
    <mergeCell ref="AR25:AR26"/>
    <mergeCell ref="AP61:AP62"/>
    <mergeCell ref="C17:C18"/>
    <mergeCell ref="AL69:AL70"/>
    <mergeCell ref="AK37:AK38"/>
    <mergeCell ref="B31:B32"/>
    <mergeCell ref="AJ71:AJ72"/>
    <mergeCell ref="B27:B28"/>
    <mergeCell ref="AN75:AN76"/>
    <mergeCell ref="AL73:AL74"/>
    <mergeCell ref="AN73:AN74"/>
    <mergeCell ref="A76:D76"/>
    <mergeCell ref="AJ57:AJ58"/>
    <mergeCell ref="AL57:AL58"/>
    <mergeCell ref="AJ65:AJ66"/>
    <mergeCell ref="B33:B34"/>
    <mergeCell ref="AN27:AN28"/>
    <mergeCell ref="B47:B48"/>
    <mergeCell ref="C67:C68"/>
    <mergeCell ref="C61:C62"/>
    <mergeCell ref="AM31:AM32"/>
    <mergeCell ref="AK73:AK74"/>
    <mergeCell ref="AM73:AM74"/>
    <mergeCell ref="AK71:AK72"/>
    <mergeCell ref="B59:B60"/>
    <mergeCell ref="C73:C74"/>
    <mergeCell ref="AO19:AO20"/>
    <mergeCell ref="AP39:AP40"/>
    <mergeCell ref="AQ75:AQ76"/>
    <mergeCell ref="AM61:AM62"/>
    <mergeCell ref="AQ25:AQ26"/>
    <mergeCell ref="AP75:AP76"/>
    <mergeCell ref="AQ65:AQ66"/>
    <mergeCell ref="AN69:AN70"/>
    <mergeCell ref="AP27:AP28"/>
    <mergeCell ref="AO59:AO60"/>
    <mergeCell ref="AQ59:AQ60"/>
    <mergeCell ref="AM71:AM72"/>
    <mergeCell ref="AP69:AP70"/>
    <mergeCell ref="AO37:AO38"/>
    <mergeCell ref="AQ37:AQ38"/>
    <mergeCell ref="AP21:AP22"/>
    <mergeCell ref="AN29:AN30"/>
    <mergeCell ref="AJ73:AJ74"/>
    <mergeCell ref="AJ23:AJ24"/>
    <mergeCell ref="AK67:AK68"/>
    <mergeCell ref="AL65:AL66"/>
    <mergeCell ref="AN65:AN66"/>
    <mergeCell ref="AK27:AK28"/>
    <mergeCell ref="B9:B10"/>
    <mergeCell ref="AJ49:AJ50"/>
    <mergeCell ref="AP11:AP12"/>
    <mergeCell ref="AN57:AN58"/>
    <mergeCell ref="AR21:AR22"/>
    <mergeCell ref="AS47:AS48"/>
    <mergeCell ref="C7:C8"/>
    <mergeCell ref="AU47:AU48"/>
    <mergeCell ref="C33:C34"/>
    <mergeCell ref="C35:C36"/>
    <mergeCell ref="AJ39:AJ40"/>
    <mergeCell ref="B19:B20"/>
    <mergeCell ref="C13:C14"/>
    <mergeCell ref="C15:C16"/>
    <mergeCell ref="C29:C30"/>
    <mergeCell ref="AJ27:AJ28"/>
    <mergeCell ref="AJ31:AJ32"/>
    <mergeCell ref="AL31:AL32"/>
    <mergeCell ref="AR29:AR30"/>
    <mergeCell ref="AT45:AT46"/>
    <mergeCell ref="AR19:AR20"/>
    <mergeCell ref="AT29:AT30"/>
    <mergeCell ref="AU55:AU56"/>
    <mergeCell ref="AL15:AL16"/>
    <mergeCell ref="AK15:AK16"/>
    <mergeCell ref="D57:D58"/>
    <mergeCell ref="AO3:AP3"/>
    <mergeCell ref="AP51:AP52"/>
    <mergeCell ref="AQ3:AR3"/>
    <mergeCell ref="AN11:AN12"/>
    <mergeCell ref="AR65:AR66"/>
    <mergeCell ref="AR33:AR34"/>
    <mergeCell ref="AN5:AN6"/>
    <mergeCell ref="AP5:AP6"/>
    <mergeCell ref="AR61:AR62"/>
    <mergeCell ref="AL13:AL14"/>
    <mergeCell ref="AP15:AP16"/>
    <mergeCell ref="AR15:AR16"/>
    <mergeCell ref="AJ15:AJ16"/>
    <mergeCell ref="AO9:AO10"/>
    <mergeCell ref="AQ9:AQ10"/>
    <mergeCell ref="AO7:AO8"/>
    <mergeCell ref="AQ7:AQ8"/>
    <mergeCell ref="AJ63:AJ64"/>
    <mergeCell ref="AS73:AS74"/>
    <mergeCell ref="AR39:AR40"/>
    <mergeCell ref="AU53:AU54"/>
    <mergeCell ref="AS55:AS56"/>
    <mergeCell ref="AP25:AP26"/>
    <mergeCell ref="AO15:AO16"/>
    <mergeCell ref="AP71:AP72"/>
    <mergeCell ref="AU67:AU68"/>
    <mergeCell ref="AR71:AR72"/>
    <mergeCell ref="AU61:AU62"/>
    <mergeCell ref="AU45:AU46"/>
    <mergeCell ref="AT31:AT32"/>
    <mergeCell ref="AT49:AT50"/>
    <mergeCell ref="AU39:AU40"/>
    <mergeCell ref="AT33:AT34"/>
    <mergeCell ref="AT39:AT40"/>
    <mergeCell ref="AU25:AU26"/>
    <mergeCell ref="AR73:AR74"/>
    <mergeCell ref="AP23:AP24"/>
    <mergeCell ref="AU19:AU20"/>
    <mergeCell ref="AR23:AR24"/>
    <mergeCell ref="AU27:AU28"/>
    <mergeCell ref="AP57:AP58"/>
    <mergeCell ref="AT65:AT66"/>
    <mergeCell ref="E79:I79"/>
    <mergeCell ref="AM67:AM68"/>
    <mergeCell ref="AK5:AK6"/>
    <mergeCell ref="AM5:AM6"/>
    <mergeCell ref="AT57:AT58"/>
    <mergeCell ref="AK69:AK70"/>
    <mergeCell ref="AP65:AP66"/>
    <mergeCell ref="AJ37:AJ38"/>
    <mergeCell ref="AM69:AM70"/>
    <mergeCell ref="AL37:AL38"/>
    <mergeCell ref="AQ33:AQ34"/>
    <mergeCell ref="AO33:AO34"/>
    <mergeCell ref="AT21:AT22"/>
    <mergeCell ref="AM35:AM36"/>
    <mergeCell ref="AO35:AO36"/>
    <mergeCell ref="AQ35:AQ36"/>
    <mergeCell ref="AL17:AL18"/>
    <mergeCell ref="AN17:AN18"/>
    <mergeCell ref="AP17:AP18"/>
    <mergeCell ref="AS53:AS54"/>
    <mergeCell ref="AK31:AK32"/>
    <mergeCell ref="AN19:AN20"/>
    <mergeCell ref="AK23:AK24"/>
    <mergeCell ref="AR75:AR76"/>
    <mergeCell ref="AT5:AT6"/>
    <mergeCell ref="AM57:AM58"/>
    <mergeCell ref="AR53:AR54"/>
    <mergeCell ref="AQ21:AQ22"/>
    <mergeCell ref="AT53:AT54"/>
    <mergeCell ref="B13:B14"/>
    <mergeCell ref="AT47:AT48"/>
    <mergeCell ref="C41:C42"/>
    <mergeCell ref="AK21:AK22"/>
    <mergeCell ref="AT19:AT20"/>
    <mergeCell ref="AQ23:AQ24"/>
    <mergeCell ref="B15:B16"/>
    <mergeCell ref="AS23:AS24"/>
    <mergeCell ref="C43:C44"/>
    <mergeCell ref="AN7:AN8"/>
    <mergeCell ref="AJ45:AJ46"/>
    <mergeCell ref="AO41:AO42"/>
    <mergeCell ref="AP7:AP8"/>
    <mergeCell ref="AS5:AS6"/>
    <mergeCell ref="AJ47:AJ48"/>
    <mergeCell ref="AO49:AO50"/>
    <mergeCell ref="AN13:AN14"/>
    <mergeCell ref="AP13:AP14"/>
    <mergeCell ref="AS49:AS50"/>
    <mergeCell ref="AU13:AU14"/>
    <mergeCell ref="AO53:AO54"/>
    <mergeCell ref="AU15:AU16"/>
    <mergeCell ref="AQ71:AQ72"/>
    <mergeCell ref="AS71:AS72"/>
    <mergeCell ref="AL25:AL26"/>
    <mergeCell ref="AU5:AU6"/>
    <mergeCell ref="B25:B26"/>
    <mergeCell ref="AR37:AR38"/>
    <mergeCell ref="B35:B36"/>
    <mergeCell ref="AT37:AT38"/>
    <mergeCell ref="AL27:AL28"/>
    <mergeCell ref="AN33:AN34"/>
    <mergeCell ref="AP33:AP34"/>
    <mergeCell ref="AM59:AM60"/>
    <mergeCell ref="AS21:AS22"/>
    <mergeCell ref="AL41:AL42"/>
    <mergeCell ref="AK45:AK46"/>
    <mergeCell ref="AN35:AN36"/>
    <mergeCell ref="AP35:AP36"/>
    <mergeCell ref="C31:C32"/>
    <mergeCell ref="AK11:AK12"/>
    <mergeCell ref="AQ29:AQ30"/>
    <mergeCell ref="AR55:AR56"/>
    <mergeCell ref="AM27:AM28"/>
    <mergeCell ref="AO31:AO32"/>
    <mergeCell ref="AQ31:AQ32"/>
    <mergeCell ref="AJ59:AJ60"/>
    <mergeCell ref="AS65:AS66"/>
    <mergeCell ref="AM51:AM52"/>
    <mergeCell ref="AL19:AL20"/>
    <mergeCell ref="AO51:AO52"/>
    <mergeCell ref="AL63:AL64"/>
    <mergeCell ref="AS25:AS26"/>
    <mergeCell ref="AS63:AS64"/>
    <mergeCell ref="AJ77:AR77"/>
    <mergeCell ref="AN41:AN42"/>
    <mergeCell ref="AM15:AM16"/>
    <mergeCell ref="AL43:AL44"/>
    <mergeCell ref="AR5:AR6"/>
    <mergeCell ref="AT67:AT68"/>
    <mergeCell ref="AN43:AN44"/>
    <mergeCell ref="C39:C40"/>
    <mergeCell ref="AM75:AM76"/>
    <mergeCell ref="AT69:AT70"/>
    <mergeCell ref="AS37:AS38"/>
    <mergeCell ref="AK61:AK62"/>
    <mergeCell ref="AO25:AO26"/>
    <mergeCell ref="C53:C54"/>
    <mergeCell ref="A75:D75"/>
    <mergeCell ref="C63:C64"/>
    <mergeCell ref="C71:C72"/>
    <mergeCell ref="AJ69:AJ70"/>
    <mergeCell ref="AL75:AL76"/>
    <mergeCell ref="AT59:AT60"/>
    <mergeCell ref="AQ63:AQ64"/>
    <mergeCell ref="AO73:AO74"/>
    <mergeCell ref="AT61:AT62"/>
    <mergeCell ref="B63:B64"/>
    <mergeCell ref="A5:A10"/>
    <mergeCell ref="AU37:AU38"/>
    <mergeCell ref="AU17:AU18"/>
    <mergeCell ref="AL59:AL60"/>
    <mergeCell ref="AM41:AM42"/>
    <mergeCell ref="AJ67:AJ68"/>
    <mergeCell ref="AJ61:AJ62"/>
    <mergeCell ref="AO57:AO58"/>
    <mergeCell ref="AL61:AL62"/>
    <mergeCell ref="AQ57:AQ58"/>
    <mergeCell ref="AK43:AK44"/>
    <mergeCell ref="AJ11:AJ12"/>
    <mergeCell ref="AM43:AM44"/>
    <mergeCell ref="B39:B40"/>
    <mergeCell ref="C25:C26"/>
    <mergeCell ref="AM11:AM12"/>
    <mergeCell ref="AN31:AN32"/>
    <mergeCell ref="AS27:AS28"/>
    <mergeCell ref="AP31:AP32"/>
    <mergeCell ref="A49:A64"/>
    <mergeCell ref="AK59:AK60"/>
    <mergeCell ref="AP49:AP50"/>
    <mergeCell ref="AR49:AR50"/>
    <mergeCell ref="AM25:AM26"/>
    <mergeCell ref="AS3:AT3"/>
    <mergeCell ref="AL51:AL52"/>
    <mergeCell ref="AM3:AN3"/>
    <mergeCell ref="AJ9:AJ10"/>
    <mergeCell ref="AL9:AL10"/>
    <mergeCell ref="AN9:AN10"/>
    <mergeCell ref="AT41:AT42"/>
    <mergeCell ref="AQ45:AQ46"/>
    <mergeCell ref="AS45:AS46"/>
    <mergeCell ref="AL11:AL12"/>
    <mergeCell ref="AO47:AO48"/>
    <mergeCell ref="AQ47:AQ48"/>
    <mergeCell ref="AP29:AP30"/>
    <mergeCell ref="AK51:AK52"/>
    <mergeCell ref="AM7:AM8"/>
    <mergeCell ref="AK49:AK50"/>
    <mergeCell ref="AM33:AM34"/>
    <mergeCell ref="AM13:AM14"/>
    <mergeCell ref="AJ17:AJ18"/>
    <mergeCell ref="AO13:AO14"/>
    <mergeCell ref="AR27:AR28"/>
    <mergeCell ref="AJ19:AJ20"/>
    <mergeCell ref="AK39:AK40"/>
    <mergeCell ref="AM39:AM40"/>
    <mergeCell ref="AT9:AT10"/>
    <mergeCell ref="AQ73:AQ74"/>
    <mergeCell ref="D53:D54"/>
    <mergeCell ref="D55:D56"/>
    <mergeCell ref="AP45:AP46"/>
    <mergeCell ref="AU41:AU42"/>
    <mergeCell ref="AR45:AR46"/>
    <mergeCell ref="AK17:AK18"/>
    <mergeCell ref="AN53:AN54"/>
    <mergeCell ref="AM21:AM22"/>
    <mergeCell ref="AP53:AP54"/>
    <mergeCell ref="AR11:AR12"/>
    <mergeCell ref="AP47:AP48"/>
    <mergeCell ref="AU43:AU44"/>
    <mergeCell ref="AT11:AT12"/>
    <mergeCell ref="AR47:AR48"/>
    <mergeCell ref="AU59:AU60"/>
    <mergeCell ref="AU51:AU52"/>
    <mergeCell ref="AU9:AU10"/>
    <mergeCell ref="AU49:AU50"/>
    <mergeCell ref="AK9:AK10"/>
    <mergeCell ref="AP73:AP74"/>
    <mergeCell ref="AU69:AU70"/>
    <mergeCell ref="AM9:AM10"/>
    <mergeCell ref="B7:B8"/>
    <mergeCell ref="AK75:AK76"/>
    <mergeCell ref="AM23:AM24"/>
    <mergeCell ref="AO23:AO24"/>
    <mergeCell ref="AT75:AT76"/>
    <mergeCell ref="C5:C6"/>
    <mergeCell ref="B71:B72"/>
    <mergeCell ref="AT27:AT28"/>
    <mergeCell ref="AJ51:AJ52"/>
    <mergeCell ref="AJ7:AJ8"/>
    <mergeCell ref="B73:B74"/>
    <mergeCell ref="AL7:AL8"/>
    <mergeCell ref="AO39:AO40"/>
    <mergeCell ref="AN63:AN64"/>
    <mergeCell ref="AS59:AS60"/>
    <mergeCell ref="AP63:AP64"/>
    <mergeCell ref="AT17:AT18"/>
    <mergeCell ref="AT25:AT26"/>
    <mergeCell ref="AP55:AP56"/>
    <mergeCell ref="AS9:AS10"/>
    <mergeCell ref="AK33:AK34"/>
    <mergeCell ref="C9:C10"/>
    <mergeCell ref="AS75:AS76"/>
    <mergeCell ref="B5:B6"/>
    <mergeCell ref="A77:D77"/>
    <mergeCell ref="AL71:AL72"/>
    <mergeCell ref="AO5:AO6"/>
    <mergeCell ref="AQ5:AQ6"/>
    <mergeCell ref="AN71:AN72"/>
    <mergeCell ref="AS61:AS62"/>
    <mergeCell ref="C21:C22"/>
    <mergeCell ref="C23:C24"/>
    <mergeCell ref="AK65:AK66"/>
    <mergeCell ref="AJ33:AJ34"/>
    <mergeCell ref="AO29:AO30"/>
    <mergeCell ref="AM65:AM66"/>
    <mergeCell ref="AL33:AL34"/>
    <mergeCell ref="AR17:AR18"/>
    <mergeCell ref="AO21:AO22"/>
    <mergeCell ref="AJ35:AJ36"/>
    <mergeCell ref="AR59:AR60"/>
    <mergeCell ref="AL35:AL36"/>
    <mergeCell ref="AR7:AR8"/>
    <mergeCell ref="B21:B22"/>
    <mergeCell ref="AK19:AK20"/>
    <mergeCell ref="AQ51:AQ52"/>
    <mergeCell ref="AN55:AN56"/>
    <mergeCell ref="AS51:AS52"/>
    <mergeCell ref="AK3:AL3"/>
    <mergeCell ref="AM49:AM50"/>
    <mergeCell ref="AS11:AS12"/>
    <mergeCell ref="AU11:AU12"/>
    <mergeCell ref="C55:C56"/>
    <mergeCell ref="C11:C12"/>
    <mergeCell ref="AQ67:AQ68"/>
    <mergeCell ref="AS67:AS68"/>
    <mergeCell ref="AL21:AL22"/>
    <mergeCell ref="AT43:AT44"/>
    <mergeCell ref="AT15:AT16"/>
    <mergeCell ref="AM55:AM56"/>
    <mergeCell ref="AR51:AR52"/>
    <mergeCell ref="AL23:AL24"/>
    <mergeCell ref="AT51:AT52"/>
    <mergeCell ref="AN23:AN24"/>
    <mergeCell ref="AQ19:AQ20"/>
    <mergeCell ref="D51:D52"/>
    <mergeCell ref="C37:C38"/>
    <mergeCell ref="AK13:AK14"/>
    <mergeCell ref="AJ41:AJ42"/>
    <mergeCell ref="AK7:AK8"/>
    <mergeCell ref="E4:AG4"/>
    <mergeCell ref="AN25:AN26"/>
    <mergeCell ref="AV5:AV6"/>
    <mergeCell ref="AW5:AW6"/>
    <mergeCell ref="AX5:AX6"/>
    <mergeCell ref="AV7:AV8"/>
    <mergeCell ref="AW7:AW8"/>
    <mergeCell ref="AX7:AX8"/>
    <mergeCell ref="AV9:AV10"/>
    <mergeCell ref="AW9:AW10"/>
    <mergeCell ref="AX9:AX10"/>
    <mergeCell ref="AV11:AV12"/>
    <mergeCell ref="AW11:AW12"/>
    <mergeCell ref="AX11:AX12"/>
    <mergeCell ref="AV13:AV14"/>
    <mergeCell ref="AW13:AW14"/>
    <mergeCell ref="AX13:AX14"/>
    <mergeCell ref="AV15:AV16"/>
    <mergeCell ref="AW15:AW16"/>
    <mergeCell ref="AX15:AX16"/>
    <mergeCell ref="AV17:AV18"/>
    <mergeCell ref="AW17:AW18"/>
    <mergeCell ref="AX17:AX18"/>
    <mergeCell ref="AV19:AV20"/>
    <mergeCell ref="AW19:AW20"/>
    <mergeCell ref="AX19:AX20"/>
    <mergeCell ref="AV21:AV22"/>
    <mergeCell ref="AW21:AW22"/>
    <mergeCell ref="AX21:AX22"/>
    <mergeCell ref="AV23:AV24"/>
    <mergeCell ref="AW23:AW24"/>
    <mergeCell ref="AX23:AX24"/>
    <mergeCell ref="AV25:AV26"/>
    <mergeCell ref="AW25:AW26"/>
    <mergeCell ref="AX25:AX26"/>
    <mergeCell ref="AV27:AV28"/>
    <mergeCell ref="AW27:AW28"/>
    <mergeCell ref="AX27:AX28"/>
    <mergeCell ref="AV29:AV30"/>
    <mergeCell ref="AW29:AW30"/>
    <mergeCell ref="AX29:AX30"/>
    <mergeCell ref="AV31:AV32"/>
    <mergeCell ref="AW31:AW32"/>
    <mergeCell ref="AX31:AX32"/>
    <mergeCell ref="AV33:AV34"/>
    <mergeCell ref="AW33:AW34"/>
    <mergeCell ref="AX33:AX34"/>
    <mergeCell ref="AV35:AV36"/>
    <mergeCell ref="AW35:AW36"/>
    <mergeCell ref="AX35:AX36"/>
    <mergeCell ref="AV37:AV38"/>
    <mergeCell ref="AW37:AW38"/>
    <mergeCell ref="AX37:AX38"/>
    <mergeCell ref="AV39:AV40"/>
    <mergeCell ref="AW39:AW40"/>
    <mergeCell ref="AX39:AX40"/>
    <mergeCell ref="AW47:AW48"/>
    <mergeCell ref="AX47:AX48"/>
    <mergeCell ref="AV49:AV50"/>
    <mergeCell ref="AW49:AW50"/>
    <mergeCell ref="AX49:AX50"/>
    <mergeCell ref="AV51:AV52"/>
    <mergeCell ref="AW51:AW52"/>
    <mergeCell ref="AX51:AX52"/>
    <mergeCell ref="AV41:AV42"/>
    <mergeCell ref="AW41:AW42"/>
    <mergeCell ref="AX41:AX42"/>
    <mergeCell ref="AV43:AV44"/>
    <mergeCell ref="AW43:AW44"/>
    <mergeCell ref="AX43:AX44"/>
    <mergeCell ref="AV45:AV46"/>
    <mergeCell ref="AW45:AW46"/>
    <mergeCell ref="AX45:AX46"/>
    <mergeCell ref="AW59:AW60"/>
    <mergeCell ref="AX59:AX60"/>
    <mergeCell ref="AV61:AV62"/>
    <mergeCell ref="AW61:AW62"/>
    <mergeCell ref="AX61:AX62"/>
    <mergeCell ref="AV63:AV64"/>
    <mergeCell ref="AW63:AW64"/>
    <mergeCell ref="AX63:AX64"/>
    <mergeCell ref="AV53:AV54"/>
    <mergeCell ref="AW53:AW54"/>
    <mergeCell ref="AX53:AX54"/>
    <mergeCell ref="AV55:AV56"/>
    <mergeCell ref="AW55:AW56"/>
    <mergeCell ref="AX55:AX56"/>
    <mergeCell ref="AV57:AV58"/>
    <mergeCell ref="AW57:AW58"/>
    <mergeCell ref="AX57:AX58"/>
    <mergeCell ref="AW71:AW72"/>
    <mergeCell ref="AX71:AX72"/>
    <mergeCell ref="AV73:AV74"/>
    <mergeCell ref="AW73:AW74"/>
    <mergeCell ref="AX73:AX74"/>
    <mergeCell ref="AV65:AV66"/>
    <mergeCell ref="AW65:AW66"/>
    <mergeCell ref="AX65:AX66"/>
    <mergeCell ref="AV67:AV68"/>
    <mergeCell ref="AW67:AW68"/>
    <mergeCell ref="AX67:AX68"/>
    <mergeCell ref="AV69:AV70"/>
    <mergeCell ref="AW69:AW70"/>
    <mergeCell ref="AX69:AX70"/>
    <mergeCell ref="AQ69:AQ70"/>
    <mergeCell ref="AQ39:AQ40"/>
    <mergeCell ref="AQ49:AQ50"/>
    <mergeCell ref="AQ53:AQ54"/>
    <mergeCell ref="AO55:AO56"/>
    <mergeCell ref="AQ55:AQ56"/>
    <mergeCell ref="AQ61:AQ62"/>
    <mergeCell ref="AV71:AV72"/>
    <mergeCell ref="AV59:AV60"/>
    <mergeCell ref="AV47:AV48"/>
    <mergeCell ref="AT55:AT56"/>
    <mergeCell ref="AS69:AS70"/>
    <mergeCell ref="AR67:AR68"/>
    <mergeCell ref="AR69:AR70"/>
    <mergeCell ref="B65:B66"/>
    <mergeCell ref="D71:D72"/>
    <mergeCell ref="C65:C66"/>
    <mergeCell ref="C49:C50"/>
  </mergeCells>
  <printOptions horizontalCentered="1"/>
  <pageMargins left="0.19685039370078741" right="0.19685039370078741" top="0.23622047244094491" bottom="0.23622047244094491" header="0" footer="0"/>
  <pageSetup paperSize="9" scale="31" fitToHeight="2" orientation="landscape" horizontalDpi="360" verticalDpi="360"/>
  <rowBreaks count="1" manualBreakCount="1">
    <brk id="77" max="46" man="1"/>
  </rowBreaks>
  <colBreaks count="1" manualBreakCount="1">
    <brk id="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HARVESTING INTERVAL-Jan</vt:lpstr>
      <vt:lpstr>'HARVESTING INTERVAL-Jan'!Print_Area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CHAN</dc:creator>
  <cp:lastModifiedBy>KEVIN CHAN</cp:lastModifiedBy>
  <dcterms:created xsi:type="dcterms:W3CDTF">2026-03-03T07:35:01Z</dcterms:created>
  <dcterms:modified xsi:type="dcterms:W3CDTF">2026-03-19T07:44:57Z</dcterms:modified>
</cp:coreProperties>
</file>