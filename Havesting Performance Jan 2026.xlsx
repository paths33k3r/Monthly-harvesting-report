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KEVIN\2026\3. MONTHLY HARVESTING &amp; MANURING REPORT\1. Jan 2026\"/>
    </mc:Choice>
  </mc:AlternateContent>
  <xr:revisionPtr revIDLastSave="0" documentId="13_ncr:1_{87DB5E01-8897-4273-88B5-630D70B4E00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OVERALL BY GANG COMPARISON YTD2" sheetId="31" r:id="rId1"/>
    <sheet name="OVERALL BY GANG COMPARISON V3" sheetId="23" r:id="rId2"/>
    <sheet name="OVERALL" sheetId="11" r:id="rId3"/>
    <sheet name="OVERALL BY GANG" sheetId="16" r:id="rId4"/>
    <sheet name="YUVENTUS UN GANG" sheetId="1" r:id="rId5"/>
    <sheet name="DARSO GANG" sheetId="6" r:id="rId6"/>
    <sheet name="YUDI GANG" sheetId="7" r:id="rId7"/>
    <sheet name="SOFIO GANG" sheetId="8" r:id="rId8"/>
    <sheet name="NU AZANI GANG" sheetId="15" r:id="rId9"/>
    <sheet name="WENDERLINUS GANG " sheetId="9" r:id="rId10"/>
    <sheet name="FFB interval 2025 vs 2026" sheetId="24" r:id="rId11"/>
    <sheet name="HARVESTING INTERVAL- Dec 25" sheetId="18" r:id="rId12"/>
    <sheet name="HARVESTING INTERVAL- JAN 26" sheetId="25" r:id="rId13"/>
    <sheet name="HARVESTING ROUND" sheetId="13" r:id="rId14"/>
    <sheet name="Harvesting Round Record" sheetId="22" r:id="rId15"/>
    <sheet name="FFB Budget 2025" sheetId="12" r:id="rId16"/>
    <sheet name="FFB Budget 2026 - 2 summary" sheetId="32" r:id="rId17"/>
  </sheets>
  <definedNames>
    <definedName name="_xlnm._FilterDatabase" localSheetId="11" hidden="1">'HARVESTING INTERVAL- Dec 25'!$A$1:$BL$111</definedName>
    <definedName name="_xlnm._FilterDatabase" localSheetId="14" hidden="1">'Harvesting Round Record'!$A$1:$LB$56</definedName>
    <definedName name="_xlnm._FilterDatabase" localSheetId="1" hidden="1">'OVERALL BY GANG COMPARISON V3'!#REF!</definedName>
    <definedName name="_xlnm._FilterDatabase" localSheetId="0" hidden="1">'OVERALL BY GANG COMPARISON YTD2'!$A$6:$AP$48</definedName>
    <definedName name="budget2024" localSheetId="16">'FFB Budget 2026 - 2 summary'!$C$5:$AG$52</definedName>
    <definedName name="budget2026">'FFB Budget 2026 - 2 summary'!$C$5:$U$52</definedName>
    <definedName name="coupe">'FFB Budget 2025'!$W$5:$Z$55</definedName>
    <definedName name="DARSO">'DARSO GANG'!$A$7:$K$14</definedName>
    <definedName name="ERDI">'YUDI GANG'!$A$7:$J$9</definedName>
    <definedName name="ffbbudgettwofive" localSheetId="16">'FFB Budget 2026 - 2 summary'!$C$5:$AG$145</definedName>
    <definedName name="ffbbudgettwofive">'FFB Budget 2025'!$C$5:$U$100</definedName>
    <definedName name="harvestinground">'HARVESTING ROUND'!$B$3:$J$36</definedName>
    <definedName name="july">'HARVESTING ROUND'!$N$3:$Y$37</definedName>
    <definedName name="manday">'HARVESTING INTERVAL- JAN 26'!$C$5:$BG$76</definedName>
    <definedName name="NURAZANI">'NU AZANI GANG'!$A$7:$J$12</definedName>
    <definedName name="october2024">'HARVESTING INTERVAL- JAN 26'!$C$5:$BG$76</definedName>
    <definedName name="_xlnm.Print_Area" localSheetId="5">'DARSO GANG'!$A$1:$J$33</definedName>
    <definedName name="_xlnm.Print_Area" localSheetId="16">'FFB Budget 2026 - 2 summary'!$A$1:$AI$107</definedName>
    <definedName name="_xlnm.Print_Area" localSheetId="11">'HARVESTING INTERVAL- Dec 25'!$A$1:$BG$92</definedName>
    <definedName name="_xlnm.Print_Area" localSheetId="14">'Harvesting Round Record'!$A$1:$NK$50</definedName>
    <definedName name="_xlnm.Print_Area" localSheetId="8">'NU AZANI GANG'!$A$1:$J$35</definedName>
    <definedName name="_xlnm.Print_Area" localSheetId="2">OVERALL!$A$1:$H$26</definedName>
    <definedName name="_xlnm.Print_Area" localSheetId="3">'OVERALL BY GANG'!$A$1:$O$31</definedName>
    <definedName name="_xlnm.Print_Area" localSheetId="1">'OVERALL BY GANG COMPARISON V3'!$A$1:$N$151</definedName>
    <definedName name="_xlnm.Print_Area" localSheetId="0">'OVERALL BY GANG COMPARISON YTD2'!$A$1:$J$54</definedName>
    <definedName name="_xlnm.Print_Area" localSheetId="7">'SOFIO GANG'!$A$1:$J$35</definedName>
    <definedName name="_xlnm.Print_Area" localSheetId="9">'WENDERLINUS GANG '!$A$1:$J$35</definedName>
    <definedName name="_xlnm.Print_Area" localSheetId="6">'YUDI GANG'!$A$1:$J$31</definedName>
    <definedName name="_xlnm.Print_Area" localSheetId="4">'YUVENTUS UN GANG'!$A$1:$J$29</definedName>
    <definedName name="_xlnm.Print_Titles" localSheetId="15">'FFB Budget 2025'!$1:$3</definedName>
    <definedName name="_xlnm.Print_Titles" localSheetId="16">'FFB Budget 2026 - 2 summary'!$1:$2</definedName>
    <definedName name="SERAN">'SOFIO GANG'!$A$7:$J$12</definedName>
    <definedName name="WENDERLINUS">'WENDERLINUS GANG '!$A$7:$J$14</definedName>
    <definedName name="year2022to23">'Harvesting Round Record'!$B$9:$XFD$50</definedName>
    <definedName name="YUVENTUS">'YUVENTUS UN GANG'!$A$7:$K$9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25" l="1"/>
  <c r="F76" i="25" s="1"/>
  <c r="G76" i="25" s="1"/>
  <c r="H76" i="25" s="1"/>
  <c r="I76" i="25" s="1"/>
  <c r="J76" i="25" s="1"/>
  <c r="K76" i="25" s="1"/>
  <c r="L76" i="25" s="1"/>
  <c r="M76" i="25" s="1"/>
  <c r="N76" i="25" s="1"/>
  <c r="O76" i="25" s="1"/>
  <c r="P76" i="25" s="1"/>
  <c r="Q76" i="25" s="1"/>
  <c r="R76" i="25" s="1"/>
  <c r="S76" i="25" s="1"/>
  <c r="T76" i="25" s="1"/>
  <c r="U76" i="25" s="1"/>
  <c r="V76" i="25" s="1"/>
  <c r="W76" i="25" s="1"/>
  <c r="X76" i="25" s="1"/>
  <c r="Y76" i="25" s="1"/>
  <c r="Z76" i="25" s="1"/>
  <c r="AA76" i="25" s="1"/>
  <c r="AB76" i="25" s="1"/>
  <c r="AC76" i="25" s="1"/>
  <c r="AD76" i="25" s="1"/>
  <c r="AE76" i="25" s="1"/>
  <c r="AF76" i="25" s="1"/>
  <c r="AG76" i="25" s="1"/>
  <c r="AH76" i="25" s="1"/>
  <c r="AI76" i="25" s="1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G149" i="23" l="1"/>
  <c r="G148" i="23"/>
  <c r="G147" i="23"/>
  <c r="G146" i="23"/>
  <c r="G145" i="23"/>
  <c r="G144" i="23"/>
  <c r="G143" i="23"/>
  <c r="G142" i="23"/>
  <c r="G139" i="23"/>
  <c r="G138" i="23"/>
  <c r="G137" i="23"/>
  <c r="G136" i="23"/>
  <c r="G135" i="23"/>
  <c r="G134" i="23"/>
  <c r="G131" i="23"/>
  <c r="G130" i="23"/>
  <c r="G129" i="23"/>
  <c r="G128" i="23"/>
  <c r="G127" i="23"/>
  <c r="G126" i="23"/>
  <c r="G123" i="23"/>
  <c r="G122" i="23"/>
  <c r="G121" i="23"/>
  <c r="G118" i="23"/>
  <c r="G117" i="23"/>
  <c r="G116" i="23"/>
  <c r="G115" i="23"/>
  <c r="G114" i="23"/>
  <c r="G113" i="23"/>
  <c r="G112" i="23"/>
  <c r="G109" i="23"/>
  <c r="G108" i="23"/>
  <c r="G107" i="23"/>
  <c r="E130" i="23"/>
  <c r="E121" i="23"/>
  <c r="E118" i="23"/>
  <c r="D149" i="23"/>
  <c r="E149" i="23" s="1"/>
  <c r="D148" i="23"/>
  <c r="E148" i="23" s="1"/>
  <c r="D147" i="23"/>
  <c r="E147" i="23" s="1"/>
  <c r="D146" i="23"/>
  <c r="E146" i="23" s="1"/>
  <c r="D145" i="23"/>
  <c r="E145" i="23" s="1"/>
  <c r="D144" i="23"/>
  <c r="E144" i="23" s="1"/>
  <c r="D143" i="23"/>
  <c r="E143" i="23" s="1"/>
  <c r="D142" i="23"/>
  <c r="E142" i="23" s="1"/>
  <c r="D139" i="23"/>
  <c r="E139" i="23" s="1"/>
  <c r="D138" i="23"/>
  <c r="E138" i="23" s="1"/>
  <c r="D137" i="23"/>
  <c r="E137" i="23" s="1"/>
  <c r="D136" i="23"/>
  <c r="E136" i="23" s="1"/>
  <c r="D135" i="23"/>
  <c r="E135" i="23" s="1"/>
  <c r="D134" i="23"/>
  <c r="E134" i="23" s="1"/>
  <c r="D131" i="23"/>
  <c r="E131" i="23" s="1"/>
  <c r="D130" i="23"/>
  <c r="D129" i="23"/>
  <c r="E129" i="23" s="1"/>
  <c r="D128" i="23"/>
  <c r="E128" i="23" s="1"/>
  <c r="D127" i="23"/>
  <c r="E127" i="23" s="1"/>
  <c r="D126" i="23"/>
  <c r="E126" i="23" s="1"/>
  <c r="D123" i="23"/>
  <c r="E123" i="23" s="1"/>
  <c r="D122" i="23"/>
  <c r="E122" i="23" s="1"/>
  <c r="D121" i="23"/>
  <c r="D118" i="23"/>
  <c r="D117" i="23"/>
  <c r="E117" i="23" s="1"/>
  <c r="D116" i="23"/>
  <c r="E116" i="23" s="1"/>
  <c r="D115" i="23"/>
  <c r="E115" i="23" s="1"/>
  <c r="D114" i="23"/>
  <c r="E114" i="23" s="1"/>
  <c r="D113" i="23"/>
  <c r="E113" i="23" s="1"/>
  <c r="D112" i="23"/>
  <c r="E112" i="23" s="1"/>
  <c r="D109" i="23"/>
  <c r="E109" i="23" s="1"/>
  <c r="D107" i="23"/>
  <c r="E107" i="23" s="1"/>
  <c r="D108" i="23"/>
  <c r="E108" i="23" s="1"/>
  <c r="N49" i="23" l="1"/>
  <c r="N48" i="23"/>
  <c r="N47" i="23"/>
  <c r="N46" i="23"/>
  <c r="N45" i="23"/>
  <c r="N44" i="23"/>
  <c r="N43" i="23"/>
  <c r="N42" i="23"/>
  <c r="N39" i="23"/>
  <c r="N38" i="23"/>
  <c r="N37" i="23"/>
  <c r="N36" i="23"/>
  <c r="N35" i="23"/>
  <c r="N34" i="23"/>
  <c r="N31" i="23"/>
  <c r="N30" i="23"/>
  <c r="N29" i="23"/>
  <c r="N28" i="23"/>
  <c r="N27" i="23"/>
  <c r="N26" i="23"/>
  <c r="N23" i="23"/>
  <c r="N22" i="23"/>
  <c r="N21" i="23"/>
  <c r="N18" i="23"/>
  <c r="N17" i="23"/>
  <c r="N16" i="23"/>
  <c r="N15" i="23"/>
  <c r="N14" i="23"/>
  <c r="N13" i="23"/>
  <c r="N12" i="23"/>
  <c r="N9" i="23"/>
  <c r="N8" i="23"/>
  <c r="N7" i="23"/>
  <c r="L49" i="23"/>
  <c r="L48" i="23"/>
  <c r="L47" i="23"/>
  <c r="L46" i="23"/>
  <c r="L45" i="23"/>
  <c r="L44" i="23"/>
  <c r="L43" i="23"/>
  <c r="L42" i="23"/>
  <c r="L39" i="23"/>
  <c r="L38" i="23"/>
  <c r="L37" i="23"/>
  <c r="L36" i="23"/>
  <c r="L35" i="23"/>
  <c r="L34" i="23"/>
  <c r="L31" i="23"/>
  <c r="L30" i="23"/>
  <c r="L29" i="23"/>
  <c r="L28" i="23"/>
  <c r="L27" i="23"/>
  <c r="L26" i="23"/>
  <c r="L23" i="23"/>
  <c r="L22" i="23"/>
  <c r="L21" i="23"/>
  <c r="L20" i="23" s="1"/>
  <c r="L18" i="23"/>
  <c r="L17" i="23"/>
  <c r="L16" i="23"/>
  <c r="L15" i="23"/>
  <c r="L14" i="23"/>
  <c r="L13" i="23"/>
  <c r="L12" i="23"/>
  <c r="L9" i="23"/>
  <c r="L8" i="23"/>
  <c r="L7" i="23"/>
  <c r="B4" i="11"/>
  <c r="B14" i="9"/>
  <c r="B13" i="9"/>
  <c r="B12" i="9"/>
  <c r="B11" i="9"/>
  <c r="B10" i="9"/>
  <c r="B9" i="9"/>
  <c r="B8" i="9"/>
  <c r="B7" i="9"/>
  <c r="B12" i="15"/>
  <c r="B11" i="15"/>
  <c r="B10" i="15"/>
  <c r="B9" i="15"/>
  <c r="B8" i="15"/>
  <c r="B7" i="15"/>
  <c r="B12" i="8"/>
  <c r="B11" i="8"/>
  <c r="B10" i="8"/>
  <c r="B9" i="8"/>
  <c r="B8" i="8"/>
  <c r="B7" i="8"/>
  <c r="B9" i="7"/>
  <c r="B8" i="7"/>
  <c r="B7" i="7"/>
  <c r="B13" i="6"/>
  <c r="B12" i="6"/>
  <c r="B11" i="6"/>
  <c r="B10" i="6"/>
  <c r="B9" i="6"/>
  <c r="B8" i="6"/>
  <c r="B7" i="6"/>
  <c r="B9" i="1"/>
  <c r="B8" i="1"/>
  <c r="B7" i="1"/>
  <c r="D47" i="31"/>
  <c r="D46" i="31"/>
  <c r="D43" i="31"/>
  <c r="D42" i="31"/>
  <c r="D41" i="31"/>
  <c r="D40" i="31"/>
  <c r="D39" i="31"/>
  <c r="D38" i="31"/>
  <c r="D37" i="31"/>
  <c r="D34" i="31"/>
  <c r="D33" i="31"/>
  <c r="D32" i="31"/>
  <c r="D31" i="31"/>
  <c r="D30" i="31"/>
  <c r="D27" i="31"/>
  <c r="D26" i="31"/>
  <c r="D25" i="31"/>
  <c r="D24" i="31"/>
  <c r="D23" i="31"/>
  <c r="D22" i="31"/>
  <c r="D21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G47" i="31"/>
  <c r="G46" i="31"/>
  <c r="G43" i="31"/>
  <c r="G42" i="31"/>
  <c r="G41" i="31"/>
  <c r="G40" i="31"/>
  <c r="G39" i="31"/>
  <c r="G38" i="31"/>
  <c r="G37" i="31"/>
  <c r="G34" i="31"/>
  <c r="G33" i="31"/>
  <c r="G32" i="31"/>
  <c r="G31" i="31"/>
  <c r="G30" i="31"/>
  <c r="G27" i="31"/>
  <c r="G26" i="31"/>
  <c r="G25" i="31"/>
  <c r="G24" i="31"/>
  <c r="G23" i="31"/>
  <c r="G22" i="31"/>
  <c r="G21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C4" i="11"/>
  <c r="C14" i="9"/>
  <c r="C13" i="9"/>
  <c r="C12" i="9"/>
  <c r="C11" i="9"/>
  <c r="C10" i="9"/>
  <c r="C9" i="9"/>
  <c r="C8" i="9"/>
  <c r="C7" i="9"/>
  <c r="C12" i="15"/>
  <c r="C11" i="15"/>
  <c r="C10" i="15"/>
  <c r="C9" i="15"/>
  <c r="C8" i="15"/>
  <c r="C7" i="15"/>
  <c r="C12" i="8"/>
  <c r="C11" i="8"/>
  <c r="C10" i="8"/>
  <c r="C9" i="8"/>
  <c r="C8" i="8"/>
  <c r="C7" i="8"/>
  <c r="C9" i="7"/>
  <c r="C8" i="7"/>
  <c r="C7" i="7"/>
  <c r="C13" i="6"/>
  <c r="C12" i="6"/>
  <c r="C11" i="6"/>
  <c r="C10" i="6"/>
  <c r="C9" i="6"/>
  <c r="C8" i="6"/>
  <c r="C7" i="6"/>
  <c r="C7" i="1"/>
  <c r="C9" i="1"/>
  <c r="C8" i="1"/>
  <c r="LF49" i="22"/>
  <c r="LF48" i="22"/>
  <c r="LF47" i="22"/>
  <c r="LE47" i="22"/>
  <c r="LD47" i="22"/>
  <c r="LC47" i="22"/>
  <c r="LF46" i="22"/>
  <c r="LF45" i="22"/>
  <c r="LF44" i="22"/>
  <c r="LF43" i="22"/>
  <c r="LF42" i="22"/>
  <c r="LF41" i="22"/>
  <c r="LE41" i="22"/>
  <c r="LD41" i="22"/>
  <c r="LC41" i="22"/>
  <c r="LF40" i="22"/>
  <c r="LF39" i="22"/>
  <c r="LF38" i="22"/>
  <c r="LE38" i="22"/>
  <c r="LD38" i="22"/>
  <c r="LC38" i="22"/>
  <c r="LF37" i="22"/>
  <c r="LE37" i="22"/>
  <c r="LD37" i="22"/>
  <c r="LC37" i="22"/>
  <c r="LF36" i="22"/>
  <c r="LE36" i="22"/>
  <c r="LD36" i="22"/>
  <c r="LC36" i="22"/>
  <c r="LF35" i="22"/>
  <c r="LE35" i="22"/>
  <c r="LD35" i="22"/>
  <c r="LC35" i="22"/>
  <c r="LF34" i="22"/>
  <c r="LE34" i="22"/>
  <c r="LD34" i="22"/>
  <c r="LC34" i="22"/>
  <c r="LF33" i="22"/>
  <c r="LE33" i="22"/>
  <c r="LD33" i="22"/>
  <c r="LC33" i="22"/>
  <c r="LF32" i="22"/>
  <c r="LF31" i="22"/>
  <c r="LF30" i="22"/>
  <c r="LF29" i="22"/>
  <c r="LF28" i="22"/>
  <c r="LF27" i="22"/>
  <c r="LF26" i="22"/>
  <c r="LF25" i="22"/>
  <c r="LF24" i="22"/>
  <c r="LF23" i="22"/>
  <c r="LF22" i="22"/>
  <c r="LF21" i="22"/>
  <c r="LF20" i="22"/>
  <c r="LF19" i="22"/>
  <c r="LF18" i="22"/>
  <c r="LF17" i="22"/>
  <c r="LF16" i="22"/>
  <c r="LF15" i="22"/>
  <c r="LF14" i="22"/>
  <c r="LF13" i="22"/>
  <c r="LF12" i="22"/>
  <c r="LF11" i="22"/>
  <c r="LF10" i="22"/>
  <c r="LF9" i="22"/>
  <c r="LV16" i="22"/>
  <c r="LV9" i="22"/>
  <c r="LV48" i="22"/>
  <c r="LV44" i="22"/>
  <c r="LV43" i="22"/>
  <c r="LV40" i="22"/>
  <c r="LV39" i="22"/>
  <c r="LV38" i="22"/>
  <c r="LV32" i="22"/>
  <c r="LV31" i="22"/>
  <c r="LV30" i="22"/>
  <c r="LV28" i="22"/>
  <c r="LV27" i="22"/>
  <c r="LV26" i="22"/>
  <c r="LV24" i="22"/>
  <c r="LV22" i="22"/>
  <c r="LV21" i="22"/>
  <c r="LV20" i="22"/>
  <c r="LV18" i="22"/>
  <c r="LV17" i="22"/>
  <c r="LV14" i="22"/>
  <c r="LV13" i="22"/>
  <c r="LV10" i="22"/>
  <c r="LQ48" i="22"/>
  <c r="LQ46" i="22"/>
  <c r="LQ44" i="22"/>
  <c r="LQ42" i="22"/>
  <c r="LQ40" i="22"/>
  <c r="LQ38" i="22"/>
  <c r="LQ32" i="22"/>
  <c r="LQ31" i="22"/>
  <c r="LQ30" i="22"/>
  <c r="LQ28" i="22"/>
  <c r="LQ27" i="22"/>
  <c r="LQ26" i="22"/>
  <c r="LQ24" i="22"/>
  <c r="LQ22" i="22"/>
  <c r="LQ21" i="22"/>
  <c r="LQ18" i="22"/>
  <c r="LQ17" i="22"/>
  <c r="LQ16" i="22"/>
  <c r="LQ14" i="22"/>
  <c r="LQ12" i="22"/>
  <c r="LQ11" i="22"/>
  <c r="LO50" i="22"/>
  <c r="LN50" i="22"/>
  <c r="LM50" i="22"/>
  <c r="LL48" i="22"/>
  <c r="LL46" i="22"/>
  <c r="LL45" i="22"/>
  <c r="LL42" i="22"/>
  <c r="LL40" i="22"/>
  <c r="LL38" i="22"/>
  <c r="LL37" i="22"/>
  <c r="LL32" i="22"/>
  <c r="LL31" i="22"/>
  <c r="LL28" i="22"/>
  <c r="LL26" i="22"/>
  <c r="LL25" i="22"/>
  <c r="LL24" i="22"/>
  <c r="LL23" i="22"/>
  <c r="LL20" i="22"/>
  <c r="LL18" i="22"/>
  <c r="LL17" i="22"/>
  <c r="LL16" i="22"/>
  <c r="LL15" i="22"/>
  <c r="LL12" i="22"/>
  <c r="LJ50" i="22"/>
  <c r="LI50" i="22"/>
  <c r="LL10" i="22"/>
  <c r="LL9" i="22"/>
  <c r="ND50" i="22"/>
  <c r="NC50" i="22"/>
  <c r="NB50" i="22"/>
  <c r="NA50" i="22"/>
  <c r="MY50" i="22"/>
  <c r="MX50" i="22"/>
  <c r="MW50" i="22"/>
  <c r="MV50" i="22"/>
  <c r="MT50" i="22"/>
  <c r="MS50" i="22"/>
  <c r="MR50" i="22"/>
  <c r="MQ50" i="22"/>
  <c r="MO50" i="22"/>
  <c r="MN50" i="22"/>
  <c r="MM50" i="22"/>
  <c r="ML50" i="22"/>
  <c r="MI50" i="22"/>
  <c r="MH50" i="22"/>
  <c r="MG50" i="22"/>
  <c r="MD50" i="22"/>
  <c r="MC50" i="22"/>
  <c r="MB50" i="22"/>
  <c r="LY50" i="22"/>
  <c r="LX50" i="22"/>
  <c r="LW50" i="22"/>
  <c r="LT50" i="22"/>
  <c r="LS50" i="22"/>
  <c r="NJ49" i="22"/>
  <c r="NE49" i="22"/>
  <c r="MZ49" i="22"/>
  <c r="MU49" i="22"/>
  <c r="MP49" i="22"/>
  <c r="MK49" i="22"/>
  <c r="MF49" i="22"/>
  <c r="MA49" i="22"/>
  <c r="LV49" i="22"/>
  <c r="LQ49" i="22"/>
  <c r="LL49" i="22"/>
  <c r="NJ48" i="22"/>
  <c r="NE48" i="22"/>
  <c r="MZ48" i="22"/>
  <c r="MU48" i="22"/>
  <c r="MP48" i="22"/>
  <c r="MK48" i="22"/>
  <c r="MF48" i="22"/>
  <c r="MA48" i="22"/>
  <c r="NJ47" i="22"/>
  <c r="NE47" i="22"/>
  <c r="MZ47" i="22"/>
  <c r="MU47" i="22"/>
  <c r="MP47" i="22"/>
  <c r="NJ46" i="22"/>
  <c r="NE46" i="22"/>
  <c r="MZ46" i="22"/>
  <c r="MU46" i="22"/>
  <c r="MP46" i="22"/>
  <c r="MK46" i="22"/>
  <c r="MF46" i="22"/>
  <c r="MA46" i="22"/>
  <c r="LV46" i="22"/>
  <c r="NJ45" i="22"/>
  <c r="NE45" i="22"/>
  <c r="MZ45" i="22"/>
  <c r="MU45" i="22"/>
  <c r="MP45" i="22"/>
  <c r="MK45" i="22"/>
  <c r="MF45" i="22"/>
  <c r="MA45" i="22"/>
  <c r="LV45" i="22"/>
  <c r="LQ45" i="22"/>
  <c r="NJ44" i="22"/>
  <c r="NE44" i="22"/>
  <c r="MZ44" i="22"/>
  <c r="MU44" i="22"/>
  <c r="MP44" i="22"/>
  <c r="MK44" i="22"/>
  <c r="MF44" i="22"/>
  <c r="MA44" i="22"/>
  <c r="LL44" i="22"/>
  <c r="NJ43" i="22"/>
  <c r="NE43" i="22"/>
  <c r="MZ43" i="22"/>
  <c r="MU43" i="22"/>
  <c r="MP43" i="22"/>
  <c r="MK43" i="22"/>
  <c r="MF43" i="22"/>
  <c r="MA43" i="22"/>
  <c r="LQ43" i="22"/>
  <c r="LL43" i="22"/>
  <c r="NJ42" i="22"/>
  <c r="NE42" i="22"/>
  <c r="MZ42" i="22"/>
  <c r="MU42" i="22"/>
  <c r="MP42" i="22"/>
  <c r="MK42" i="22"/>
  <c r="MF42" i="22"/>
  <c r="MA42" i="22"/>
  <c r="LV42" i="22"/>
  <c r="NJ41" i="22"/>
  <c r="NE41" i="22"/>
  <c r="MZ41" i="22"/>
  <c r="MU41" i="22"/>
  <c r="MP41" i="22"/>
  <c r="NJ40" i="22"/>
  <c r="NE40" i="22"/>
  <c r="MZ40" i="22"/>
  <c r="MU40" i="22"/>
  <c r="MP40" i="22"/>
  <c r="MK40" i="22"/>
  <c r="MF40" i="22"/>
  <c r="MA40" i="22"/>
  <c r="NJ39" i="22"/>
  <c r="NE39" i="22"/>
  <c r="MZ39" i="22"/>
  <c r="MU39" i="22"/>
  <c r="MP39" i="22"/>
  <c r="MK39" i="22"/>
  <c r="MF39" i="22"/>
  <c r="MA39" i="22"/>
  <c r="LQ39" i="22"/>
  <c r="LL39" i="22"/>
  <c r="NJ38" i="22"/>
  <c r="NE38" i="22"/>
  <c r="MZ38" i="22"/>
  <c r="MU38" i="22"/>
  <c r="MP38" i="22"/>
  <c r="MK38" i="22"/>
  <c r="MF38" i="22"/>
  <c r="MA38" i="22"/>
  <c r="NJ37" i="22"/>
  <c r="NE37" i="22"/>
  <c r="MZ37" i="22"/>
  <c r="MU37" i="22"/>
  <c r="MP37" i="22"/>
  <c r="MK37" i="22"/>
  <c r="MF37" i="22"/>
  <c r="MA37" i="22"/>
  <c r="LV37" i="22"/>
  <c r="LQ37" i="22"/>
  <c r="NJ36" i="22"/>
  <c r="NE36" i="22"/>
  <c r="MZ36" i="22"/>
  <c r="MU36" i="22"/>
  <c r="MP36" i="22"/>
  <c r="NJ35" i="22"/>
  <c r="NE35" i="22"/>
  <c r="MZ35" i="22"/>
  <c r="MU35" i="22"/>
  <c r="MP35" i="22"/>
  <c r="NJ34" i="22"/>
  <c r="NE34" i="22"/>
  <c r="MZ34" i="22"/>
  <c r="MU34" i="22"/>
  <c r="MP34" i="22"/>
  <c r="NJ33" i="22"/>
  <c r="NE33" i="22"/>
  <c r="MZ33" i="22"/>
  <c r="MU33" i="22"/>
  <c r="MP33" i="22"/>
  <c r="NJ32" i="22"/>
  <c r="NE32" i="22"/>
  <c r="MZ32" i="22"/>
  <c r="MU32" i="22"/>
  <c r="MP32" i="22"/>
  <c r="MK32" i="22"/>
  <c r="MF32" i="22"/>
  <c r="MA32" i="22"/>
  <c r="NJ31" i="22"/>
  <c r="NE31" i="22"/>
  <c r="MZ31" i="22"/>
  <c r="MU31" i="22"/>
  <c r="MP31" i="22"/>
  <c r="MK31" i="22"/>
  <c r="MF31" i="22"/>
  <c r="MA31" i="22"/>
  <c r="NJ30" i="22"/>
  <c r="NE30" i="22"/>
  <c r="MZ30" i="22"/>
  <c r="MU30" i="22"/>
  <c r="MP30" i="22"/>
  <c r="MK30" i="22"/>
  <c r="MF30" i="22"/>
  <c r="MA30" i="22"/>
  <c r="LL30" i="22"/>
  <c r="NJ29" i="22"/>
  <c r="NE29" i="22"/>
  <c r="MZ29" i="22"/>
  <c r="MU29" i="22"/>
  <c r="MP29" i="22"/>
  <c r="MK29" i="22"/>
  <c r="MF29" i="22"/>
  <c r="MA29" i="22"/>
  <c r="LV29" i="22"/>
  <c r="LQ29" i="22"/>
  <c r="LL29" i="22"/>
  <c r="NJ28" i="22"/>
  <c r="NE28" i="22"/>
  <c r="MZ28" i="22"/>
  <c r="MU28" i="22"/>
  <c r="MP28" i="22"/>
  <c r="MK28" i="22"/>
  <c r="MF28" i="22"/>
  <c r="MA28" i="22"/>
  <c r="NJ27" i="22"/>
  <c r="NE27" i="22"/>
  <c r="MZ27" i="22"/>
  <c r="MU27" i="22"/>
  <c r="MP27" i="22"/>
  <c r="MK27" i="22"/>
  <c r="MF27" i="22"/>
  <c r="MA27" i="22"/>
  <c r="LL27" i="22"/>
  <c r="NJ26" i="22"/>
  <c r="NE26" i="22"/>
  <c r="MZ26" i="22"/>
  <c r="MU26" i="22"/>
  <c r="MP26" i="22"/>
  <c r="MK26" i="22"/>
  <c r="MF26" i="22"/>
  <c r="MA26" i="22"/>
  <c r="NJ25" i="22"/>
  <c r="NE25" i="22"/>
  <c r="MZ25" i="22"/>
  <c r="MU25" i="22"/>
  <c r="MP25" i="22"/>
  <c r="MK25" i="22"/>
  <c r="MF25" i="22"/>
  <c r="MA25" i="22"/>
  <c r="LV25" i="22"/>
  <c r="LQ25" i="22"/>
  <c r="NJ24" i="22"/>
  <c r="NE24" i="22"/>
  <c r="MZ24" i="22"/>
  <c r="MU24" i="22"/>
  <c r="MP24" i="22"/>
  <c r="MK24" i="22"/>
  <c r="MF24" i="22"/>
  <c r="MA24" i="22"/>
  <c r="NJ23" i="22"/>
  <c r="NE23" i="22"/>
  <c r="MZ23" i="22"/>
  <c r="MU23" i="22"/>
  <c r="MP23" i="22"/>
  <c r="MK23" i="22"/>
  <c r="MF23" i="22"/>
  <c r="MA23" i="22"/>
  <c r="LV23" i="22"/>
  <c r="LQ23" i="22"/>
  <c r="NJ22" i="22"/>
  <c r="NE22" i="22"/>
  <c r="MZ22" i="22"/>
  <c r="MU22" i="22"/>
  <c r="MP22" i="22"/>
  <c r="MK22" i="22"/>
  <c r="MF22" i="22"/>
  <c r="MA22" i="22"/>
  <c r="LL22" i="22"/>
  <c r="NJ21" i="22"/>
  <c r="NE21" i="22"/>
  <c r="MZ21" i="22"/>
  <c r="MU21" i="22"/>
  <c r="MP21" i="22"/>
  <c r="MK21" i="22"/>
  <c r="MF21" i="22"/>
  <c r="MA21" i="22"/>
  <c r="LL21" i="22"/>
  <c r="NJ20" i="22"/>
  <c r="NE20" i="22"/>
  <c r="MZ20" i="22"/>
  <c r="MU20" i="22"/>
  <c r="MP20" i="22"/>
  <c r="MK20" i="22"/>
  <c r="MF20" i="22"/>
  <c r="MA20" i="22"/>
  <c r="LQ20" i="22"/>
  <c r="NJ19" i="22"/>
  <c r="NE19" i="22"/>
  <c r="MZ19" i="22"/>
  <c r="MU19" i="22"/>
  <c r="MP19" i="22"/>
  <c r="MK19" i="22"/>
  <c r="MF19" i="22"/>
  <c r="MA19" i="22"/>
  <c r="LV19" i="22"/>
  <c r="LQ19" i="22"/>
  <c r="LL19" i="22"/>
  <c r="NJ18" i="22"/>
  <c r="NE18" i="22"/>
  <c r="MZ18" i="22"/>
  <c r="MU18" i="22"/>
  <c r="MP18" i="22"/>
  <c r="MK18" i="22"/>
  <c r="MF18" i="22"/>
  <c r="MA18" i="22"/>
  <c r="NJ17" i="22"/>
  <c r="NE17" i="22"/>
  <c r="MZ17" i="22"/>
  <c r="MU17" i="22"/>
  <c r="MP17" i="22"/>
  <c r="MK17" i="22"/>
  <c r="MF17" i="22"/>
  <c r="MA17" i="22"/>
  <c r="NJ16" i="22"/>
  <c r="NE16" i="22"/>
  <c r="MZ16" i="22"/>
  <c r="MU16" i="22"/>
  <c r="MP16" i="22"/>
  <c r="MK16" i="22"/>
  <c r="MF16" i="22"/>
  <c r="MA16" i="22"/>
  <c r="NJ15" i="22"/>
  <c r="NE15" i="22"/>
  <c r="MZ15" i="22"/>
  <c r="MU15" i="22"/>
  <c r="MP15" i="22"/>
  <c r="MK15" i="22"/>
  <c r="MF15" i="22"/>
  <c r="MA15" i="22"/>
  <c r="LV15" i="22"/>
  <c r="LQ15" i="22"/>
  <c r="NJ14" i="22"/>
  <c r="NE14" i="22"/>
  <c r="MZ14" i="22"/>
  <c r="MU14" i="22"/>
  <c r="MP14" i="22"/>
  <c r="MK14" i="22"/>
  <c r="MF14" i="22"/>
  <c r="MA14" i="22"/>
  <c r="LL14" i="22"/>
  <c r="NJ13" i="22"/>
  <c r="NE13" i="22"/>
  <c r="MZ13" i="22"/>
  <c r="MU13" i="22"/>
  <c r="MP13" i="22"/>
  <c r="MK13" i="22"/>
  <c r="MF13" i="22"/>
  <c r="MA13" i="22"/>
  <c r="LQ13" i="22"/>
  <c r="LL13" i="22"/>
  <c r="NJ12" i="22"/>
  <c r="NE12" i="22"/>
  <c r="MZ12" i="22"/>
  <c r="MU12" i="22"/>
  <c r="MP12" i="22"/>
  <c r="MK12" i="22"/>
  <c r="MF12" i="22"/>
  <c r="MA12" i="22"/>
  <c r="LV12" i="22"/>
  <c r="NJ11" i="22"/>
  <c r="NE11" i="22"/>
  <c r="MZ11" i="22"/>
  <c r="MU11" i="22"/>
  <c r="MP11" i="22"/>
  <c r="MK11" i="22"/>
  <c r="MF11" i="22"/>
  <c r="MA11" i="22"/>
  <c r="LV11" i="22"/>
  <c r="LL11" i="22"/>
  <c r="NJ10" i="22"/>
  <c r="NE10" i="22"/>
  <c r="MZ10" i="22"/>
  <c r="MU10" i="22"/>
  <c r="MP10" i="22"/>
  <c r="MK10" i="22"/>
  <c r="MF10" i="22"/>
  <c r="MA10" i="22"/>
  <c r="LQ10" i="22"/>
  <c r="NI50" i="22"/>
  <c r="NH50" i="22"/>
  <c r="NG50" i="22"/>
  <c r="NJ9" i="22"/>
  <c r="NE9" i="22"/>
  <c r="MZ9" i="22"/>
  <c r="MU9" i="22"/>
  <c r="MP9" i="22"/>
  <c r="MK9" i="22"/>
  <c r="MF9" i="22"/>
  <c r="MA9" i="22"/>
  <c r="LQ9" i="22"/>
  <c r="L6" i="23" l="1"/>
  <c r="L11" i="23"/>
  <c r="L25" i="23"/>
  <c r="L33" i="23"/>
  <c r="L41" i="23"/>
  <c r="LG47" i="22"/>
  <c r="NK47" i="22" s="1"/>
  <c r="LG38" i="22"/>
  <c r="NK38" i="22" s="1"/>
  <c r="LG36" i="22"/>
  <c r="NK36" i="22" s="1"/>
  <c r="LG41" i="22"/>
  <c r="NK41" i="22" s="1"/>
  <c r="NE50" i="22"/>
  <c r="MZ50" i="22"/>
  <c r="MU50" i="22"/>
  <c r="MP50" i="22"/>
  <c r="MK50" i="22"/>
  <c r="MF50" i="22"/>
  <c r="MA50" i="22"/>
  <c r="LR50" i="22"/>
  <c r="LV50" i="22"/>
  <c r="LQ50" i="22"/>
  <c r="LL50" i="22"/>
  <c r="LH50" i="22"/>
  <c r="NJ50" i="22"/>
  <c r="NF50" i="22"/>
  <c r="L51" i="23" l="1"/>
  <c r="GI47" i="22"/>
  <c r="GI46" i="22"/>
  <c r="GI45" i="22"/>
  <c r="GI44" i="22"/>
  <c r="GI41" i="22"/>
  <c r="GI38" i="22"/>
  <c r="GI36" i="22"/>
  <c r="GI35" i="22"/>
  <c r="GI34" i="22"/>
  <c r="GI33" i="22"/>
  <c r="DZ38" i="22"/>
  <c r="BQ38" i="22"/>
  <c r="AI105" i="32"/>
  <c r="AI104" i="32"/>
  <c r="H100" i="32"/>
  <c r="H106" i="32" s="1"/>
  <c r="AI98" i="32"/>
  <c r="AI97" i="32"/>
  <c r="AI96" i="32"/>
  <c r="AI95" i="32"/>
  <c r="AI94" i="32"/>
  <c r="AI92" i="32"/>
  <c r="AI91" i="32"/>
  <c r="H88" i="32"/>
  <c r="AI87" i="32"/>
  <c r="AI86" i="32"/>
  <c r="AI85" i="32"/>
  <c r="AI84" i="32"/>
  <c r="AI83" i="32"/>
  <c r="H80" i="32"/>
  <c r="AI79" i="32"/>
  <c r="AI78" i="32"/>
  <c r="AI77" i="32"/>
  <c r="AI76" i="32"/>
  <c r="AI75" i="32"/>
  <c r="AI74" i="32"/>
  <c r="AI73" i="32"/>
  <c r="H70" i="32"/>
  <c r="AC69" i="32" s="1"/>
  <c r="AI69" i="32"/>
  <c r="AI68" i="32"/>
  <c r="AI67" i="32"/>
  <c r="AI66" i="32"/>
  <c r="AI65" i="32"/>
  <c r="AI64" i="32"/>
  <c r="AI63" i="32"/>
  <c r="AI62" i="32"/>
  <c r="AI61" i="32"/>
  <c r="AI60" i="32"/>
  <c r="AI59" i="32"/>
  <c r="AI58" i="32"/>
  <c r="AG52" i="32"/>
  <c r="AF52" i="32"/>
  <c r="AE52" i="32"/>
  <c r="U52" i="32"/>
  <c r="R52" i="32"/>
  <c r="Q52" i="32"/>
  <c r="J52" i="32"/>
  <c r="I52" i="32"/>
  <c r="AF51" i="32"/>
  <c r="AE51" i="32"/>
  <c r="AD51" i="32"/>
  <c r="AC51" i="32"/>
  <c r="AB51" i="32"/>
  <c r="T51" i="32"/>
  <c r="S51" i="32"/>
  <c r="S52" i="32" s="1"/>
  <c r="R51" i="32"/>
  <c r="Q51" i="32"/>
  <c r="P51" i="32"/>
  <c r="O51" i="32"/>
  <c r="N51" i="32"/>
  <c r="M51" i="32"/>
  <c r="L51" i="32"/>
  <c r="K51" i="32"/>
  <c r="K52" i="32" s="1"/>
  <c r="J51" i="32"/>
  <c r="I51" i="32"/>
  <c r="AF50" i="32"/>
  <c r="AE50" i="32"/>
  <c r="AD50" i="32"/>
  <c r="AD52" i="32" s="1"/>
  <c r="AC50" i="32"/>
  <c r="AC52" i="32" s="1"/>
  <c r="AB50" i="32"/>
  <c r="AB52" i="32" s="1"/>
  <c r="T50" i="32"/>
  <c r="T52" i="32" s="1"/>
  <c r="S50" i="32"/>
  <c r="R50" i="32"/>
  <c r="Q50" i="32"/>
  <c r="P50" i="32"/>
  <c r="P52" i="32" s="1"/>
  <c r="O50" i="32"/>
  <c r="O52" i="32" s="1"/>
  <c r="N50" i="32"/>
  <c r="N52" i="32" s="1"/>
  <c r="M50" i="32"/>
  <c r="M52" i="32" s="1"/>
  <c r="L50" i="32"/>
  <c r="L52" i="32" s="1"/>
  <c r="K50" i="32"/>
  <c r="J50" i="32"/>
  <c r="I50" i="32"/>
  <c r="AG47" i="32"/>
  <c r="U47" i="32"/>
  <c r="AI100" i="32" s="1"/>
  <c r="H47" i="32"/>
  <c r="H52" i="32" s="1"/>
  <c r="AF45" i="32"/>
  <c r="AE45" i="32"/>
  <c r="AD45" i="32"/>
  <c r="AC45" i="32"/>
  <c r="AB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AF44" i="32"/>
  <c r="AE44" i="32"/>
  <c r="AD44" i="32"/>
  <c r="AC44" i="32"/>
  <c r="AB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AF43" i="32"/>
  <c r="AE43" i="32"/>
  <c r="AD43" i="32"/>
  <c r="AC43" i="32"/>
  <c r="AB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AF42" i="32"/>
  <c r="AE42" i="32"/>
  <c r="AD42" i="32"/>
  <c r="AC42" i="32"/>
  <c r="AB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AF41" i="32"/>
  <c r="AE41" i="32"/>
  <c r="AD41" i="32"/>
  <c r="AC41" i="32"/>
  <c r="AB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AF39" i="32"/>
  <c r="AE39" i="32"/>
  <c r="AD39" i="32"/>
  <c r="AC39" i="32"/>
  <c r="AC47" i="32" s="1"/>
  <c r="AB39" i="32"/>
  <c r="AB47" i="32" s="1"/>
  <c r="T39" i="32"/>
  <c r="S39" i="32"/>
  <c r="R39" i="32"/>
  <c r="Q39" i="32"/>
  <c r="P39" i="32"/>
  <c r="O39" i="32"/>
  <c r="N39" i="32"/>
  <c r="M39" i="32"/>
  <c r="L39" i="32"/>
  <c r="K39" i="32"/>
  <c r="J39" i="32"/>
  <c r="I39" i="32"/>
  <c r="AF38" i="32"/>
  <c r="AF47" i="32" s="1"/>
  <c r="AE38" i="32"/>
  <c r="AE47" i="32" s="1"/>
  <c r="AD38" i="32"/>
  <c r="AD47" i="32" s="1"/>
  <c r="AC38" i="32"/>
  <c r="AB38" i="32"/>
  <c r="T38" i="32"/>
  <c r="T47" i="32" s="1"/>
  <c r="S38" i="32"/>
  <c r="S47" i="32" s="1"/>
  <c r="R38" i="32"/>
  <c r="R47" i="32" s="1"/>
  <c r="Q38" i="32"/>
  <c r="Q47" i="32" s="1"/>
  <c r="P38" i="32"/>
  <c r="P47" i="32" s="1"/>
  <c r="O38" i="32"/>
  <c r="O47" i="32" s="1"/>
  <c r="N38" i="32"/>
  <c r="N47" i="32" s="1"/>
  <c r="M38" i="32"/>
  <c r="M47" i="32" s="1"/>
  <c r="L38" i="32"/>
  <c r="L47" i="32" s="1"/>
  <c r="K38" i="32"/>
  <c r="K47" i="32" s="1"/>
  <c r="J38" i="32"/>
  <c r="J47" i="32" s="1"/>
  <c r="I38" i="32"/>
  <c r="I47" i="32" s="1"/>
  <c r="AF35" i="32"/>
  <c r="U35" i="32"/>
  <c r="AI88" i="32" s="1"/>
  <c r="S35" i="32"/>
  <c r="R35" i="32"/>
  <c r="K35" i="32"/>
  <c r="J35" i="32"/>
  <c r="H35" i="32"/>
  <c r="AF34" i="32"/>
  <c r="AE34" i="32"/>
  <c r="AD34" i="32"/>
  <c r="AC34" i="32"/>
  <c r="AB34" i="32"/>
  <c r="T34" i="32"/>
  <c r="T35" i="32" s="1"/>
  <c r="S34" i="32"/>
  <c r="R34" i="32"/>
  <c r="Q34" i="32"/>
  <c r="P34" i="32"/>
  <c r="O34" i="32"/>
  <c r="N34" i="32"/>
  <c r="M34" i="32"/>
  <c r="L34" i="32"/>
  <c r="L35" i="32" s="1"/>
  <c r="K34" i="32"/>
  <c r="J34" i="32"/>
  <c r="I34" i="32"/>
  <c r="AF33" i="32"/>
  <c r="AE33" i="32"/>
  <c r="AD33" i="32"/>
  <c r="AC33" i="32"/>
  <c r="AB33" i="32"/>
  <c r="T33" i="32"/>
  <c r="S33" i="32"/>
  <c r="R33" i="32"/>
  <c r="Q33" i="32"/>
  <c r="P33" i="32"/>
  <c r="O33" i="32"/>
  <c r="N33" i="32"/>
  <c r="M33" i="32"/>
  <c r="M35" i="32" s="1"/>
  <c r="L33" i="32"/>
  <c r="K33" i="32"/>
  <c r="J33" i="32"/>
  <c r="I33" i="32"/>
  <c r="AF32" i="32"/>
  <c r="AE32" i="32"/>
  <c r="AD32" i="32"/>
  <c r="AC32" i="32"/>
  <c r="AC35" i="32" s="1"/>
  <c r="AB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AF31" i="32"/>
  <c r="AE31" i="32"/>
  <c r="AD31" i="32"/>
  <c r="AC31" i="32"/>
  <c r="AB31" i="32"/>
  <c r="T31" i="32"/>
  <c r="S31" i="32"/>
  <c r="R31" i="32"/>
  <c r="Q31" i="32"/>
  <c r="P31" i="32"/>
  <c r="O31" i="32"/>
  <c r="O35" i="32" s="1"/>
  <c r="N31" i="32"/>
  <c r="M31" i="32"/>
  <c r="L31" i="32"/>
  <c r="K31" i="32"/>
  <c r="J31" i="32"/>
  <c r="I31" i="32"/>
  <c r="AF30" i="32"/>
  <c r="AE30" i="32"/>
  <c r="AE35" i="32" s="1"/>
  <c r="AD30" i="32"/>
  <c r="AD35" i="32" s="1"/>
  <c r="AC30" i="32"/>
  <c r="AB30" i="32"/>
  <c r="AB35" i="32" s="1"/>
  <c r="T30" i="32"/>
  <c r="S30" i="32"/>
  <c r="R30" i="32"/>
  <c r="Q30" i="32"/>
  <c r="Q35" i="32" s="1"/>
  <c r="P30" i="32"/>
  <c r="P35" i="32" s="1"/>
  <c r="O30" i="32"/>
  <c r="N30" i="32"/>
  <c r="N35" i="32" s="1"/>
  <c r="M30" i="32"/>
  <c r="L30" i="32"/>
  <c r="K30" i="32"/>
  <c r="J30" i="32"/>
  <c r="I30" i="32"/>
  <c r="I35" i="32" s="1"/>
  <c r="AG27" i="32"/>
  <c r="AG35" i="32" s="1"/>
  <c r="U27" i="32"/>
  <c r="AI80" i="32" s="1"/>
  <c r="H27" i="32"/>
  <c r="AF26" i="32"/>
  <c r="AE26" i="32"/>
  <c r="AD26" i="32"/>
  <c r="AC26" i="32"/>
  <c r="AB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AF25" i="32"/>
  <c r="AE25" i="32"/>
  <c r="AD25" i="32"/>
  <c r="AC25" i="32"/>
  <c r="AB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AF24" i="32"/>
  <c r="AE24" i="32"/>
  <c r="AD24" i="32"/>
  <c r="AC24" i="32"/>
  <c r="AB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AF23" i="32"/>
  <c r="AE23" i="32"/>
  <c r="AD23" i="32"/>
  <c r="AC23" i="32"/>
  <c r="AB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AF22" i="32"/>
  <c r="AE22" i="32"/>
  <c r="AD22" i="32"/>
  <c r="AC22" i="32"/>
  <c r="AB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AF21" i="32"/>
  <c r="AF27" i="32" s="1"/>
  <c r="AE21" i="32"/>
  <c r="AD21" i="32"/>
  <c r="AD27" i="32" s="1"/>
  <c r="AC21" i="32"/>
  <c r="AB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AF20" i="32"/>
  <c r="AE20" i="32"/>
  <c r="AE27" i="32" s="1"/>
  <c r="AD20" i="32"/>
  <c r="AC20" i="32"/>
  <c r="AC27" i="32" s="1"/>
  <c r="AB20" i="32"/>
  <c r="AB27" i="32" s="1"/>
  <c r="T20" i="32"/>
  <c r="T27" i="32" s="1"/>
  <c r="S20" i="32"/>
  <c r="S27" i="32" s="1"/>
  <c r="R20" i="32"/>
  <c r="R27" i="32" s="1"/>
  <c r="Q20" i="32"/>
  <c r="Q27" i="32" s="1"/>
  <c r="P20" i="32"/>
  <c r="P27" i="32" s="1"/>
  <c r="O20" i="32"/>
  <c r="O27" i="32" s="1"/>
  <c r="N20" i="32"/>
  <c r="N27" i="32" s="1"/>
  <c r="M20" i="32"/>
  <c r="M27" i="32" s="1"/>
  <c r="L20" i="32"/>
  <c r="L27" i="32" s="1"/>
  <c r="K20" i="32"/>
  <c r="K27" i="32" s="1"/>
  <c r="J20" i="32"/>
  <c r="J27" i="32" s="1"/>
  <c r="I20" i="32"/>
  <c r="I27" i="32" s="1"/>
  <c r="AG17" i="32"/>
  <c r="O55" i="32" s="1"/>
  <c r="AI55" i="32" s="1"/>
  <c r="U17" i="32"/>
  <c r="H17" i="32"/>
  <c r="B55" i="32" s="1"/>
  <c r="AF16" i="32"/>
  <c r="AE16" i="32"/>
  <c r="AD16" i="32"/>
  <c r="AC16" i="32"/>
  <c r="AB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AF15" i="32"/>
  <c r="AE15" i="32"/>
  <c r="AD15" i="32"/>
  <c r="AC15" i="32"/>
  <c r="AB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AF14" i="32"/>
  <c r="AE14" i="32"/>
  <c r="AD14" i="32"/>
  <c r="AC14" i="32"/>
  <c r="AB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AF13" i="32"/>
  <c r="AE13" i="32"/>
  <c r="AD13" i="32"/>
  <c r="AC13" i="32"/>
  <c r="AB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AF12" i="32"/>
  <c r="AE12" i="32"/>
  <c r="AD12" i="32"/>
  <c r="AC12" i="32"/>
  <c r="AB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AF11" i="32"/>
  <c r="AE11" i="32"/>
  <c r="AD11" i="32"/>
  <c r="AC11" i="32"/>
  <c r="AB11" i="32"/>
  <c r="AB17" i="32" s="1"/>
  <c r="T11" i="32"/>
  <c r="S11" i="32"/>
  <c r="R11" i="32"/>
  <c r="Q11" i="32"/>
  <c r="P11" i="32"/>
  <c r="O11" i="32"/>
  <c r="N11" i="32"/>
  <c r="M11" i="32"/>
  <c r="L11" i="32"/>
  <c r="K11" i="32"/>
  <c r="J11" i="32"/>
  <c r="I11" i="32"/>
  <c r="AF10" i="32"/>
  <c r="AE10" i="32"/>
  <c r="AD10" i="32"/>
  <c r="AC10" i="32"/>
  <c r="AC17" i="32" s="1"/>
  <c r="AB10" i="32"/>
  <c r="T10" i="32"/>
  <c r="S10" i="32"/>
  <c r="R10" i="32"/>
  <c r="Q10" i="32"/>
  <c r="P10" i="32"/>
  <c r="O10" i="32"/>
  <c r="N10" i="32"/>
  <c r="N17" i="32" s="1"/>
  <c r="M10" i="32"/>
  <c r="L10" i="32"/>
  <c r="K10" i="32"/>
  <c r="J10" i="32"/>
  <c r="I10" i="32"/>
  <c r="AF9" i="32"/>
  <c r="AE9" i="32"/>
  <c r="AD9" i="32"/>
  <c r="AD17" i="32" s="1"/>
  <c r="AC9" i="32"/>
  <c r="AB9" i="32"/>
  <c r="T9" i="32"/>
  <c r="S9" i="32"/>
  <c r="R9" i="32"/>
  <c r="Q9" i="32"/>
  <c r="P9" i="32"/>
  <c r="O9" i="32"/>
  <c r="O17" i="32" s="1"/>
  <c r="N9" i="32"/>
  <c r="M9" i="32"/>
  <c r="L9" i="32"/>
  <c r="K9" i="32"/>
  <c r="J9" i="32"/>
  <c r="I9" i="32"/>
  <c r="AF8" i="32"/>
  <c r="AE8" i="32"/>
  <c r="AE17" i="32" s="1"/>
  <c r="AD8" i="32"/>
  <c r="AC8" i="32"/>
  <c r="AB8" i="32"/>
  <c r="T8" i="32"/>
  <c r="S8" i="32"/>
  <c r="R8" i="32"/>
  <c r="Q8" i="32"/>
  <c r="P8" i="32"/>
  <c r="P17" i="32" s="1"/>
  <c r="O8" i="32"/>
  <c r="N8" i="32"/>
  <c r="M8" i="32"/>
  <c r="L8" i="32"/>
  <c r="K8" i="32"/>
  <c r="J8" i="32"/>
  <c r="I8" i="32"/>
  <c r="AF7" i="32"/>
  <c r="AE7" i="32"/>
  <c r="AD7" i="32"/>
  <c r="AC7" i="32"/>
  <c r="AB7" i="32"/>
  <c r="T7" i="32"/>
  <c r="S7" i="32"/>
  <c r="R7" i="32"/>
  <c r="Q7" i="32"/>
  <c r="Q17" i="32" s="1"/>
  <c r="P7" i="32"/>
  <c r="O7" i="32"/>
  <c r="N7" i="32"/>
  <c r="M7" i="32"/>
  <c r="L7" i="32"/>
  <c r="K7" i="32"/>
  <c r="J7" i="32"/>
  <c r="I7" i="32"/>
  <c r="I17" i="32" s="1"/>
  <c r="AF6" i="32"/>
  <c r="AE6" i="32"/>
  <c r="AD6" i="32"/>
  <c r="AC6" i="32"/>
  <c r="AB6" i="32"/>
  <c r="T6" i="32"/>
  <c r="S6" i="32"/>
  <c r="R6" i="32"/>
  <c r="Q6" i="32"/>
  <c r="P6" i="32"/>
  <c r="O6" i="32"/>
  <c r="N6" i="32"/>
  <c r="M6" i="32"/>
  <c r="L6" i="32"/>
  <c r="K6" i="32"/>
  <c r="J6" i="32"/>
  <c r="I6" i="32"/>
  <c r="AF5" i="32"/>
  <c r="AF17" i="32" s="1"/>
  <c r="AE5" i="32"/>
  <c r="AD5" i="32"/>
  <c r="AC5" i="32"/>
  <c r="AB5" i="32"/>
  <c r="T5" i="32"/>
  <c r="T17" i="32" s="1"/>
  <c r="S5" i="32"/>
  <c r="S17" i="32" s="1"/>
  <c r="R5" i="32"/>
  <c r="R17" i="32" s="1"/>
  <c r="Q5" i="32"/>
  <c r="P5" i="32"/>
  <c r="O5" i="32"/>
  <c r="N5" i="32"/>
  <c r="M5" i="32"/>
  <c r="M17" i="32" s="1"/>
  <c r="L5" i="32"/>
  <c r="L17" i="32" s="1"/>
  <c r="K5" i="32"/>
  <c r="K17" i="32" s="1"/>
  <c r="J5" i="32"/>
  <c r="J17" i="32" s="1"/>
  <c r="I5" i="32"/>
  <c r="I55" i="32" l="1"/>
  <c r="D55" i="32"/>
  <c r="M55" i="32"/>
  <c r="K55" i="32"/>
  <c r="N55" i="32"/>
  <c r="L55" i="32"/>
  <c r="E55" i="32"/>
  <c r="C55" i="32"/>
  <c r="J55" i="32"/>
  <c r="H55" i="32"/>
  <c r="F55" i="32"/>
  <c r="G55" i="32"/>
  <c r="AI106" i="32"/>
  <c r="AC58" i="32"/>
  <c r="AI70" i="32"/>
  <c r="AC59" i="32"/>
  <c r="AC63" i="32"/>
  <c r="AC67" i="32"/>
  <c r="AC66" i="32"/>
  <c r="AC62" i="32"/>
  <c r="AC60" i="32"/>
  <c r="AC64" i="32"/>
  <c r="AC68" i="32"/>
  <c r="AC61" i="32"/>
  <c r="AC65" i="32"/>
  <c r="AK47" i="31" l="1"/>
  <c r="AJ47" i="31"/>
  <c r="AI47" i="31"/>
  <c r="AH47" i="31"/>
  <c r="AG47" i="31"/>
  <c r="AF47" i="31"/>
  <c r="AE47" i="31"/>
  <c r="AD47" i="31"/>
  <c r="AC47" i="31"/>
  <c r="AB47" i="31"/>
  <c r="AA47" i="31"/>
  <c r="Z47" i="31"/>
  <c r="C47" i="31"/>
  <c r="AK46" i="31"/>
  <c r="AJ46" i="31"/>
  <c r="AI46" i="31"/>
  <c r="AH46" i="31"/>
  <c r="AG46" i="31"/>
  <c r="AF46" i="31"/>
  <c r="AE46" i="31"/>
  <c r="AD46" i="31"/>
  <c r="AC46" i="31"/>
  <c r="AB46" i="31"/>
  <c r="AA46" i="31"/>
  <c r="Z46" i="31"/>
  <c r="C46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C43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C42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C41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C40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C39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C38" i="31"/>
  <c r="AK37" i="31"/>
  <c r="AJ37" i="31"/>
  <c r="AI37" i="31"/>
  <c r="AH37" i="31"/>
  <c r="AG37" i="31"/>
  <c r="AF37" i="31"/>
  <c r="AE37" i="31"/>
  <c r="AD37" i="31"/>
  <c r="AC37" i="31"/>
  <c r="AB37" i="31"/>
  <c r="AA37" i="31"/>
  <c r="Z37" i="31"/>
  <c r="C37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C34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C33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C32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C31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C30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C27" i="31"/>
  <c r="AK26" i="31"/>
  <c r="AJ26" i="31"/>
  <c r="AI26" i="31"/>
  <c r="AH26" i="31"/>
  <c r="AG26" i="31"/>
  <c r="AF26" i="31"/>
  <c r="AE26" i="31"/>
  <c r="AD26" i="31"/>
  <c r="AC26" i="31"/>
  <c r="AB26" i="31"/>
  <c r="AA26" i="31"/>
  <c r="Z26" i="31"/>
  <c r="C26" i="31"/>
  <c r="AK25" i="31"/>
  <c r="AJ25" i="31"/>
  <c r="AI25" i="31"/>
  <c r="AH25" i="31"/>
  <c r="AG25" i="31"/>
  <c r="AF25" i="31"/>
  <c r="AE25" i="31"/>
  <c r="AD25" i="31"/>
  <c r="AC25" i="31"/>
  <c r="AB25" i="31"/>
  <c r="AA25" i="31"/>
  <c r="Z25" i="31"/>
  <c r="C25" i="31"/>
  <c r="AK24" i="31"/>
  <c r="AJ24" i="31"/>
  <c r="AI24" i="31"/>
  <c r="AH24" i="31"/>
  <c r="AG24" i="31"/>
  <c r="AF24" i="31"/>
  <c r="AE24" i="31"/>
  <c r="AD24" i="31"/>
  <c r="AC24" i="31"/>
  <c r="AB24" i="31"/>
  <c r="AA24" i="31"/>
  <c r="Z24" i="31"/>
  <c r="C24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C23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C22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C21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C18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C17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C16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C15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C14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C13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C12" i="31"/>
  <c r="AK11" i="31"/>
  <c r="AJ11" i="31"/>
  <c r="AI11" i="31"/>
  <c r="AH11" i="31"/>
  <c r="AG11" i="31"/>
  <c r="AF11" i="31"/>
  <c r="AE11" i="31"/>
  <c r="AD11" i="31"/>
  <c r="AC11" i="31"/>
  <c r="AB11" i="31"/>
  <c r="AA11" i="31"/>
  <c r="Z11" i="31"/>
  <c r="C11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C10" i="31"/>
  <c r="AK9" i="31"/>
  <c r="AJ9" i="31"/>
  <c r="AI9" i="31"/>
  <c r="AH9" i="31"/>
  <c r="AG9" i="31"/>
  <c r="AF9" i="31"/>
  <c r="AE9" i="31"/>
  <c r="AD9" i="31"/>
  <c r="AC9" i="31"/>
  <c r="AB9" i="31"/>
  <c r="AA9" i="31"/>
  <c r="Z9" i="31"/>
  <c r="C9" i="31"/>
  <c r="AK8" i="31"/>
  <c r="AJ8" i="31"/>
  <c r="AI8" i="31"/>
  <c r="AH8" i="31"/>
  <c r="AG8" i="31"/>
  <c r="AF8" i="31"/>
  <c r="AE8" i="31"/>
  <c r="AD8" i="31"/>
  <c r="AC8" i="31"/>
  <c r="AB8" i="31"/>
  <c r="AA8" i="31"/>
  <c r="Z8" i="31"/>
  <c r="C8" i="31"/>
  <c r="AK7" i="31"/>
  <c r="AJ7" i="31"/>
  <c r="AI7" i="31"/>
  <c r="AH7" i="31"/>
  <c r="AG7" i="31"/>
  <c r="AF7" i="31"/>
  <c r="AE7" i="31"/>
  <c r="AD7" i="31"/>
  <c r="AC7" i="31"/>
  <c r="AB7" i="31"/>
  <c r="AA7" i="31"/>
  <c r="Z7" i="31"/>
  <c r="C7" i="31"/>
  <c r="D36" i="31" l="1"/>
  <c r="C29" i="31"/>
  <c r="D45" i="31"/>
  <c r="C6" i="31"/>
  <c r="C45" i="31"/>
  <c r="D20" i="31"/>
  <c r="D6" i="31"/>
  <c r="C36" i="31"/>
  <c r="D29" i="31"/>
  <c r="C20" i="31"/>
  <c r="C49" i="31" l="1"/>
  <c r="D49" i="31"/>
  <c r="IS47" i="22" l="1"/>
  <c r="IS41" i="22"/>
  <c r="IS36" i="22"/>
  <c r="IS35" i="22"/>
  <c r="IS34" i="22"/>
  <c r="IS33" i="22"/>
  <c r="KU50" i="22"/>
  <c r="KT50" i="22"/>
  <c r="KS50" i="22"/>
  <c r="KR50" i="22"/>
  <c r="KV49" i="22" l="1"/>
  <c r="KV48" i="22"/>
  <c r="KV47" i="22"/>
  <c r="KV46" i="22"/>
  <c r="KV45" i="22"/>
  <c r="KV44" i="22"/>
  <c r="KV43" i="22"/>
  <c r="KV42" i="22"/>
  <c r="KV41" i="22"/>
  <c r="KV40" i="22"/>
  <c r="KV39" i="22"/>
  <c r="KV38" i="22"/>
  <c r="KV37" i="22"/>
  <c r="KV36" i="22"/>
  <c r="KV35" i="22"/>
  <c r="KV34" i="22"/>
  <c r="KV33" i="22"/>
  <c r="KV32" i="22"/>
  <c r="KV31" i="22"/>
  <c r="KV30" i="22"/>
  <c r="KV29" i="22"/>
  <c r="KV28" i="22"/>
  <c r="KV27" i="22"/>
  <c r="KV26" i="22"/>
  <c r="KV25" i="22"/>
  <c r="KV24" i="22"/>
  <c r="KV23" i="22"/>
  <c r="KV22" i="22"/>
  <c r="KV21" i="22"/>
  <c r="KV20" i="22"/>
  <c r="KV19" i="22"/>
  <c r="KV18" i="22"/>
  <c r="KV17" i="22"/>
  <c r="KV16" i="22"/>
  <c r="KV15" i="22"/>
  <c r="KV14" i="22"/>
  <c r="KV13" i="22"/>
  <c r="KV12" i="22"/>
  <c r="KV11" i="22"/>
  <c r="KV10" i="22"/>
  <c r="KV9" i="22"/>
  <c r="KQ9" i="22"/>
  <c r="AQ69" i="18"/>
  <c r="AQ61" i="18"/>
  <c r="AQ53" i="18"/>
  <c r="AQ51" i="18"/>
  <c r="AQ49" i="18"/>
  <c r="AQ47" i="18"/>
  <c r="AQ45" i="18"/>
  <c r="AQ41" i="18"/>
  <c r="AQ37" i="18"/>
  <c r="AQ33" i="18"/>
  <c r="AQ31" i="18"/>
  <c r="AQ29" i="18"/>
  <c r="AQ25" i="18"/>
  <c r="AQ23" i="18"/>
  <c r="AQ15" i="18"/>
  <c r="AQ13" i="18"/>
  <c r="AQ7" i="18"/>
  <c r="AQ5" i="18"/>
  <c r="AK69" i="18"/>
  <c r="AK67" i="18"/>
  <c r="AK65" i="18"/>
  <c r="AK63" i="18"/>
  <c r="AK61" i="18"/>
  <c r="AK59" i="18"/>
  <c r="AK57" i="18"/>
  <c r="AK55" i="18"/>
  <c r="AK53" i="18"/>
  <c r="AK51" i="18"/>
  <c r="AK49" i="18"/>
  <c r="AK47" i="18"/>
  <c r="AK45" i="18"/>
  <c r="AK43" i="18"/>
  <c r="AK41" i="18"/>
  <c r="AK39" i="18"/>
  <c r="AK37" i="18"/>
  <c r="AK35" i="18"/>
  <c r="AK33" i="18"/>
  <c r="AK31" i="18"/>
  <c r="AK29" i="18"/>
  <c r="AK27" i="18"/>
  <c r="AK25" i="18"/>
  <c r="AK23" i="18"/>
  <c r="AK21" i="18"/>
  <c r="AK19" i="18"/>
  <c r="AK17" i="18"/>
  <c r="AK15" i="18"/>
  <c r="AK13" i="18"/>
  <c r="AK11" i="18"/>
  <c r="AK9" i="18"/>
  <c r="AK7" i="18"/>
  <c r="AK5" i="18"/>
  <c r="AW51" i="25" l="1"/>
  <c r="AW49" i="25"/>
  <c r="AW39" i="25"/>
  <c r="AW29" i="25"/>
  <c r="AW27" i="25"/>
  <c r="AQ75" i="25"/>
  <c r="AQ69" i="25"/>
  <c r="AQ63" i="25"/>
  <c r="AQ61" i="25"/>
  <c r="AQ59" i="25"/>
  <c r="AQ57" i="25"/>
  <c r="AQ55" i="25"/>
  <c r="AQ53" i="25"/>
  <c r="AQ51" i="25"/>
  <c r="AQ49" i="25"/>
  <c r="AQ47" i="25"/>
  <c r="AQ45" i="25"/>
  <c r="AQ43" i="25"/>
  <c r="AQ41" i="25"/>
  <c r="AQ39" i="25"/>
  <c r="AQ37" i="25"/>
  <c r="AQ35" i="25"/>
  <c r="AQ33" i="25"/>
  <c r="AQ31" i="25"/>
  <c r="AQ29" i="25"/>
  <c r="AQ27" i="25"/>
  <c r="AQ25" i="25"/>
  <c r="AQ23" i="25"/>
  <c r="AQ21" i="25"/>
  <c r="AQ19" i="25"/>
  <c r="AQ17" i="25"/>
  <c r="AQ15" i="25"/>
  <c r="AQ13" i="25"/>
  <c r="AQ9" i="25"/>
  <c r="AQ7" i="25"/>
  <c r="AQ5" i="25"/>
  <c r="AK69" i="25"/>
  <c r="AK67" i="25"/>
  <c r="AK65" i="25"/>
  <c r="AK63" i="25"/>
  <c r="AK61" i="25"/>
  <c r="AK59" i="25"/>
  <c r="AK57" i="25"/>
  <c r="AK55" i="25"/>
  <c r="AK53" i="25"/>
  <c r="AK51" i="25"/>
  <c r="AK49" i="25"/>
  <c r="AK47" i="25"/>
  <c r="AK45" i="25"/>
  <c r="AK43" i="25"/>
  <c r="AK41" i="25"/>
  <c r="AK39" i="25"/>
  <c r="AK37" i="25"/>
  <c r="AK35" i="25"/>
  <c r="AK33" i="25"/>
  <c r="AK31" i="25"/>
  <c r="AK29" i="25"/>
  <c r="AK27" i="25"/>
  <c r="AK25" i="25"/>
  <c r="AK23" i="25"/>
  <c r="AK21" i="25"/>
  <c r="AK19" i="25"/>
  <c r="AK17" i="25"/>
  <c r="AK15" i="25"/>
  <c r="AK13" i="25"/>
  <c r="AK11" i="25"/>
  <c r="AK9" i="25"/>
  <c r="AK7" i="25"/>
  <c r="AK5" i="25"/>
  <c r="AI75" i="18" l="1"/>
  <c r="AA38" i="24" l="1"/>
  <c r="Z38" i="24"/>
  <c r="X38" i="24" s="1"/>
  <c r="Y38" i="24"/>
  <c r="AA37" i="24"/>
  <c r="Y37" i="24"/>
  <c r="AA36" i="24"/>
  <c r="Y36" i="24"/>
  <c r="AA35" i="24"/>
  <c r="Y35" i="24"/>
  <c r="AA34" i="24"/>
  <c r="Y34" i="24"/>
  <c r="AA33" i="24"/>
  <c r="Y33" i="24"/>
  <c r="AA32" i="24"/>
  <c r="Z32" i="24"/>
  <c r="X32" i="24" s="1"/>
  <c r="Y32" i="24"/>
  <c r="AA31" i="24"/>
  <c r="Y31" i="24"/>
  <c r="AA30" i="24"/>
  <c r="Y30" i="24"/>
  <c r="AA29" i="24"/>
  <c r="Y29" i="24"/>
  <c r="AA28" i="24"/>
  <c r="Y28" i="24"/>
  <c r="AA27" i="24"/>
  <c r="Y27" i="24"/>
  <c r="AA26" i="24"/>
  <c r="Y26" i="24"/>
  <c r="AA25" i="24"/>
  <c r="Y25" i="24"/>
  <c r="AA24" i="24"/>
  <c r="Z24" i="24"/>
  <c r="X24" i="24" s="1"/>
  <c r="Y24" i="24"/>
  <c r="AA23" i="24"/>
  <c r="Y23" i="24"/>
  <c r="AA22" i="24"/>
  <c r="Z22" i="24"/>
  <c r="X22" i="24" s="1"/>
  <c r="Y22" i="24"/>
  <c r="AA21" i="24"/>
  <c r="Y21" i="24"/>
  <c r="AA20" i="24"/>
  <c r="Y20" i="24"/>
  <c r="AA19" i="24"/>
  <c r="Y19" i="24"/>
  <c r="AA18" i="24"/>
  <c r="Y18" i="24"/>
  <c r="AA17" i="24"/>
  <c r="Y17" i="24"/>
  <c r="AA16" i="24"/>
  <c r="Z16" i="24"/>
  <c r="X16" i="24" s="1"/>
  <c r="Y16" i="24"/>
  <c r="AA15" i="24"/>
  <c r="Y15" i="24"/>
  <c r="AA14" i="24"/>
  <c r="Z14" i="24"/>
  <c r="X14" i="24" s="1"/>
  <c r="Y14" i="24"/>
  <c r="AA13" i="24"/>
  <c r="Y13" i="24"/>
  <c r="AA12" i="24"/>
  <c r="Y12" i="24"/>
  <c r="AA11" i="24"/>
  <c r="Y11" i="24"/>
  <c r="AA10" i="24"/>
  <c r="Y10" i="24"/>
  <c r="AA9" i="24"/>
  <c r="Y9" i="24"/>
  <c r="AA8" i="24"/>
  <c r="Z8" i="24"/>
  <c r="X8" i="24" s="1"/>
  <c r="Y8" i="24"/>
  <c r="AA7" i="24"/>
  <c r="Y7" i="24"/>
  <c r="AA6" i="24"/>
  <c r="Z6" i="24"/>
  <c r="X6" i="24" s="1"/>
  <c r="Y6" i="24"/>
  <c r="AA39" i="24"/>
  <c r="Z39" i="24"/>
  <c r="X39" i="24" s="1"/>
  <c r="Y39" i="24"/>
  <c r="AA5" i="24"/>
  <c r="N5" i="24"/>
  <c r="Y5" i="24"/>
  <c r="L5" i="24"/>
  <c r="BA69" i="18"/>
  <c r="Z37" i="24" s="1"/>
  <c r="X37" i="24" s="1"/>
  <c r="BA67" i="18"/>
  <c r="Z36" i="24" s="1"/>
  <c r="X36" i="24" s="1"/>
  <c r="BA65" i="18"/>
  <c r="Z35" i="24" s="1"/>
  <c r="X35" i="24" s="1"/>
  <c r="BA63" i="18"/>
  <c r="Z34" i="24" s="1"/>
  <c r="X34" i="24" s="1"/>
  <c r="BA61" i="18"/>
  <c r="Z33" i="24" s="1"/>
  <c r="X33" i="24" s="1"/>
  <c r="BA59" i="18"/>
  <c r="BA57" i="18"/>
  <c r="Z31" i="24" s="1"/>
  <c r="X31" i="24" s="1"/>
  <c r="BA55" i="18"/>
  <c r="Z30" i="24" s="1"/>
  <c r="X30" i="24" s="1"/>
  <c r="BA53" i="18"/>
  <c r="Z29" i="24" s="1"/>
  <c r="X29" i="24" s="1"/>
  <c r="BA51" i="18"/>
  <c r="Z28" i="24" s="1"/>
  <c r="X28" i="24" s="1"/>
  <c r="BA49" i="18"/>
  <c r="Z27" i="24" s="1"/>
  <c r="X27" i="24" s="1"/>
  <c r="BA47" i="18"/>
  <c r="Z26" i="24" s="1"/>
  <c r="X26" i="24" s="1"/>
  <c r="BA45" i="18"/>
  <c r="Z25" i="24" s="1"/>
  <c r="X25" i="24" s="1"/>
  <c r="BA43" i="18"/>
  <c r="BA41" i="18"/>
  <c r="Z23" i="24" s="1"/>
  <c r="X23" i="24" s="1"/>
  <c r="BA39" i="18"/>
  <c r="BA37" i="18"/>
  <c r="Z21" i="24" s="1"/>
  <c r="X21" i="24" s="1"/>
  <c r="BA35" i="18"/>
  <c r="Z20" i="24" s="1"/>
  <c r="X20" i="24" s="1"/>
  <c r="BA33" i="18"/>
  <c r="Z19" i="24" s="1"/>
  <c r="X19" i="24" s="1"/>
  <c r="BA31" i="18"/>
  <c r="Z18" i="24" s="1"/>
  <c r="X18" i="24" s="1"/>
  <c r="BA29" i="18"/>
  <c r="Z17" i="24" s="1"/>
  <c r="X17" i="24" s="1"/>
  <c r="BA27" i="18"/>
  <c r="BA25" i="18"/>
  <c r="Z15" i="24" s="1"/>
  <c r="X15" i="24" s="1"/>
  <c r="BA23" i="18"/>
  <c r="BA21" i="18"/>
  <c r="Z13" i="24" s="1"/>
  <c r="X13" i="24" s="1"/>
  <c r="BA19" i="18"/>
  <c r="Z12" i="24" s="1"/>
  <c r="X12" i="24" s="1"/>
  <c r="BA17" i="18"/>
  <c r="Z11" i="24" s="1"/>
  <c r="X11" i="24" s="1"/>
  <c r="BA15" i="18"/>
  <c r="Z10" i="24" s="1"/>
  <c r="X10" i="24" s="1"/>
  <c r="BA13" i="18"/>
  <c r="Z9" i="24" s="1"/>
  <c r="X9" i="24" s="1"/>
  <c r="BA11" i="18"/>
  <c r="BA9" i="18"/>
  <c r="Z7" i="24" s="1"/>
  <c r="X7" i="24" s="1"/>
  <c r="BA7" i="18"/>
  <c r="BA5" i="18"/>
  <c r="Z5" i="24" s="1"/>
  <c r="X5" i="24" s="1"/>
  <c r="AO69" i="18"/>
  <c r="AO67" i="18"/>
  <c r="AO65" i="18"/>
  <c r="AO63" i="18"/>
  <c r="AO61" i="18"/>
  <c r="AO59" i="18"/>
  <c r="AO57" i="18"/>
  <c r="AO55" i="18"/>
  <c r="AO53" i="18"/>
  <c r="AO51" i="18"/>
  <c r="AO49" i="18"/>
  <c r="AO47" i="18"/>
  <c r="AO45" i="18"/>
  <c r="AO43" i="18"/>
  <c r="AO41" i="18"/>
  <c r="AO39" i="18"/>
  <c r="AO37" i="18"/>
  <c r="AO35" i="18"/>
  <c r="AO33" i="18"/>
  <c r="AO31" i="18"/>
  <c r="AO29" i="18"/>
  <c r="AO27" i="18"/>
  <c r="AO25" i="18"/>
  <c r="AO23" i="18"/>
  <c r="AO21" i="18"/>
  <c r="AO19" i="18"/>
  <c r="AO17" i="18"/>
  <c r="AO15" i="18"/>
  <c r="AO13" i="18"/>
  <c r="AO11" i="18"/>
  <c r="AO9" i="18"/>
  <c r="AO7" i="18"/>
  <c r="AO5" i="18"/>
  <c r="M6" i="24"/>
  <c r="K6" i="24" s="1"/>
  <c r="BA69" i="25"/>
  <c r="BA67" i="25"/>
  <c r="BA65" i="25"/>
  <c r="BA63" i="25"/>
  <c r="BA61" i="25"/>
  <c r="BA59" i="25"/>
  <c r="BA57" i="25"/>
  <c r="BA55" i="25"/>
  <c r="BA53" i="25"/>
  <c r="BA51" i="25"/>
  <c r="BA49" i="25"/>
  <c r="BA47" i="25"/>
  <c r="BA45" i="25"/>
  <c r="BA43" i="25"/>
  <c r="BA41" i="25"/>
  <c r="BA39" i="25"/>
  <c r="BA37" i="25"/>
  <c r="BA35" i="25"/>
  <c r="BA33" i="25"/>
  <c r="BA31" i="25"/>
  <c r="BA29" i="25"/>
  <c r="BA27" i="25"/>
  <c r="BA25" i="25"/>
  <c r="BA23" i="25"/>
  <c r="BA21" i="25"/>
  <c r="BA19" i="25"/>
  <c r="BA17" i="25"/>
  <c r="BA15" i="25"/>
  <c r="BA13" i="25"/>
  <c r="BA11" i="25"/>
  <c r="BA9" i="25"/>
  <c r="BA7" i="25"/>
  <c r="M5" i="24" s="1"/>
  <c r="K5" i="24" s="1"/>
  <c r="BA5" i="25"/>
  <c r="AU69" i="25"/>
  <c r="AU67" i="25"/>
  <c r="AU65" i="25"/>
  <c r="AU63" i="25"/>
  <c r="AU61" i="25"/>
  <c r="AU59" i="25"/>
  <c r="AU57" i="25"/>
  <c r="AU55" i="25"/>
  <c r="AU53" i="25"/>
  <c r="AU51" i="25"/>
  <c r="AU49" i="25"/>
  <c r="AU47" i="25"/>
  <c r="AU45" i="25"/>
  <c r="AU43" i="25"/>
  <c r="AU41" i="25"/>
  <c r="AU39" i="25"/>
  <c r="AU37" i="25"/>
  <c r="AU35" i="25"/>
  <c r="AU33" i="25"/>
  <c r="AU31" i="25"/>
  <c r="AU29" i="25"/>
  <c r="AU27" i="25"/>
  <c r="AU25" i="25"/>
  <c r="AU23" i="25"/>
  <c r="AU21" i="25"/>
  <c r="AU19" i="25"/>
  <c r="AU17" i="25"/>
  <c r="AU15" i="25"/>
  <c r="AU13" i="25"/>
  <c r="AU11" i="25"/>
  <c r="AU9" i="25"/>
  <c r="AU7" i="25"/>
  <c r="AU5" i="25"/>
  <c r="AJ5" i="25"/>
  <c r="AO5" i="25" l="1"/>
  <c r="AP5" i="25" s="1"/>
  <c r="BD75" i="25"/>
  <c r="BC75" i="25"/>
  <c r="AX75" i="25"/>
  <c r="AW75" i="25"/>
  <c r="BF73" i="25"/>
  <c r="BE73" i="25"/>
  <c r="AJ73" i="25"/>
  <c r="BF71" i="25"/>
  <c r="BE71" i="25"/>
  <c r="AJ71" i="25"/>
  <c r="BF69" i="25"/>
  <c r="BB69" i="25"/>
  <c r="AV69" i="25"/>
  <c r="AO69" i="25"/>
  <c r="AP69" i="25" s="1"/>
  <c r="BE69" i="25"/>
  <c r="AJ69" i="25"/>
  <c r="BF67" i="25"/>
  <c r="BB67" i="25"/>
  <c r="AV67" i="25"/>
  <c r="AO67" i="25"/>
  <c r="AP67" i="25" s="1"/>
  <c r="BE67" i="25"/>
  <c r="AJ67" i="25"/>
  <c r="BF65" i="25"/>
  <c r="BE65" i="25"/>
  <c r="BB65" i="25"/>
  <c r="AV65" i="25"/>
  <c r="AO65" i="25"/>
  <c r="AP65" i="25" s="1"/>
  <c r="AJ65" i="25"/>
  <c r="BF63" i="25"/>
  <c r="BB63" i="25"/>
  <c r="AV63" i="25"/>
  <c r="AO63" i="25"/>
  <c r="AP63" i="25" s="1"/>
  <c r="BE63" i="25"/>
  <c r="AJ63" i="25"/>
  <c r="BF61" i="25"/>
  <c r="BB61" i="25"/>
  <c r="AV61" i="25"/>
  <c r="AO61" i="25"/>
  <c r="AP61" i="25" s="1"/>
  <c r="BE61" i="25"/>
  <c r="AJ61" i="25"/>
  <c r="BF59" i="25"/>
  <c r="BB59" i="25"/>
  <c r="AV59" i="25"/>
  <c r="AO59" i="25"/>
  <c r="AP59" i="25" s="1"/>
  <c r="AJ59" i="25"/>
  <c r="BF57" i="25"/>
  <c r="BB57" i="25"/>
  <c r="AV57" i="25"/>
  <c r="AO57" i="25"/>
  <c r="AP57" i="25" s="1"/>
  <c r="BE57" i="25"/>
  <c r="AJ57" i="25"/>
  <c r="BF55" i="25"/>
  <c r="BB55" i="25"/>
  <c r="AV55" i="25"/>
  <c r="AO55" i="25"/>
  <c r="AP55" i="25" s="1"/>
  <c r="BE55" i="25"/>
  <c r="AJ55" i="25"/>
  <c r="BF53" i="25"/>
  <c r="BE53" i="25"/>
  <c r="BB53" i="25"/>
  <c r="AV53" i="25"/>
  <c r="AO53" i="25"/>
  <c r="AP53" i="25"/>
  <c r="AJ53" i="25"/>
  <c r="BF51" i="25"/>
  <c r="BB51" i="25"/>
  <c r="AV51" i="25"/>
  <c r="AO51" i="25"/>
  <c r="AP51" i="25" s="1"/>
  <c r="BE51" i="25"/>
  <c r="AJ51" i="25"/>
  <c r="BF49" i="25"/>
  <c r="BB49" i="25"/>
  <c r="AV49" i="25"/>
  <c r="AO49" i="25"/>
  <c r="AP49" i="25" s="1"/>
  <c r="BE49" i="25"/>
  <c r="AJ49" i="25"/>
  <c r="BF47" i="25"/>
  <c r="BE47" i="25"/>
  <c r="BB47" i="25"/>
  <c r="AV47" i="25"/>
  <c r="AO47" i="25"/>
  <c r="AP47" i="25" s="1"/>
  <c r="AJ47" i="25"/>
  <c r="BB45" i="25"/>
  <c r="AV45" i="25"/>
  <c r="AO45" i="25"/>
  <c r="AP45" i="25" s="1"/>
  <c r="BF45" i="25"/>
  <c r="AJ45" i="25"/>
  <c r="BB43" i="25"/>
  <c r="AV43" i="25"/>
  <c r="AO43" i="25"/>
  <c r="AP43" i="25" s="1"/>
  <c r="BF43" i="25"/>
  <c r="BE43" i="25"/>
  <c r="AJ43" i="25"/>
  <c r="BF41" i="25"/>
  <c r="BE41" i="25"/>
  <c r="BB41" i="25"/>
  <c r="AV41" i="25"/>
  <c r="AO41" i="25"/>
  <c r="AP41" i="25"/>
  <c r="AJ41" i="25"/>
  <c r="BF39" i="25"/>
  <c r="BB39" i="25"/>
  <c r="AV39" i="25"/>
  <c r="AO39" i="25"/>
  <c r="AP39" i="25" s="1"/>
  <c r="BE39" i="25"/>
  <c r="AJ39" i="25"/>
  <c r="BB37" i="25"/>
  <c r="AV37" i="25"/>
  <c r="AO37" i="25"/>
  <c r="AP37" i="25" s="1"/>
  <c r="BF37" i="25"/>
  <c r="BE37" i="25"/>
  <c r="AJ37" i="25"/>
  <c r="BF35" i="25"/>
  <c r="BB35" i="25"/>
  <c r="AV35" i="25"/>
  <c r="AO35" i="25"/>
  <c r="BE35" i="25"/>
  <c r="AJ35" i="25"/>
  <c r="BF33" i="25"/>
  <c r="BB33" i="25"/>
  <c r="AV33" i="25"/>
  <c r="AO33" i="25"/>
  <c r="AP33" i="25" s="1"/>
  <c r="BE33" i="25"/>
  <c r="AJ33" i="25"/>
  <c r="BF31" i="25"/>
  <c r="BB31" i="25"/>
  <c r="AV31" i="25"/>
  <c r="AO31" i="25"/>
  <c r="AP31" i="25" s="1"/>
  <c r="AJ31" i="25"/>
  <c r="BF29" i="25"/>
  <c r="BB29" i="25"/>
  <c r="AV29" i="25"/>
  <c r="AO29" i="25"/>
  <c r="AP29" i="25" s="1"/>
  <c r="BE29" i="25"/>
  <c r="AJ29" i="25"/>
  <c r="BE27" i="25"/>
  <c r="BB27" i="25"/>
  <c r="AV27" i="25"/>
  <c r="AO27" i="25"/>
  <c r="AP27" i="25" s="1"/>
  <c r="BF27" i="25"/>
  <c r="AJ27" i="25"/>
  <c r="BF25" i="25"/>
  <c r="BB25" i="25"/>
  <c r="AV25" i="25"/>
  <c r="BE25" i="25"/>
  <c r="AO25" i="25"/>
  <c r="AP25" i="25" s="1"/>
  <c r="AJ25" i="25"/>
  <c r="BE23" i="25"/>
  <c r="AV23" i="25"/>
  <c r="AO23" i="25"/>
  <c r="AP23" i="25" s="1"/>
  <c r="BF23" i="25"/>
  <c r="AJ23" i="25"/>
  <c r="BF21" i="25"/>
  <c r="BB21" i="25"/>
  <c r="AV21" i="25"/>
  <c r="AO21" i="25"/>
  <c r="AP21" i="25" s="1"/>
  <c r="BE21" i="25"/>
  <c r="AJ21" i="25"/>
  <c r="BB19" i="25"/>
  <c r="AV19" i="25"/>
  <c r="AO19" i="25"/>
  <c r="AP19" i="25" s="1"/>
  <c r="BF19" i="25"/>
  <c r="AJ19" i="25"/>
  <c r="BF17" i="25"/>
  <c r="BB17" i="25"/>
  <c r="AV17" i="25"/>
  <c r="AO17" i="25"/>
  <c r="BE17" i="25"/>
  <c r="AJ17" i="25"/>
  <c r="BF15" i="25"/>
  <c r="BB15" i="25"/>
  <c r="AV15" i="25"/>
  <c r="AO15" i="25"/>
  <c r="AP15" i="25" s="1"/>
  <c r="BE15" i="25"/>
  <c r="AJ15" i="25"/>
  <c r="BB13" i="25"/>
  <c r="AV13" i="25"/>
  <c r="AO13" i="25"/>
  <c r="AP13" i="25" s="1"/>
  <c r="BF13" i="25"/>
  <c r="AJ13" i="25"/>
  <c r="BF11" i="25"/>
  <c r="BB11" i="25"/>
  <c r="AV11" i="25"/>
  <c r="AO11" i="25"/>
  <c r="AP11" i="25" s="1"/>
  <c r="BE11" i="25"/>
  <c r="AJ11" i="25"/>
  <c r="BF9" i="25"/>
  <c r="BB9" i="25"/>
  <c r="AV9" i="25"/>
  <c r="AO9" i="25"/>
  <c r="BE9" i="25"/>
  <c r="AJ9" i="25"/>
  <c r="BF7" i="25"/>
  <c r="BE7" i="25"/>
  <c r="BB7" i="25"/>
  <c r="AV7" i="25"/>
  <c r="AO7" i="25"/>
  <c r="AP7" i="25" s="1"/>
  <c r="AJ7" i="25"/>
  <c r="BF5" i="25"/>
  <c r="BB5" i="25"/>
  <c r="AV5" i="25"/>
  <c r="BE5" i="25"/>
  <c r="BA75" i="25" l="1"/>
  <c r="BB75" i="25" s="1"/>
  <c r="AU75" i="25"/>
  <c r="AO75" i="25"/>
  <c r="BF75" i="25"/>
  <c r="BE45" i="25"/>
  <c r="AK75" i="25"/>
  <c r="BE13" i="25"/>
  <c r="BB23" i="25"/>
  <c r="BE31" i="25"/>
  <c r="AP35" i="25"/>
  <c r="BE19" i="25"/>
  <c r="BE59" i="25"/>
  <c r="AP9" i="25"/>
  <c r="AP17" i="25"/>
  <c r="AV75" i="25" l="1"/>
  <c r="AP75" i="25"/>
  <c r="BE75" i="25"/>
  <c r="BE77" i="25" s="1"/>
  <c r="BB69" i="18" l="1"/>
  <c r="BB67" i="18"/>
  <c r="BB65" i="18"/>
  <c r="BB63" i="18"/>
  <c r="BB61" i="18"/>
  <c r="BB59" i="18"/>
  <c r="BB57" i="18"/>
  <c r="BB55" i="18"/>
  <c r="BB53" i="18"/>
  <c r="BB51" i="18"/>
  <c r="BB49" i="18"/>
  <c r="BB47" i="18"/>
  <c r="BB45" i="18"/>
  <c r="BB43" i="18"/>
  <c r="BB41" i="18"/>
  <c r="BB39" i="18"/>
  <c r="BB37" i="18"/>
  <c r="BB35" i="18"/>
  <c r="BB33" i="18"/>
  <c r="BB31" i="18"/>
  <c r="BB29" i="18"/>
  <c r="BB27" i="18"/>
  <c r="BB25" i="18"/>
  <c r="BB23" i="18"/>
  <c r="BB21" i="18"/>
  <c r="BB19" i="18"/>
  <c r="BB17" i="18"/>
  <c r="BB15" i="18"/>
  <c r="BB13" i="18"/>
  <c r="BB11" i="18"/>
  <c r="BB9" i="18"/>
  <c r="BB7" i="18"/>
  <c r="AK75" i="18"/>
  <c r="U25" i="24"/>
  <c r="U20" i="24"/>
  <c r="U5" i="24"/>
  <c r="BE61" i="18"/>
  <c r="Q31" i="24"/>
  <c r="Q30" i="24"/>
  <c r="Q25" i="24"/>
  <c r="Q22" i="24"/>
  <c r="BE29" i="18"/>
  <c r="AP23" i="18"/>
  <c r="Q9" i="24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W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W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W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W49" i="12"/>
  <c r="W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W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W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W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W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W43" i="12"/>
  <c r="W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W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W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W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W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W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W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W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W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W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W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W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W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W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W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W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W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W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W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W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W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W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W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W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W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W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I36" i="13"/>
  <c r="H35" i="13"/>
  <c r="G35" i="13"/>
  <c r="LD49" i="22" s="1"/>
  <c r="F35" i="13"/>
  <c r="E35" i="13"/>
  <c r="H34" i="13"/>
  <c r="G34" i="13"/>
  <c r="F34" i="13"/>
  <c r="E34" i="13"/>
  <c r="H33" i="13"/>
  <c r="LE46" i="22" s="1"/>
  <c r="G33" i="13"/>
  <c r="F33" i="13"/>
  <c r="E33" i="13"/>
  <c r="H32" i="13"/>
  <c r="LE45" i="22" s="1"/>
  <c r="G32" i="13"/>
  <c r="F32" i="13"/>
  <c r="E32" i="13"/>
  <c r="H31" i="13"/>
  <c r="LE44" i="22" s="1"/>
  <c r="G31" i="13"/>
  <c r="F31" i="13"/>
  <c r="LC44" i="22" s="1"/>
  <c r="E31" i="13"/>
  <c r="H30" i="13"/>
  <c r="G30" i="13"/>
  <c r="F30" i="13"/>
  <c r="E30" i="13"/>
  <c r="H29" i="13"/>
  <c r="LE42" i="22" s="1"/>
  <c r="G29" i="13"/>
  <c r="LD42" i="22" s="1"/>
  <c r="F29" i="13"/>
  <c r="E29" i="13"/>
  <c r="H28" i="13"/>
  <c r="LE40" i="22" s="1"/>
  <c r="G28" i="13"/>
  <c r="LD40" i="22" s="1"/>
  <c r="F28" i="13"/>
  <c r="LC40" i="22" s="1"/>
  <c r="E28" i="13"/>
  <c r="H27" i="13"/>
  <c r="LE39" i="22" s="1"/>
  <c r="G27" i="13"/>
  <c r="F27" i="13"/>
  <c r="LC39" i="22" s="1"/>
  <c r="E27" i="13"/>
  <c r="D27" i="13"/>
  <c r="H26" i="13"/>
  <c r="LE27" i="22" s="1"/>
  <c r="G26" i="13"/>
  <c r="LD27" i="22" s="1"/>
  <c r="F26" i="13"/>
  <c r="LC27" i="22" s="1"/>
  <c r="E26" i="13"/>
  <c r="H25" i="13"/>
  <c r="G25" i="13"/>
  <c r="LD22" i="22" s="1"/>
  <c r="F25" i="13"/>
  <c r="LC22" i="22" s="1"/>
  <c r="E25" i="13"/>
  <c r="H24" i="13"/>
  <c r="LE21" i="22" s="1"/>
  <c r="G24" i="13"/>
  <c r="F24" i="13"/>
  <c r="E24" i="13"/>
  <c r="H23" i="13"/>
  <c r="LE19" i="22" s="1"/>
  <c r="G23" i="13"/>
  <c r="LD19" i="22" s="1"/>
  <c r="F23" i="13"/>
  <c r="LC19" i="22" s="1"/>
  <c r="E23" i="13"/>
  <c r="H22" i="13"/>
  <c r="LE17" i="22" s="1"/>
  <c r="G22" i="13"/>
  <c r="LD17" i="22" s="1"/>
  <c r="F22" i="13"/>
  <c r="E22" i="13"/>
  <c r="H21" i="13"/>
  <c r="LE16" i="22" s="1"/>
  <c r="G21" i="13"/>
  <c r="LD16" i="22" s="1"/>
  <c r="F21" i="13"/>
  <c r="LC16" i="22" s="1"/>
  <c r="E21" i="13"/>
  <c r="D21" i="13"/>
  <c r="H20" i="13"/>
  <c r="G20" i="13"/>
  <c r="LD32" i="22" s="1"/>
  <c r="F20" i="13"/>
  <c r="LC32" i="22" s="1"/>
  <c r="E20" i="13"/>
  <c r="H19" i="13"/>
  <c r="G19" i="13"/>
  <c r="LD20" i="22" s="1"/>
  <c r="F19" i="13"/>
  <c r="E19" i="13"/>
  <c r="H18" i="13"/>
  <c r="LE15" i="22" s="1"/>
  <c r="G18" i="13"/>
  <c r="F18" i="13"/>
  <c r="E18" i="13"/>
  <c r="H17" i="13"/>
  <c r="LE14" i="22" s="1"/>
  <c r="G17" i="13"/>
  <c r="LD14" i="22" s="1"/>
  <c r="F17" i="13"/>
  <c r="LC14" i="22" s="1"/>
  <c r="E17" i="13"/>
  <c r="H16" i="13"/>
  <c r="G16" i="13"/>
  <c r="LD13" i="22" s="1"/>
  <c r="F16" i="13"/>
  <c r="LC13" i="22" s="1"/>
  <c r="E16" i="13"/>
  <c r="H15" i="13"/>
  <c r="G15" i="13"/>
  <c r="F15" i="13"/>
  <c r="LC12" i="22" s="1"/>
  <c r="E15" i="13"/>
  <c r="D15" i="13"/>
  <c r="H14" i="13"/>
  <c r="G14" i="13"/>
  <c r="F14" i="13"/>
  <c r="LC18" i="22" s="1"/>
  <c r="E14" i="13"/>
  <c r="H13" i="13"/>
  <c r="LE10" i="22" s="1"/>
  <c r="G13" i="13"/>
  <c r="F13" i="13"/>
  <c r="LC10" i="22" s="1"/>
  <c r="E13" i="13"/>
  <c r="D13" i="13"/>
  <c r="H12" i="13"/>
  <c r="G12" i="13"/>
  <c r="LD31" i="22" s="1"/>
  <c r="F12" i="13"/>
  <c r="LC31" i="22" s="1"/>
  <c r="E12" i="13"/>
  <c r="H11" i="13"/>
  <c r="G11" i="13"/>
  <c r="LD30" i="22" s="1"/>
  <c r="F11" i="13"/>
  <c r="LC30" i="22" s="1"/>
  <c r="E11" i="13"/>
  <c r="H10" i="13"/>
  <c r="LE29" i="22" s="1"/>
  <c r="G10" i="13"/>
  <c r="LD29" i="22" s="1"/>
  <c r="F10" i="13"/>
  <c r="LC29" i="22" s="1"/>
  <c r="E10" i="13"/>
  <c r="H9" i="13"/>
  <c r="G9" i="13"/>
  <c r="F9" i="13"/>
  <c r="LC28" i="22" s="1"/>
  <c r="E9" i="13"/>
  <c r="H8" i="13"/>
  <c r="LE26" i="22" s="1"/>
  <c r="G8" i="13"/>
  <c r="LD26" i="22" s="1"/>
  <c r="F8" i="13"/>
  <c r="LC26" i="22" s="1"/>
  <c r="E8" i="13"/>
  <c r="H7" i="13"/>
  <c r="LE25" i="22" s="1"/>
  <c r="G7" i="13"/>
  <c r="LD25" i="22" s="1"/>
  <c r="F7" i="13"/>
  <c r="LC25" i="22" s="1"/>
  <c r="E7" i="13"/>
  <c r="H6" i="13"/>
  <c r="LE24" i="22" s="1"/>
  <c r="G6" i="13"/>
  <c r="LD24" i="22" s="1"/>
  <c r="F6" i="13"/>
  <c r="LC24" i="22" s="1"/>
  <c r="E6" i="13"/>
  <c r="D6" i="13"/>
  <c r="H5" i="13"/>
  <c r="LE23" i="22" s="1"/>
  <c r="G5" i="13"/>
  <c r="LD23" i="22" s="1"/>
  <c r="F5" i="13"/>
  <c r="LC23" i="22" s="1"/>
  <c r="E5" i="13"/>
  <c r="H4" i="13"/>
  <c r="LE11" i="22" s="1"/>
  <c r="G4" i="13"/>
  <c r="LD11" i="22" s="1"/>
  <c r="F4" i="13"/>
  <c r="LC11" i="22" s="1"/>
  <c r="E4" i="13"/>
  <c r="H3" i="13"/>
  <c r="G3" i="13"/>
  <c r="LD9" i="22" s="1"/>
  <c r="F3" i="13"/>
  <c r="LC9" i="22" s="1"/>
  <c r="E3" i="13"/>
  <c r="D3" i="13"/>
  <c r="KK50" i="22"/>
  <c r="KJ50" i="22"/>
  <c r="KI50" i="22"/>
  <c r="KH50" i="22"/>
  <c r="KF50" i="22"/>
  <c r="KE50" i="22"/>
  <c r="KD50" i="22"/>
  <c r="KC50" i="22"/>
  <c r="JZ50" i="22"/>
  <c r="JY50" i="22"/>
  <c r="JX50" i="22"/>
  <c r="JU50" i="22"/>
  <c r="JT50" i="22"/>
  <c r="JS50" i="22"/>
  <c r="JP50" i="22"/>
  <c r="JO50" i="22"/>
  <c r="JN50" i="22"/>
  <c r="JK50" i="22"/>
  <c r="JJ50" i="22"/>
  <c r="JI50" i="22"/>
  <c r="JF50" i="22"/>
  <c r="JE50" i="22"/>
  <c r="JD50" i="22"/>
  <c r="JA50" i="22"/>
  <c r="IZ50" i="22"/>
  <c r="IY50" i="22"/>
  <c r="IV50" i="22"/>
  <c r="IU50" i="22"/>
  <c r="IT50" i="22"/>
  <c r="IO50" i="22"/>
  <c r="IN50" i="22"/>
  <c r="IM50" i="22"/>
  <c r="IE50" i="22"/>
  <c r="HZ50" i="22"/>
  <c r="HY50" i="22"/>
  <c r="HX50" i="22"/>
  <c r="HU50" i="22"/>
  <c r="HT50" i="22"/>
  <c r="HS50" i="22"/>
  <c r="HP50" i="22"/>
  <c r="HO50" i="22"/>
  <c r="HN50" i="22"/>
  <c r="HK50" i="22"/>
  <c r="HJ50" i="22"/>
  <c r="HI50" i="22"/>
  <c r="HF50" i="22"/>
  <c r="HE50" i="22"/>
  <c r="HD50" i="22"/>
  <c r="HA50" i="22"/>
  <c r="GZ50" i="22"/>
  <c r="GY50" i="22"/>
  <c r="GV50" i="22"/>
  <c r="GU50" i="22"/>
  <c r="GT50" i="22"/>
  <c r="GQ50" i="22"/>
  <c r="GP50" i="22"/>
  <c r="GO50" i="22"/>
  <c r="GL50" i="22"/>
  <c r="GK50" i="22"/>
  <c r="GJ50" i="22"/>
  <c r="GF50" i="22"/>
  <c r="GE50" i="22"/>
  <c r="GD50" i="22"/>
  <c r="GA50" i="22"/>
  <c r="FZ50" i="22"/>
  <c r="FY50" i="22"/>
  <c r="FV50" i="22"/>
  <c r="FU50" i="22"/>
  <c r="FT50" i="22"/>
  <c r="FQ50" i="22"/>
  <c r="FL50" i="22"/>
  <c r="FK50" i="22"/>
  <c r="FJ50" i="22"/>
  <c r="FG50" i="22"/>
  <c r="FF50" i="22"/>
  <c r="FE50" i="22"/>
  <c r="FB50" i="22"/>
  <c r="FA50" i="22"/>
  <c r="EZ50" i="22"/>
  <c r="EW50" i="22"/>
  <c r="EV50" i="22"/>
  <c r="EU50" i="22"/>
  <c r="ER50" i="22"/>
  <c r="EQ50" i="22"/>
  <c r="EP50" i="22"/>
  <c r="EM50" i="22"/>
  <c r="EL50" i="22"/>
  <c r="EK50" i="22"/>
  <c r="EH50" i="22"/>
  <c r="EG50" i="22"/>
  <c r="EF50" i="22"/>
  <c r="EC50" i="22"/>
  <c r="EB50" i="22"/>
  <c r="EA50" i="22"/>
  <c r="DW50" i="22"/>
  <c r="DV50" i="22"/>
  <c r="DU50" i="22"/>
  <c r="DR50" i="22"/>
  <c r="DQ50" i="22"/>
  <c r="DP50" i="22"/>
  <c r="DM50" i="22"/>
  <c r="DL50" i="22"/>
  <c r="DK50" i="22"/>
  <c r="DH50" i="22"/>
  <c r="DG50" i="22"/>
  <c r="DF50" i="22"/>
  <c r="DC50" i="22"/>
  <c r="DB50" i="22"/>
  <c r="DA50" i="22"/>
  <c r="CX50" i="22"/>
  <c r="CW50" i="22"/>
  <c r="CV50" i="22"/>
  <c r="CU50" i="22"/>
  <c r="CS50" i="22"/>
  <c r="CR50" i="22"/>
  <c r="CQ50" i="22"/>
  <c r="CO50" i="22"/>
  <c r="CN50" i="22"/>
  <c r="CM50" i="22"/>
  <c r="CL50" i="22"/>
  <c r="CJ50" i="22"/>
  <c r="CI50" i="22"/>
  <c r="CH50" i="22"/>
  <c r="CG50" i="22"/>
  <c r="CE50" i="22"/>
  <c r="CD50" i="22"/>
  <c r="CC50" i="22"/>
  <c r="CB50" i="22"/>
  <c r="BZ50" i="22"/>
  <c r="BY50" i="22"/>
  <c r="BX50" i="22"/>
  <c r="BW50" i="22"/>
  <c r="BU50" i="22"/>
  <c r="BT50" i="22"/>
  <c r="BO50" i="22"/>
  <c r="BN50" i="22"/>
  <c r="BJ50" i="22"/>
  <c r="BI50" i="22"/>
  <c r="BE50" i="22"/>
  <c r="BD50" i="22"/>
  <c r="AZ50" i="22"/>
  <c r="AY50" i="22"/>
  <c r="AX50" i="22"/>
  <c r="AW50" i="22"/>
  <c r="AU50" i="22"/>
  <c r="AT50" i="22"/>
  <c r="AS50" i="22"/>
  <c r="AR50" i="22"/>
  <c r="AP50" i="22"/>
  <c r="AO50" i="22"/>
  <c r="AN50" i="22"/>
  <c r="AM50" i="22"/>
  <c r="AK50" i="22"/>
  <c r="AJ50" i="22"/>
  <c r="AI50" i="22"/>
  <c r="AF50" i="22"/>
  <c r="AE50" i="22"/>
  <c r="AD50" i="22"/>
  <c r="AC50" i="22"/>
  <c r="AA50" i="22"/>
  <c r="Z50" i="22"/>
  <c r="Y50" i="22"/>
  <c r="X50" i="22"/>
  <c r="V50" i="22"/>
  <c r="U50" i="22"/>
  <c r="T50" i="22"/>
  <c r="S50" i="22"/>
  <c r="Q50" i="22"/>
  <c r="P50" i="22"/>
  <c r="O50" i="22"/>
  <c r="N50" i="22"/>
  <c r="L50" i="22"/>
  <c r="K50" i="22"/>
  <c r="J50" i="22"/>
  <c r="I50" i="22"/>
  <c r="E50" i="22"/>
  <c r="D50" i="22"/>
  <c r="C50" i="22"/>
  <c r="KL49" i="22"/>
  <c r="KG49" i="22"/>
  <c r="KB49" i="22"/>
  <c r="JW49" i="22"/>
  <c r="JR49" i="22"/>
  <c r="JM49" i="22"/>
  <c r="JH49" i="22"/>
  <c r="JC49" i="22"/>
  <c r="IX49" i="22"/>
  <c r="IQ49" i="22"/>
  <c r="IL49" i="22"/>
  <c r="IG49" i="22"/>
  <c r="IB49" i="22"/>
  <c r="HW49" i="22"/>
  <c r="HR49" i="22"/>
  <c r="HM49" i="22"/>
  <c r="HH49" i="22"/>
  <c r="HC49" i="22"/>
  <c r="GX49" i="22"/>
  <c r="GS49" i="22"/>
  <c r="GN49" i="22"/>
  <c r="GH49" i="22"/>
  <c r="GC49" i="22"/>
  <c r="FX49" i="22"/>
  <c r="FS49" i="22"/>
  <c r="FN49" i="22"/>
  <c r="FI49" i="22"/>
  <c r="FD49" i="22"/>
  <c r="EY49" i="22"/>
  <c r="ET49" i="22"/>
  <c r="EO49" i="22"/>
  <c r="EJ49" i="22"/>
  <c r="EE49" i="22"/>
  <c r="DY49" i="22"/>
  <c r="DT49" i="22"/>
  <c r="DO49" i="22"/>
  <c r="DJ49" i="22"/>
  <c r="DE49" i="22"/>
  <c r="CZ49" i="22"/>
  <c r="CP49" i="22"/>
  <c r="CK49" i="22"/>
  <c r="CF49" i="22"/>
  <c r="CA49" i="22"/>
  <c r="BV49" i="22"/>
  <c r="BP49" i="22"/>
  <c r="BK49" i="22"/>
  <c r="BF49" i="22"/>
  <c r="BA49" i="22"/>
  <c r="AV49" i="22"/>
  <c r="AQ49" i="22"/>
  <c r="AL49" i="22"/>
  <c r="KL48" i="22"/>
  <c r="KG48" i="22"/>
  <c r="KB48" i="22"/>
  <c r="JW48" i="22"/>
  <c r="JR48" i="22"/>
  <c r="JM48" i="22"/>
  <c r="JH48" i="22"/>
  <c r="JC48" i="22"/>
  <c r="IX48" i="22"/>
  <c r="IQ48" i="22"/>
  <c r="IL48" i="22"/>
  <c r="IG48" i="22"/>
  <c r="IB48" i="22"/>
  <c r="HW48" i="22"/>
  <c r="HR48" i="22"/>
  <c r="HM48" i="22"/>
  <c r="HH48" i="22"/>
  <c r="HC48" i="22"/>
  <c r="GX48" i="22"/>
  <c r="GS48" i="22"/>
  <c r="GN48" i="22"/>
  <c r="GH48" i="22"/>
  <c r="GC48" i="22"/>
  <c r="FX48" i="22"/>
  <c r="FS48" i="22"/>
  <c r="FN48" i="22"/>
  <c r="FI48" i="22"/>
  <c r="FD48" i="22"/>
  <c r="EY48" i="22"/>
  <c r="ET48" i="22"/>
  <c r="EO48" i="22"/>
  <c r="EJ48" i="22"/>
  <c r="EE48" i="22"/>
  <c r="DY48" i="22"/>
  <c r="DT48" i="22"/>
  <c r="DO48" i="22"/>
  <c r="DJ48" i="22"/>
  <c r="DE48" i="22"/>
  <c r="CZ48" i="22"/>
  <c r="CP48" i="22"/>
  <c r="CK48" i="22"/>
  <c r="CF48" i="22"/>
  <c r="CA48" i="22"/>
  <c r="BV48" i="22"/>
  <c r="BP48" i="22"/>
  <c r="BK48" i="22"/>
  <c r="BF48" i="22"/>
  <c r="BA48" i="22"/>
  <c r="AV48" i="22"/>
  <c r="AQ48" i="22"/>
  <c r="AL48" i="22"/>
  <c r="KL47" i="22"/>
  <c r="KG47" i="22"/>
  <c r="CP47" i="22"/>
  <c r="CK47" i="22"/>
  <c r="CF47" i="22"/>
  <c r="CA47" i="22"/>
  <c r="BV47" i="22"/>
  <c r="BP47" i="22"/>
  <c r="BK47" i="22"/>
  <c r="BQ47" i="22" s="1"/>
  <c r="KL46" i="22"/>
  <c r="KG46" i="22"/>
  <c r="KB46" i="22"/>
  <c r="JW46" i="22"/>
  <c r="JR46" i="22"/>
  <c r="JM46" i="22"/>
  <c r="JH46" i="22"/>
  <c r="JC46" i="22"/>
  <c r="IX46" i="22"/>
  <c r="IQ46" i="22"/>
  <c r="IL46" i="22"/>
  <c r="IG46" i="22"/>
  <c r="IB46" i="22"/>
  <c r="HW46" i="22"/>
  <c r="HR46" i="22"/>
  <c r="HM46" i="22"/>
  <c r="HH46" i="22"/>
  <c r="HC46" i="22"/>
  <c r="GX46" i="22"/>
  <c r="GS46" i="22"/>
  <c r="CP46" i="22"/>
  <c r="CK46" i="22"/>
  <c r="CF46" i="22"/>
  <c r="CA46" i="22"/>
  <c r="BV46" i="22"/>
  <c r="BP46" i="22"/>
  <c r="BK46" i="22"/>
  <c r="KL45" i="22"/>
  <c r="KG45" i="22"/>
  <c r="KB45" i="22"/>
  <c r="JW45" i="22"/>
  <c r="JR45" i="22"/>
  <c r="JM45" i="22"/>
  <c r="JH45" i="22"/>
  <c r="JC45" i="22"/>
  <c r="IX45" i="22"/>
  <c r="IQ45" i="22"/>
  <c r="IL45" i="22"/>
  <c r="IG45" i="22"/>
  <c r="IB45" i="22"/>
  <c r="HW45" i="22"/>
  <c r="HR45" i="22"/>
  <c r="HM45" i="22"/>
  <c r="HH45" i="22"/>
  <c r="HC45" i="22"/>
  <c r="GX45" i="22"/>
  <c r="GS45" i="22"/>
  <c r="CP45" i="22"/>
  <c r="CK45" i="22"/>
  <c r="CF45" i="22"/>
  <c r="CA45" i="22"/>
  <c r="BV45" i="22"/>
  <c r="BP45" i="22"/>
  <c r="BK45" i="22"/>
  <c r="KQ44" i="22"/>
  <c r="KL44" i="22"/>
  <c r="KG44" i="22"/>
  <c r="KB44" i="22"/>
  <c r="JW44" i="22"/>
  <c r="JR44" i="22"/>
  <c r="JM44" i="22"/>
  <c r="JH44" i="22"/>
  <c r="JC44" i="22"/>
  <c r="IX44" i="22"/>
  <c r="IQ44" i="22"/>
  <c r="IL44" i="22"/>
  <c r="IG44" i="22"/>
  <c r="IB44" i="22"/>
  <c r="HW44" i="22"/>
  <c r="HR44" i="22"/>
  <c r="HM44" i="22"/>
  <c r="CP44" i="22"/>
  <c r="CK44" i="22"/>
  <c r="CF44" i="22"/>
  <c r="CA44" i="22"/>
  <c r="BV44" i="22"/>
  <c r="BP44" i="22"/>
  <c r="BK44" i="22"/>
  <c r="KL43" i="22"/>
  <c r="KG43" i="22"/>
  <c r="KB43" i="22"/>
  <c r="JW43" i="22"/>
  <c r="JR43" i="22"/>
  <c r="JM43" i="22"/>
  <c r="JH43" i="22"/>
  <c r="JC43" i="22"/>
  <c r="IX43" i="22"/>
  <c r="IQ43" i="22"/>
  <c r="IL43" i="22"/>
  <c r="IG43" i="22"/>
  <c r="IB43" i="22"/>
  <c r="HW43" i="22"/>
  <c r="HR43" i="22"/>
  <c r="HM43" i="22"/>
  <c r="HH43" i="22"/>
  <c r="HC43" i="22"/>
  <c r="GX43" i="22"/>
  <c r="GS43" i="22"/>
  <c r="GN43" i="22"/>
  <c r="GH43" i="22"/>
  <c r="GC43" i="22"/>
  <c r="FX43" i="22"/>
  <c r="FS43" i="22"/>
  <c r="FN43" i="22"/>
  <c r="FI43" i="22"/>
  <c r="FD43" i="22"/>
  <c r="EY43" i="22"/>
  <c r="ET43" i="22"/>
  <c r="EO43" i="22"/>
  <c r="EJ43" i="22"/>
  <c r="EE43" i="22"/>
  <c r="DY43" i="22"/>
  <c r="DT43" i="22"/>
  <c r="DO43" i="22"/>
  <c r="DJ43" i="22"/>
  <c r="DE43" i="22"/>
  <c r="CZ43" i="22"/>
  <c r="CP43" i="22"/>
  <c r="CK43" i="22"/>
  <c r="CF43" i="22"/>
  <c r="CA43" i="22"/>
  <c r="BV43" i="22"/>
  <c r="BP43" i="22"/>
  <c r="BK43" i="22"/>
  <c r="KL42" i="22"/>
  <c r="KG42" i="22"/>
  <c r="KB42" i="22"/>
  <c r="JW42" i="22"/>
  <c r="JR42" i="22"/>
  <c r="JM42" i="22"/>
  <c r="JH42" i="22"/>
  <c r="JC42" i="22"/>
  <c r="IX42" i="22"/>
  <c r="IQ42" i="22"/>
  <c r="IL42" i="22"/>
  <c r="IG42" i="22"/>
  <c r="IB42" i="22"/>
  <c r="HW42" i="22"/>
  <c r="HR42" i="22"/>
  <c r="HM42" i="22"/>
  <c r="HH42" i="22"/>
  <c r="HC42" i="22"/>
  <c r="GX42" i="22"/>
  <c r="GS42" i="22"/>
  <c r="GN42" i="22"/>
  <c r="GH42" i="22"/>
  <c r="GC42" i="22"/>
  <c r="FX42" i="22"/>
  <c r="FS42" i="22"/>
  <c r="FN42" i="22"/>
  <c r="FI42" i="22"/>
  <c r="FD42" i="22"/>
  <c r="EY42" i="22"/>
  <c r="ET42" i="22"/>
  <c r="EO42" i="22"/>
  <c r="EJ42" i="22"/>
  <c r="EE42" i="22"/>
  <c r="DY42" i="22"/>
  <c r="DT42" i="22"/>
  <c r="DO42" i="22"/>
  <c r="DJ42" i="22"/>
  <c r="DE42" i="22"/>
  <c r="CZ42" i="22"/>
  <c r="CP42" i="22"/>
  <c r="CK42" i="22"/>
  <c r="CF42" i="22"/>
  <c r="CA42" i="22"/>
  <c r="BV42" i="22"/>
  <c r="BP42" i="22"/>
  <c r="BK42" i="22"/>
  <c r="BQ42" i="22" s="1"/>
  <c r="KQ41" i="22"/>
  <c r="KL41" i="22"/>
  <c r="KG41" i="22"/>
  <c r="CP41" i="22"/>
  <c r="CK41" i="22"/>
  <c r="CF41" i="22"/>
  <c r="CA41" i="22"/>
  <c r="BV41" i="22"/>
  <c r="BP41" i="22"/>
  <c r="BK41" i="22"/>
  <c r="KL40" i="22"/>
  <c r="KG40" i="22"/>
  <c r="KB40" i="22"/>
  <c r="JW40" i="22"/>
  <c r="JR40" i="22"/>
  <c r="JM40" i="22"/>
  <c r="JH40" i="22"/>
  <c r="JC40" i="22"/>
  <c r="IX40" i="22"/>
  <c r="IQ40" i="22"/>
  <c r="IL40" i="22"/>
  <c r="IG40" i="22"/>
  <c r="IB40" i="22"/>
  <c r="HW40" i="22"/>
  <c r="HR40" i="22"/>
  <c r="HM40" i="22"/>
  <c r="HH40" i="22"/>
  <c r="HC40" i="22"/>
  <c r="GX40" i="22"/>
  <c r="GS40" i="22"/>
  <c r="GN40" i="22"/>
  <c r="GH40" i="22"/>
  <c r="GC40" i="22"/>
  <c r="FX40" i="22"/>
  <c r="FS40" i="22"/>
  <c r="FN40" i="22"/>
  <c r="FI40" i="22"/>
  <c r="FD40" i="22"/>
  <c r="EY40" i="22"/>
  <c r="ET40" i="22"/>
  <c r="EO40" i="22"/>
  <c r="EJ40" i="22"/>
  <c r="EE40" i="22"/>
  <c r="DY40" i="22"/>
  <c r="DT40" i="22"/>
  <c r="DO40" i="22"/>
  <c r="DJ40" i="22"/>
  <c r="DE40" i="22"/>
  <c r="CZ40" i="22"/>
  <c r="CP40" i="22"/>
  <c r="CK40" i="22"/>
  <c r="CF40" i="22"/>
  <c r="CA40" i="22"/>
  <c r="BV40" i="22"/>
  <c r="BP40" i="22"/>
  <c r="BK40" i="22"/>
  <c r="BQ40" i="22" s="1"/>
  <c r="KL39" i="22"/>
  <c r="KG39" i="22"/>
  <c r="KB39" i="22"/>
  <c r="JW39" i="22"/>
  <c r="JR39" i="22"/>
  <c r="JM39" i="22"/>
  <c r="JH39" i="22"/>
  <c r="JC39" i="22"/>
  <c r="IX39" i="22"/>
  <c r="IQ39" i="22"/>
  <c r="IL39" i="22"/>
  <c r="IG39" i="22"/>
  <c r="IB39" i="22"/>
  <c r="HW39" i="22"/>
  <c r="HR39" i="22"/>
  <c r="HM39" i="22"/>
  <c r="HH39" i="22"/>
  <c r="HC39" i="22"/>
  <c r="GX39" i="22"/>
  <c r="GS39" i="22"/>
  <c r="GN39" i="22"/>
  <c r="GH39" i="22"/>
  <c r="GC39" i="22"/>
  <c r="FX39" i="22"/>
  <c r="FS39" i="22"/>
  <c r="FN39" i="22"/>
  <c r="FI39" i="22"/>
  <c r="FD39" i="22"/>
  <c r="EY39" i="22"/>
  <c r="ET39" i="22"/>
  <c r="EO39" i="22"/>
  <c r="EJ39" i="22"/>
  <c r="EE39" i="22"/>
  <c r="DY39" i="22"/>
  <c r="DT39" i="22"/>
  <c r="DO39" i="22"/>
  <c r="DJ39" i="22"/>
  <c r="DE39" i="22"/>
  <c r="CP39" i="22"/>
  <c r="CK39" i="22"/>
  <c r="CF39" i="22"/>
  <c r="CA39" i="22"/>
  <c r="BV39" i="22"/>
  <c r="BP39" i="22"/>
  <c r="BK39" i="22"/>
  <c r="KL38" i="22"/>
  <c r="KG38" i="22"/>
  <c r="KB38" i="22"/>
  <c r="JW38" i="22"/>
  <c r="JR38" i="22"/>
  <c r="JM38" i="22"/>
  <c r="JH38" i="22"/>
  <c r="JC38" i="22"/>
  <c r="IX38" i="22"/>
  <c r="IQ38" i="22"/>
  <c r="IL38" i="22"/>
  <c r="IG38" i="22"/>
  <c r="IB38" i="22"/>
  <c r="HW38" i="22"/>
  <c r="HR38" i="22"/>
  <c r="HM38" i="22"/>
  <c r="HH38" i="22"/>
  <c r="HC38" i="22"/>
  <c r="GX38" i="22"/>
  <c r="KQ37" i="22"/>
  <c r="KL37" i="22"/>
  <c r="KG37" i="22"/>
  <c r="KB37" i="22"/>
  <c r="JW37" i="22"/>
  <c r="JR37" i="22"/>
  <c r="JM37" i="22"/>
  <c r="JH37" i="22"/>
  <c r="JC37" i="22"/>
  <c r="IX37" i="22"/>
  <c r="IQ37" i="22"/>
  <c r="IL37" i="22"/>
  <c r="IG37" i="22"/>
  <c r="IB37" i="22"/>
  <c r="HW37" i="22"/>
  <c r="HR37" i="22"/>
  <c r="HM37" i="22"/>
  <c r="HH37" i="22"/>
  <c r="HC37" i="22"/>
  <c r="GX37" i="22"/>
  <c r="GS37" i="22"/>
  <c r="GN37" i="22"/>
  <c r="GH37" i="22"/>
  <c r="GC37" i="22"/>
  <c r="FX37" i="22"/>
  <c r="FS37" i="22"/>
  <c r="FN37" i="22"/>
  <c r="FI37" i="22"/>
  <c r="FD37" i="22"/>
  <c r="EY37" i="22"/>
  <c r="ET37" i="22"/>
  <c r="EO37" i="22"/>
  <c r="EJ37" i="22"/>
  <c r="EE37" i="22"/>
  <c r="DY37" i="22"/>
  <c r="DT37" i="22"/>
  <c r="DO37" i="22"/>
  <c r="DJ37" i="22"/>
  <c r="CP37" i="22"/>
  <c r="CK37" i="22"/>
  <c r="CF37" i="22"/>
  <c r="CA37" i="22"/>
  <c r="BV37" i="22"/>
  <c r="BP37" i="22"/>
  <c r="BK37" i="22"/>
  <c r="BF37" i="22"/>
  <c r="BA37" i="22"/>
  <c r="AV37" i="22"/>
  <c r="AQ37" i="22"/>
  <c r="AL37" i="22"/>
  <c r="AG37" i="22"/>
  <c r="AB37" i="22"/>
  <c r="W37" i="22"/>
  <c r="R37" i="22"/>
  <c r="M37" i="22"/>
  <c r="H37" i="22"/>
  <c r="KL36" i="22"/>
  <c r="KG36" i="22"/>
  <c r="CP36" i="22"/>
  <c r="CK36" i="22"/>
  <c r="CF36" i="22"/>
  <c r="CA36" i="22"/>
  <c r="BV36" i="22"/>
  <c r="BP36" i="22"/>
  <c r="BK36" i="22"/>
  <c r="KL35" i="22"/>
  <c r="KG35" i="22"/>
  <c r="CP35" i="22"/>
  <c r="CK35" i="22"/>
  <c r="CF35" i="22"/>
  <c r="CA35" i="22"/>
  <c r="BV35" i="22"/>
  <c r="BP35" i="22"/>
  <c r="BK35" i="22"/>
  <c r="BF35" i="22"/>
  <c r="BA35" i="22"/>
  <c r="AV35" i="22"/>
  <c r="AQ35" i="22"/>
  <c r="AL35" i="22"/>
  <c r="AG35" i="22"/>
  <c r="AB35" i="22"/>
  <c r="W35" i="22"/>
  <c r="R35" i="22"/>
  <c r="M35" i="22"/>
  <c r="H35" i="22"/>
  <c r="KQ34" i="22"/>
  <c r="KL34" i="22"/>
  <c r="KG34" i="22"/>
  <c r="CP34" i="22"/>
  <c r="CK34" i="22"/>
  <c r="CF34" i="22"/>
  <c r="CA34" i="22"/>
  <c r="BV34" i="22"/>
  <c r="BP34" i="22"/>
  <c r="BK34" i="22"/>
  <c r="BF34" i="22"/>
  <c r="BA34" i="22"/>
  <c r="AV34" i="22"/>
  <c r="AQ34" i="22"/>
  <c r="AL34" i="22"/>
  <c r="AG34" i="22"/>
  <c r="AB34" i="22"/>
  <c r="W34" i="22"/>
  <c r="R34" i="22"/>
  <c r="M34" i="22"/>
  <c r="H34" i="22"/>
  <c r="KL33" i="22"/>
  <c r="KG33" i="22"/>
  <c r="CP33" i="22"/>
  <c r="CK33" i="22"/>
  <c r="CF33" i="22"/>
  <c r="CA33" i="22"/>
  <c r="BV33" i="22"/>
  <c r="BP33" i="22"/>
  <c r="BK33" i="22"/>
  <c r="BF33" i="22"/>
  <c r="BA33" i="22"/>
  <c r="AV33" i="22"/>
  <c r="AQ33" i="22"/>
  <c r="AL33" i="22"/>
  <c r="AG33" i="22"/>
  <c r="AB33" i="22"/>
  <c r="W33" i="22"/>
  <c r="R33" i="22"/>
  <c r="M33" i="22"/>
  <c r="H33" i="22"/>
  <c r="KQ32" i="22"/>
  <c r="KL32" i="22"/>
  <c r="KG32" i="22"/>
  <c r="KB32" i="22"/>
  <c r="JW32" i="22"/>
  <c r="JR32" i="22"/>
  <c r="JM32" i="22"/>
  <c r="JH32" i="22"/>
  <c r="JC32" i="22"/>
  <c r="IX32" i="22"/>
  <c r="IQ32" i="22"/>
  <c r="IH32" i="22"/>
  <c r="IG32" i="22"/>
  <c r="IB32" i="22"/>
  <c r="HW32" i="22"/>
  <c r="HR32" i="22"/>
  <c r="HM32" i="22"/>
  <c r="HH32" i="22"/>
  <c r="HC32" i="22"/>
  <c r="GX32" i="22"/>
  <c r="GS32" i="22"/>
  <c r="GN32" i="22"/>
  <c r="GH32" i="22"/>
  <c r="GC32" i="22"/>
  <c r="FX32" i="22"/>
  <c r="FP32" i="22"/>
  <c r="FS32" i="22" s="1"/>
  <c r="FN32" i="22"/>
  <c r="FI32" i="22"/>
  <c r="FD32" i="22"/>
  <c r="EY32" i="22"/>
  <c r="ET32" i="22"/>
  <c r="EO32" i="22"/>
  <c r="EJ32" i="22"/>
  <c r="EE32" i="22"/>
  <c r="DY32" i="22"/>
  <c r="DT32" i="22"/>
  <c r="DO32" i="22"/>
  <c r="DJ32" i="22"/>
  <c r="DE32" i="22"/>
  <c r="CZ32" i="22"/>
  <c r="CP32" i="22"/>
  <c r="CK32" i="22"/>
  <c r="CF32" i="22"/>
  <c r="CA32" i="22"/>
  <c r="BS32" i="22"/>
  <c r="BR32" i="22"/>
  <c r="BL32" i="22"/>
  <c r="BP32" i="22" s="1"/>
  <c r="BG32" i="22"/>
  <c r="BK32" i="22" s="1"/>
  <c r="BB32" i="22"/>
  <c r="BF32" i="22" s="1"/>
  <c r="BA32" i="22"/>
  <c r="AV32" i="22"/>
  <c r="AQ32" i="22"/>
  <c r="AL32" i="22"/>
  <c r="AG32" i="22"/>
  <c r="AB32" i="22"/>
  <c r="W32" i="22"/>
  <c r="R32" i="22"/>
  <c r="M32" i="22"/>
  <c r="H32" i="22"/>
  <c r="KQ31" i="22"/>
  <c r="KL31" i="22"/>
  <c r="KG31" i="22"/>
  <c r="KB31" i="22"/>
  <c r="JW31" i="22"/>
  <c r="JR31" i="22"/>
  <c r="JM31" i="22"/>
  <c r="JH31" i="22"/>
  <c r="JC31" i="22"/>
  <c r="IX31" i="22"/>
  <c r="IQ31" i="22"/>
  <c r="IL31" i="22"/>
  <c r="IG31" i="22"/>
  <c r="IB31" i="22"/>
  <c r="HW31" i="22"/>
  <c r="HR31" i="22"/>
  <c r="HM31" i="22"/>
  <c r="HH31" i="22"/>
  <c r="HC31" i="22"/>
  <c r="GX31" i="22"/>
  <c r="GS31" i="22"/>
  <c r="GN31" i="22"/>
  <c r="GH31" i="22"/>
  <c r="GC31" i="22"/>
  <c r="FX31" i="22"/>
  <c r="FS31" i="22"/>
  <c r="FN31" i="22"/>
  <c r="FI31" i="22"/>
  <c r="FD31" i="22"/>
  <c r="EY31" i="22"/>
  <c r="ET31" i="22"/>
  <c r="EO31" i="22"/>
  <c r="EJ31" i="22"/>
  <c r="EE31" i="22"/>
  <c r="DY31" i="22"/>
  <c r="DT31" i="22"/>
  <c r="DO31" i="22"/>
  <c r="DJ31" i="22"/>
  <c r="DE31" i="22"/>
  <c r="CZ31" i="22"/>
  <c r="CP31" i="22"/>
  <c r="CK31" i="22"/>
  <c r="CF31" i="22"/>
  <c r="CA31" i="22"/>
  <c r="BV31" i="22"/>
  <c r="BP31" i="22"/>
  <c r="BK31" i="22"/>
  <c r="BF31" i="22"/>
  <c r="BA31" i="22"/>
  <c r="AV31" i="22"/>
  <c r="AQ31" i="22"/>
  <c r="AL31" i="22"/>
  <c r="AG31" i="22"/>
  <c r="AB31" i="22"/>
  <c r="W31" i="22"/>
  <c r="R31" i="22"/>
  <c r="M31" i="22"/>
  <c r="H31" i="22"/>
  <c r="KL30" i="22"/>
  <c r="KG30" i="22"/>
  <c r="KB30" i="22"/>
  <c r="JW30" i="22"/>
  <c r="JR30" i="22"/>
  <c r="JM30" i="22"/>
  <c r="JH30" i="22"/>
  <c r="JC30" i="22"/>
  <c r="IX30" i="22"/>
  <c r="IQ30" i="22"/>
  <c r="IH30" i="22"/>
  <c r="ID30" i="22"/>
  <c r="ID50" i="22" s="1"/>
  <c r="IB30" i="22"/>
  <c r="HW30" i="22"/>
  <c r="HR30" i="22"/>
  <c r="HM30" i="22"/>
  <c r="HH30" i="22"/>
  <c r="HC30" i="22"/>
  <c r="GX30" i="22"/>
  <c r="GS30" i="22"/>
  <c r="GN30" i="22"/>
  <c r="GH30" i="22"/>
  <c r="GC30" i="22"/>
  <c r="FX30" i="22"/>
  <c r="FS30" i="22"/>
  <c r="FN30" i="22"/>
  <c r="FI30" i="22"/>
  <c r="FD30" i="22"/>
  <c r="EY30" i="22"/>
  <c r="ET30" i="22"/>
  <c r="EO30" i="22"/>
  <c r="EJ30" i="22"/>
  <c r="EE30" i="22"/>
  <c r="DY30" i="22"/>
  <c r="DT30" i="22"/>
  <c r="DO30" i="22"/>
  <c r="DJ30" i="22"/>
  <c r="DE30" i="22"/>
  <c r="CZ30" i="22"/>
  <c r="CP30" i="22"/>
  <c r="CK30" i="22"/>
  <c r="CF30" i="22"/>
  <c r="CA30" i="22"/>
  <c r="BV30" i="22"/>
  <c r="BP30" i="22"/>
  <c r="BK30" i="22"/>
  <c r="BF30" i="22"/>
  <c r="BA30" i="22"/>
  <c r="AV30" i="22"/>
  <c r="AQ30" i="22"/>
  <c r="AL30" i="22"/>
  <c r="AG30" i="22"/>
  <c r="AB30" i="22"/>
  <c r="W30" i="22"/>
  <c r="R30" i="22"/>
  <c r="M30" i="22"/>
  <c r="H30" i="22"/>
  <c r="KL29" i="22"/>
  <c r="KG29" i="22"/>
  <c r="KB29" i="22"/>
  <c r="JW29" i="22"/>
  <c r="JR29" i="22"/>
  <c r="JM29" i="22"/>
  <c r="JH29" i="22"/>
  <c r="JC29" i="22"/>
  <c r="IX29" i="22"/>
  <c r="IQ29" i="22"/>
  <c r="IL29" i="22"/>
  <c r="IC29" i="22"/>
  <c r="IB29" i="22"/>
  <c r="HW29" i="22"/>
  <c r="HR29" i="22"/>
  <c r="HM29" i="22"/>
  <c r="HH29" i="22"/>
  <c r="HC29" i="22"/>
  <c r="GX29" i="22"/>
  <c r="GS29" i="22"/>
  <c r="GN29" i="22"/>
  <c r="GH29" i="22"/>
  <c r="GC29" i="22"/>
  <c r="FX29" i="22"/>
  <c r="FS29" i="22"/>
  <c r="FN29" i="22"/>
  <c r="FI29" i="22"/>
  <c r="FD29" i="22"/>
  <c r="EY29" i="22"/>
  <c r="ET29" i="22"/>
  <c r="EO29" i="22"/>
  <c r="EJ29" i="22"/>
  <c r="EE29" i="22"/>
  <c r="DY29" i="22"/>
  <c r="DT29" i="22"/>
  <c r="DO29" i="22"/>
  <c r="DJ29" i="22"/>
  <c r="DE29" i="22"/>
  <c r="CZ29" i="22"/>
  <c r="CP29" i="22"/>
  <c r="CK29" i="22"/>
  <c r="CF29" i="22"/>
  <c r="CA29" i="22"/>
  <c r="BV29" i="22"/>
  <c r="BP29" i="22"/>
  <c r="BK29" i="22"/>
  <c r="BF29" i="22"/>
  <c r="BA29" i="22"/>
  <c r="AV29" i="22"/>
  <c r="AQ29" i="22"/>
  <c r="AL29" i="22"/>
  <c r="AG29" i="22"/>
  <c r="AB29" i="22"/>
  <c r="W29" i="22"/>
  <c r="R29" i="22"/>
  <c r="M29" i="22"/>
  <c r="H29" i="22"/>
  <c r="KL28" i="22"/>
  <c r="KG28" i="22"/>
  <c r="KB28" i="22"/>
  <c r="JW28" i="22"/>
  <c r="JR28" i="22"/>
  <c r="JM28" i="22"/>
  <c r="JH28" i="22"/>
  <c r="JC28" i="22"/>
  <c r="IX28" i="22"/>
  <c r="IQ28" i="22"/>
  <c r="IL28" i="22"/>
  <c r="IC28" i="22"/>
  <c r="IG28" i="22" s="1"/>
  <c r="IB28" i="22"/>
  <c r="HW28" i="22"/>
  <c r="HR28" i="22"/>
  <c r="HM28" i="22"/>
  <c r="HH28" i="22"/>
  <c r="HC28" i="22"/>
  <c r="GX28" i="22"/>
  <c r="GS28" i="22"/>
  <c r="GN28" i="22"/>
  <c r="GH28" i="22"/>
  <c r="GC28" i="22"/>
  <c r="FX28" i="22"/>
  <c r="FS28" i="22"/>
  <c r="FN28" i="22"/>
  <c r="FI28" i="22"/>
  <c r="FD28" i="22"/>
  <c r="EY28" i="22"/>
  <c r="ET28" i="22"/>
  <c r="EO28" i="22"/>
  <c r="EJ28" i="22"/>
  <c r="EE28" i="22"/>
  <c r="DY28" i="22"/>
  <c r="DT28" i="22"/>
  <c r="DO28" i="22"/>
  <c r="DJ28" i="22"/>
  <c r="DE28" i="22"/>
  <c r="CZ28" i="22"/>
  <c r="CP28" i="22"/>
  <c r="CK28" i="22"/>
  <c r="CF28" i="22"/>
  <c r="CA28" i="22"/>
  <c r="BV28" i="22"/>
  <c r="BP28" i="22"/>
  <c r="BK28" i="22"/>
  <c r="BF28" i="22"/>
  <c r="BA28" i="22"/>
  <c r="AV28" i="22"/>
  <c r="AQ28" i="22"/>
  <c r="AL28" i="22"/>
  <c r="AG28" i="22"/>
  <c r="AB28" i="22"/>
  <c r="W28" i="22"/>
  <c r="R28" i="22"/>
  <c r="M28" i="22"/>
  <c r="H28" i="22"/>
  <c r="KL27" i="22"/>
  <c r="KG27" i="22"/>
  <c r="KB27" i="22"/>
  <c r="JW27" i="22"/>
  <c r="JR27" i="22"/>
  <c r="JM27" i="22"/>
  <c r="JH27" i="22"/>
  <c r="JC27" i="22"/>
  <c r="IX27" i="22"/>
  <c r="IQ27" i="22"/>
  <c r="IH27" i="22"/>
  <c r="IL27" i="22" s="1"/>
  <c r="IG27" i="22"/>
  <c r="IB27" i="22"/>
  <c r="HW27" i="22"/>
  <c r="HR27" i="22"/>
  <c r="HM27" i="22"/>
  <c r="HH27" i="22"/>
  <c r="HC27" i="22"/>
  <c r="GX27" i="22"/>
  <c r="GS27" i="22"/>
  <c r="GN27" i="22"/>
  <c r="GH27" i="22"/>
  <c r="GC27" i="22"/>
  <c r="FX27" i="22"/>
  <c r="FS27" i="22"/>
  <c r="FN27" i="22"/>
  <c r="FI27" i="22"/>
  <c r="FD27" i="22"/>
  <c r="EY27" i="22"/>
  <c r="ET27" i="22"/>
  <c r="EO27" i="22"/>
  <c r="EJ27" i="22"/>
  <c r="EE27" i="22"/>
  <c r="DY27" i="22"/>
  <c r="DT27" i="22"/>
  <c r="DO27" i="22"/>
  <c r="DJ27" i="22"/>
  <c r="DE27" i="22"/>
  <c r="CZ27" i="22"/>
  <c r="CP27" i="22"/>
  <c r="CK27" i="22"/>
  <c r="CF27" i="22"/>
  <c r="CA27" i="22"/>
  <c r="BR27" i="22"/>
  <c r="BV27" i="22" s="1"/>
  <c r="BL27" i="22"/>
  <c r="BP27" i="22" s="1"/>
  <c r="BG27" i="22"/>
  <c r="BK27" i="22" s="1"/>
  <c r="BB27" i="22"/>
  <c r="BF27" i="22" s="1"/>
  <c r="BA27" i="22"/>
  <c r="AV27" i="22"/>
  <c r="AQ27" i="22"/>
  <c r="AH27" i="22"/>
  <c r="AL27" i="22" s="1"/>
  <c r="AG27" i="22"/>
  <c r="AB27" i="22"/>
  <c r="W27" i="22"/>
  <c r="R27" i="22"/>
  <c r="M27" i="22"/>
  <c r="H27" i="22"/>
  <c r="KL26" i="22"/>
  <c r="KG26" i="22"/>
  <c r="KB26" i="22"/>
  <c r="JW26" i="22"/>
  <c r="JR26" i="22"/>
  <c r="JM26" i="22"/>
  <c r="JH26" i="22"/>
  <c r="JC26" i="22"/>
  <c r="IX26" i="22"/>
  <c r="IQ26" i="22"/>
  <c r="IL26" i="22"/>
  <c r="IG26" i="22"/>
  <c r="IB26" i="22"/>
  <c r="HW26" i="22"/>
  <c r="HR26" i="22"/>
  <c r="HM26" i="22"/>
  <c r="HH26" i="22"/>
  <c r="HC26" i="22"/>
  <c r="GX26" i="22"/>
  <c r="GS26" i="22"/>
  <c r="GN26" i="22"/>
  <c r="GH26" i="22"/>
  <c r="GC26" i="22"/>
  <c r="FX26" i="22"/>
  <c r="FS26" i="22"/>
  <c r="FN26" i="22"/>
  <c r="FI26" i="22"/>
  <c r="FD26" i="22"/>
  <c r="EY26" i="22"/>
  <c r="ET26" i="22"/>
  <c r="EO26" i="22"/>
  <c r="EJ26" i="22"/>
  <c r="EE26" i="22"/>
  <c r="DY26" i="22"/>
  <c r="DT26" i="22"/>
  <c r="DO26" i="22"/>
  <c r="DJ26" i="22"/>
  <c r="DE26" i="22"/>
  <c r="CZ26" i="22"/>
  <c r="CP26" i="22"/>
  <c r="CK26" i="22"/>
  <c r="CF26" i="22"/>
  <c r="CA26" i="22"/>
  <c r="BV26" i="22"/>
  <c r="BP26" i="22"/>
  <c r="BK26" i="22"/>
  <c r="BF26" i="22"/>
  <c r="BA26" i="22"/>
  <c r="AV26" i="22"/>
  <c r="AQ26" i="22"/>
  <c r="AL26" i="22"/>
  <c r="AG26" i="22"/>
  <c r="AB26" i="22"/>
  <c r="W26" i="22"/>
  <c r="R26" i="22"/>
  <c r="M26" i="22"/>
  <c r="H26" i="22"/>
  <c r="KL25" i="22"/>
  <c r="KG25" i="22"/>
  <c r="KB25" i="22"/>
  <c r="JW25" i="22"/>
  <c r="JR25" i="22"/>
  <c r="JM25" i="22"/>
  <c r="JH25" i="22"/>
  <c r="JC25" i="22"/>
  <c r="IX25" i="22"/>
  <c r="IQ25" i="22"/>
  <c r="IL25" i="22"/>
  <c r="IC25" i="22"/>
  <c r="IB25" i="22"/>
  <c r="HW25" i="22"/>
  <c r="HR25" i="22"/>
  <c r="HM25" i="22"/>
  <c r="HH25" i="22"/>
  <c r="HC25" i="22"/>
  <c r="GX25" i="22"/>
  <c r="GS25" i="22"/>
  <c r="GN25" i="22"/>
  <c r="GH25" i="22"/>
  <c r="GC25" i="22"/>
  <c r="FX25" i="22"/>
  <c r="FS25" i="22"/>
  <c r="FN25" i="22"/>
  <c r="FI25" i="22"/>
  <c r="FD25" i="22"/>
  <c r="EY25" i="22"/>
  <c r="ET25" i="22"/>
  <c r="EO25" i="22"/>
  <c r="EJ25" i="22"/>
  <c r="EE25" i="22"/>
  <c r="DY25" i="22"/>
  <c r="DT25" i="22"/>
  <c r="DO25" i="22"/>
  <c r="DJ25" i="22"/>
  <c r="DE25" i="22"/>
  <c r="CZ25" i="22"/>
  <c r="CP25" i="22"/>
  <c r="CK25" i="22"/>
  <c r="CF25" i="22"/>
  <c r="CA25" i="22"/>
  <c r="BV25" i="22"/>
  <c r="BP25" i="22"/>
  <c r="BK25" i="22"/>
  <c r="BF25" i="22"/>
  <c r="BA25" i="22"/>
  <c r="AV25" i="22"/>
  <c r="AQ25" i="22"/>
  <c r="AL25" i="22"/>
  <c r="AG25" i="22"/>
  <c r="AB25" i="22"/>
  <c r="W25" i="22"/>
  <c r="R25" i="22"/>
  <c r="M25" i="22"/>
  <c r="H25" i="22"/>
  <c r="KL24" i="22"/>
  <c r="KG24" i="22"/>
  <c r="KB24" i="22"/>
  <c r="JW24" i="22"/>
  <c r="JR24" i="22"/>
  <c r="JM24" i="22"/>
  <c r="JH24" i="22"/>
  <c r="JC24" i="22"/>
  <c r="IX24" i="22"/>
  <c r="IQ24" i="22"/>
  <c r="IL24" i="22"/>
  <c r="IC24" i="22"/>
  <c r="IG24" i="22" s="1"/>
  <c r="IB24" i="22"/>
  <c r="HW24" i="22"/>
  <c r="HR24" i="22"/>
  <c r="HM24" i="22"/>
  <c r="HH24" i="22"/>
  <c r="HC24" i="22"/>
  <c r="GX24" i="22"/>
  <c r="GS24" i="22"/>
  <c r="GN24" i="22"/>
  <c r="GH24" i="22"/>
  <c r="GC24" i="22"/>
  <c r="FX24" i="22"/>
  <c r="FS24" i="22"/>
  <c r="FN24" i="22"/>
  <c r="FI24" i="22"/>
  <c r="FD24" i="22"/>
  <c r="EY24" i="22"/>
  <c r="ET24" i="22"/>
  <c r="EO24" i="22"/>
  <c r="EJ24" i="22"/>
  <c r="EE24" i="22"/>
  <c r="DY24" i="22"/>
  <c r="DT24" i="22"/>
  <c r="DO24" i="22"/>
  <c r="DJ24" i="22"/>
  <c r="DE24" i="22"/>
  <c r="CZ24" i="22"/>
  <c r="CP24" i="22"/>
  <c r="CK24" i="22"/>
  <c r="CF24" i="22"/>
  <c r="CA24" i="22"/>
  <c r="BV24" i="22"/>
  <c r="BP24" i="22"/>
  <c r="BK24" i="22"/>
  <c r="BF24" i="22"/>
  <c r="BA24" i="22"/>
  <c r="AV24" i="22"/>
  <c r="AQ24" i="22"/>
  <c r="AL24" i="22"/>
  <c r="AG24" i="22"/>
  <c r="AB24" i="22"/>
  <c r="W24" i="22"/>
  <c r="R24" i="22"/>
  <c r="M24" i="22"/>
  <c r="H24" i="22"/>
  <c r="KL23" i="22"/>
  <c r="KG23" i="22"/>
  <c r="KB23" i="22"/>
  <c r="JW23" i="22"/>
  <c r="JR23" i="22"/>
  <c r="JM23" i="22"/>
  <c r="JH23" i="22"/>
  <c r="JC23" i="22"/>
  <c r="IX23" i="22"/>
  <c r="IQ23" i="22"/>
  <c r="IH23" i="22"/>
  <c r="IL23" i="22" s="1"/>
  <c r="IG23" i="22"/>
  <c r="IB23" i="22"/>
  <c r="HW23" i="22"/>
  <c r="HR23" i="22"/>
  <c r="HM23" i="22"/>
  <c r="HH23" i="22"/>
  <c r="HC23" i="22"/>
  <c r="GX23" i="22"/>
  <c r="GS23" i="22"/>
  <c r="GN23" i="22"/>
  <c r="GH23" i="22"/>
  <c r="GC23" i="22"/>
  <c r="FX23" i="22"/>
  <c r="FS23" i="22"/>
  <c r="FN23" i="22"/>
  <c r="FI23" i="22"/>
  <c r="FD23" i="22"/>
  <c r="EY23" i="22"/>
  <c r="ET23" i="22"/>
  <c r="EO23" i="22"/>
  <c r="EJ23" i="22"/>
  <c r="EE23" i="22"/>
  <c r="DY23" i="22"/>
  <c r="DT23" i="22"/>
  <c r="DO23" i="22"/>
  <c r="DJ23" i="22"/>
  <c r="DE23" i="22"/>
  <c r="CZ23" i="22"/>
  <c r="CP23" i="22"/>
  <c r="CK23" i="22"/>
  <c r="CF23" i="22"/>
  <c r="CA23" i="22"/>
  <c r="BR23" i="22"/>
  <c r="BV23" i="22" s="1"/>
  <c r="BL23" i="22"/>
  <c r="BP23" i="22" s="1"/>
  <c r="BG23" i="22"/>
  <c r="BK23" i="22" s="1"/>
  <c r="BC23" i="22"/>
  <c r="BF23" i="22" s="1"/>
  <c r="BA23" i="22"/>
  <c r="AV23" i="22"/>
  <c r="AQ23" i="22"/>
  <c r="AH23" i="22"/>
  <c r="AG23" i="22"/>
  <c r="AB23" i="22"/>
  <c r="W23" i="22"/>
  <c r="R23" i="22"/>
  <c r="M23" i="22"/>
  <c r="H23" i="22"/>
  <c r="KL22" i="22"/>
  <c r="KG22" i="22"/>
  <c r="KB22" i="22"/>
  <c r="JW22" i="22"/>
  <c r="JR22" i="22"/>
  <c r="JM22" i="22"/>
  <c r="JH22" i="22"/>
  <c r="JC22" i="22"/>
  <c r="IX22" i="22"/>
  <c r="IQ22" i="22"/>
  <c r="II22" i="22"/>
  <c r="IH22" i="22"/>
  <c r="IG22" i="22"/>
  <c r="IB22" i="22"/>
  <c r="HW22" i="22"/>
  <c r="HR22" i="22"/>
  <c r="HM22" i="22"/>
  <c r="HH22" i="22"/>
  <c r="HC22" i="22"/>
  <c r="GX22" i="22"/>
  <c r="GS22" i="22"/>
  <c r="GN22" i="22"/>
  <c r="GH22" i="22"/>
  <c r="GC22" i="22"/>
  <c r="FX22" i="22"/>
  <c r="FS22" i="22"/>
  <c r="FN22" i="22"/>
  <c r="FI22" i="22"/>
  <c r="FD22" i="22"/>
  <c r="EY22" i="22"/>
  <c r="ET22" i="22"/>
  <c r="EO22" i="22"/>
  <c r="EJ22" i="22"/>
  <c r="EE22" i="22"/>
  <c r="DY22" i="22"/>
  <c r="DT22" i="22"/>
  <c r="DO22" i="22"/>
  <c r="DJ22" i="22"/>
  <c r="DE22" i="22"/>
  <c r="CZ22" i="22"/>
  <c r="CP22" i="22"/>
  <c r="CK22" i="22"/>
  <c r="CF22" i="22"/>
  <c r="CA22" i="22"/>
  <c r="BR22" i="22"/>
  <c r="BV22" i="22" s="1"/>
  <c r="BL22" i="22"/>
  <c r="BP22" i="22" s="1"/>
  <c r="BH22" i="22"/>
  <c r="BK22" i="22" s="1"/>
  <c r="BC22" i="22"/>
  <c r="BB22" i="22"/>
  <c r="BA22" i="22"/>
  <c r="AV22" i="22"/>
  <c r="AQ22" i="22"/>
  <c r="AL22" i="22"/>
  <c r="AG22" i="22"/>
  <c r="AB22" i="22"/>
  <c r="W22" i="22"/>
  <c r="R22" i="22"/>
  <c r="M22" i="22"/>
  <c r="H22" i="22"/>
  <c r="KL21" i="22"/>
  <c r="KG21" i="22"/>
  <c r="KB21" i="22"/>
  <c r="JW21" i="22"/>
  <c r="JR21" i="22"/>
  <c r="JM21" i="22"/>
  <c r="JH21" i="22"/>
  <c r="JC21" i="22"/>
  <c r="IX21" i="22"/>
  <c r="IQ21" i="22"/>
  <c r="IL21" i="22"/>
  <c r="IG21" i="22"/>
  <c r="IB21" i="22"/>
  <c r="HW21" i="22"/>
  <c r="HR21" i="22"/>
  <c r="HM21" i="22"/>
  <c r="HH21" i="22"/>
  <c r="HC21" i="22"/>
  <c r="GX21" i="22"/>
  <c r="GS21" i="22"/>
  <c r="GN21" i="22"/>
  <c r="GH21" i="22"/>
  <c r="GC21" i="22"/>
  <c r="FX21" i="22"/>
  <c r="FS21" i="22"/>
  <c r="FN21" i="22"/>
  <c r="FI21" i="22"/>
  <c r="FD21" i="22"/>
  <c r="EY21" i="22"/>
  <c r="ET21" i="22"/>
  <c r="EO21" i="22"/>
  <c r="EJ21" i="22"/>
  <c r="EE21" i="22"/>
  <c r="DY21" i="22"/>
  <c r="DT21" i="22"/>
  <c r="DO21" i="22"/>
  <c r="DJ21" i="22"/>
  <c r="DE21" i="22"/>
  <c r="CZ21" i="22"/>
  <c r="CP21" i="22"/>
  <c r="CK21" i="22"/>
  <c r="CF21" i="22"/>
  <c r="CA21" i="22"/>
  <c r="BV21" i="22"/>
  <c r="BP21" i="22"/>
  <c r="BK21" i="22"/>
  <c r="BF21" i="22"/>
  <c r="BA21" i="22"/>
  <c r="AV21" i="22"/>
  <c r="AQ21" i="22"/>
  <c r="AL21" i="22"/>
  <c r="AG21" i="22"/>
  <c r="AB21" i="22"/>
  <c r="W21" i="22"/>
  <c r="R21" i="22"/>
  <c r="M21" i="22"/>
  <c r="H21" i="22"/>
  <c r="KL20" i="22"/>
  <c r="KG20" i="22"/>
  <c r="KB20" i="22"/>
  <c r="JW20" i="22"/>
  <c r="JR20" i="22"/>
  <c r="JM20" i="22"/>
  <c r="JH20" i="22"/>
  <c r="JC20" i="22"/>
  <c r="IX20" i="22"/>
  <c r="IQ20" i="22"/>
  <c r="II20" i="22"/>
  <c r="IL20" i="22" s="1"/>
  <c r="IC20" i="22"/>
  <c r="IG20" i="22" s="1"/>
  <c r="IB20" i="22"/>
  <c r="HW20" i="22"/>
  <c r="HR20" i="22"/>
  <c r="HM20" i="22"/>
  <c r="HH20" i="22"/>
  <c r="HC20" i="22"/>
  <c r="GX20" i="22"/>
  <c r="GS20" i="22"/>
  <c r="GN20" i="22"/>
  <c r="GH20" i="22"/>
  <c r="GC20" i="22"/>
  <c r="FX20" i="22"/>
  <c r="FO20" i="22"/>
  <c r="FS20" i="22" s="1"/>
  <c r="FN20" i="22"/>
  <c r="FI20" i="22"/>
  <c r="FD20" i="22"/>
  <c r="EY20" i="22"/>
  <c r="ET20" i="22"/>
  <c r="EO20" i="22"/>
  <c r="EJ20" i="22"/>
  <c r="EE20" i="22"/>
  <c r="DY20" i="22"/>
  <c r="DT20" i="22"/>
  <c r="DO20" i="22"/>
  <c r="DJ20" i="22"/>
  <c r="DE20" i="22"/>
  <c r="CZ20" i="22"/>
  <c r="CP20" i="22"/>
  <c r="CK20" i="22"/>
  <c r="CF20" i="22"/>
  <c r="CA20" i="22"/>
  <c r="BV20" i="22"/>
  <c r="BL20" i="22"/>
  <c r="BP20" i="22" s="1"/>
  <c r="BK20" i="22"/>
  <c r="BB20" i="22"/>
  <c r="BF20" i="22" s="1"/>
  <c r="BA20" i="22"/>
  <c r="AV20" i="22"/>
  <c r="AQ20" i="22"/>
  <c r="AL20" i="22"/>
  <c r="AG20" i="22"/>
  <c r="AB20" i="22"/>
  <c r="W20" i="22"/>
  <c r="R20" i="22"/>
  <c r="M20" i="22"/>
  <c r="H20" i="22"/>
  <c r="KL19" i="22"/>
  <c r="KG19" i="22"/>
  <c r="KB19" i="22"/>
  <c r="JW19" i="22"/>
  <c r="JR19" i="22"/>
  <c r="JM19" i="22"/>
  <c r="JH19" i="22"/>
  <c r="JC19" i="22"/>
  <c r="IX19" i="22"/>
  <c r="IQ19" i="22"/>
  <c r="II19" i="22"/>
  <c r="IH19" i="22"/>
  <c r="IG19" i="22"/>
  <c r="IB19" i="22"/>
  <c r="HW19" i="22"/>
  <c r="HR19" i="22"/>
  <c r="HM19" i="22"/>
  <c r="HH19" i="22"/>
  <c r="HC19" i="22"/>
  <c r="GX19" i="22"/>
  <c r="GS19" i="22"/>
  <c r="GN19" i="22"/>
  <c r="GH19" i="22"/>
  <c r="GC19" i="22"/>
  <c r="FX19" i="22"/>
  <c r="FS19" i="22"/>
  <c r="FN19" i="22"/>
  <c r="FI19" i="22"/>
  <c r="FD19" i="22"/>
  <c r="EY19" i="22"/>
  <c r="ET19" i="22"/>
  <c r="EO19" i="22"/>
  <c r="EJ19" i="22"/>
  <c r="EE19" i="22"/>
  <c r="DY19" i="22"/>
  <c r="DT19" i="22"/>
  <c r="DO19" i="22"/>
  <c r="DJ19" i="22"/>
  <c r="DE19" i="22"/>
  <c r="CZ19" i="22"/>
  <c r="CP19" i="22"/>
  <c r="CK19" i="22"/>
  <c r="CF19" i="22"/>
  <c r="CA19" i="22"/>
  <c r="BR19" i="22"/>
  <c r="BV19" i="22" s="1"/>
  <c r="BL19" i="22"/>
  <c r="BP19" i="22" s="1"/>
  <c r="BG19" i="22"/>
  <c r="BK19" i="22" s="1"/>
  <c r="BB19" i="22"/>
  <c r="BF19" i="22" s="1"/>
  <c r="BA19" i="22"/>
  <c r="AV19" i="22"/>
  <c r="AQ19" i="22"/>
  <c r="AL19" i="22"/>
  <c r="AG19" i="22"/>
  <c r="AB19" i="22"/>
  <c r="W19" i="22"/>
  <c r="R19" i="22"/>
  <c r="M19" i="22"/>
  <c r="H19" i="22"/>
  <c r="KL18" i="22"/>
  <c r="KG18" i="22"/>
  <c r="KB18" i="22"/>
  <c r="JW18" i="22"/>
  <c r="JR18" i="22"/>
  <c r="JM18" i="22"/>
  <c r="JH18" i="22"/>
  <c r="JC18" i="22"/>
  <c r="IX18" i="22"/>
  <c r="IQ18" i="22"/>
  <c r="II18" i="22"/>
  <c r="IH18" i="22"/>
  <c r="IC18" i="22"/>
  <c r="IG18" i="22" s="1"/>
  <c r="IB18" i="22"/>
  <c r="HW18" i="22"/>
  <c r="HR18" i="22"/>
  <c r="HM18" i="22"/>
  <c r="HH18" i="22"/>
  <c r="HC18" i="22"/>
  <c r="GX18" i="22"/>
  <c r="GS18" i="22"/>
  <c r="GN18" i="22"/>
  <c r="GH18" i="22"/>
  <c r="GC18" i="22"/>
  <c r="FX18" i="22"/>
  <c r="FS18" i="22"/>
  <c r="FN18" i="22"/>
  <c r="FI18" i="22"/>
  <c r="FD18" i="22"/>
  <c r="EY18" i="22"/>
  <c r="ET18" i="22"/>
  <c r="EO18" i="22"/>
  <c r="EJ18" i="22"/>
  <c r="EE18" i="22"/>
  <c r="DY18" i="22"/>
  <c r="DT18" i="22"/>
  <c r="DO18" i="22"/>
  <c r="DJ18" i="22"/>
  <c r="DE18" i="22"/>
  <c r="CZ18" i="22"/>
  <c r="CP18" i="22"/>
  <c r="CK18" i="22"/>
  <c r="CF18" i="22"/>
  <c r="CA18" i="22"/>
  <c r="BV18" i="22"/>
  <c r="BL18" i="22"/>
  <c r="BP18" i="22" s="1"/>
  <c r="BG18" i="22"/>
  <c r="BK18" i="22" s="1"/>
  <c r="BC18" i="22"/>
  <c r="BF18" i="22" s="1"/>
  <c r="BA18" i="22"/>
  <c r="AV18" i="22"/>
  <c r="AQ18" i="22"/>
  <c r="AL18" i="22"/>
  <c r="AG18" i="22"/>
  <c r="AB18" i="22"/>
  <c r="W18" i="22"/>
  <c r="R18" i="22"/>
  <c r="M18" i="22"/>
  <c r="H18" i="22"/>
  <c r="KL17" i="22"/>
  <c r="KG17" i="22"/>
  <c r="KB17" i="22"/>
  <c r="JW17" i="22"/>
  <c r="JR17" i="22"/>
  <c r="JM17" i="22"/>
  <c r="JH17" i="22"/>
  <c r="JC17" i="22"/>
  <c r="IX17" i="22"/>
  <c r="IQ17" i="22"/>
  <c r="II17" i="22"/>
  <c r="IC17" i="22"/>
  <c r="IG17" i="22" s="1"/>
  <c r="IB17" i="22"/>
  <c r="HW17" i="22"/>
  <c r="HR17" i="22"/>
  <c r="HM17" i="22"/>
  <c r="HH17" i="22"/>
  <c r="HC17" i="22"/>
  <c r="GX17" i="22"/>
  <c r="GS17" i="22"/>
  <c r="GN17" i="22"/>
  <c r="GH17" i="22"/>
  <c r="GC17" i="22"/>
  <c r="FX17" i="22"/>
  <c r="FS17" i="22"/>
  <c r="FN17" i="22"/>
  <c r="FI17" i="22"/>
  <c r="FD17" i="22"/>
  <c r="EY17" i="22"/>
  <c r="ET17" i="22"/>
  <c r="EO17" i="22"/>
  <c r="EJ17" i="22"/>
  <c r="EE17" i="22"/>
  <c r="DY17" i="22"/>
  <c r="DT17" i="22"/>
  <c r="DO17" i="22"/>
  <c r="DJ17" i="22"/>
  <c r="DE17" i="22"/>
  <c r="CZ17" i="22"/>
  <c r="CP17" i="22"/>
  <c r="CK17" i="22"/>
  <c r="CF17" i="22"/>
  <c r="CA17" i="22"/>
  <c r="BV17" i="22"/>
  <c r="BL17" i="22"/>
  <c r="BP17" i="22" s="1"/>
  <c r="BG17" i="22"/>
  <c r="BK17" i="22" s="1"/>
  <c r="BB17" i="22"/>
  <c r="BF17" i="22" s="1"/>
  <c r="BA17" i="22"/>
  <c r="AV17" i="22"/>
  <c r="AQ17" i="22"/>
  <c r="AL17" i="22"/>
  <c r="AG17" i="22"/>
  <c r="AB17" i="22"/>
  <c r="W17" i="22"/>
  <c r="R17" i="22"/>
  <c r="M17" i="22"/>
  <c r="H17" i="22"/>
  <c r="KL16" i="22"/>
  <c r="KG16" i="22"/>
  <c r="KB16" i="22"/>
  <c r="JW16" i="22"/>
  <c r="JR16" i="22"/>
  <c r="JM16" i="22"/>
  <c r="JH16" i="22"/>
  <c r="JC16" i="22"/>
  <c r="IX16" i="22"/>
  <c r="IQ16" i="22"/>
  <c r="IH16" i="22"/>
  <c r="IC16" i="22"/>
  <c r="IG16" i="22" s="1"/>
  <c r="IB16" i="22"/>
  <c r="HW16" i="22"/>
  <c r="HR16" i="22"/>
  <c r="HM16" i="22"/>
  <c r="HH16" i="22"/>
  <c r="HC16" i="22"/>
  <c r="GX16" i="22"/>
  <c r="GS16" i="22"/>
  <c r="GN16" i="22"/>
  <c r="GH16" i="22"/>
  <c r="GC16" i="22"/>
  <c r="FX16" i="22"/>
  <c r="FS16" i="22"/>
  <c r="FN16" i="22"/>
  <c r="FI16" i="22"/>
  <c r="FD16" i="22"/>
  <c r="EY16" i="22"/>
  <c r="ET16" i="22"/>
  <c r="EO16" i="22"/>
  <c r="EJ16" i="22"/>
  <c r="EE16" i="22"/>
  <c r="DY16" i="22"/>
  <c r="DT16" i="22"/>
  <c r="DO16" i="22"/>
  <c r="DJ16" i="22"/>
  <c r="DE16" i="22"/>
  <c r="CZ16" i="22"/>
  <c r="CP16" i="22"/>
  <c r="CK16" i="22"/>
  <c r="CF16" i="22"/>
  <c r="CA16" i="22"/>
  <c r="BV16" i="22"/>
  <c r="BP16" i="22"/>
  <c r="BG16" i="22"/>
  <c r="BK16" i="22" s="1"/>
  <c r="BB16" i="22"/>
  <c r="BF16" i="22" s="1"/>
  <c r="BA16" i="22"/>
  <c r="AV16" i="22"/>
  <c r="AQ16" i="22"/>
  <c r="AL16" i="22"/>
  <c r="AG16" i="22"/>
  <c r="AB16" i="22"/>
  <c r="W16" i="22"/>
  <c r="R16" i="22"/>
  <c r="M16" i="22"/>
  <c r="H16" i="22"/>
  <c r="KQ15" i="22"/>
  <c r="KL15" i="22"/>
  <c r="KG15" i="22"/>
  <c r="KB15" i="22"/>
  <c r="JW15" i="22"/>
  <c r="JR15" i="22"/>
  <c r="JM15" i="22"/>
  <c r="JH15" i="22"/>
  <c r="JC15" i="22"/>
  <c r="IX15" i="22"/>
  <c r="IQ15" i="22"/>
  <c r="IH15" i="22"/>
  <c r="IL15" i="22" s="1"/>
  <c r="IG15" i="22"/>
  <c r="IB15" i="22"/>
  <c r="HW15" i="22"/>
  <c r="HR15" i="22"/>
  <c r="HM15" i="22"/>
  <c r="HH15" i="22"/>
  <c r="HC15" i="22"/>
  <c r="GX15" i="22"/>
  <c r="GS15" i="22"/>
  <c r="GN15" i="22"/>
  <c r="GH15" i="22"/>
  <c r="GC15" i="22"/>
  <c r="FX15" i="22"/>
  <c r="FS15" i="22"/>
  <c r="FN15" i="22"/>
  <c r="FI15" i="22"/>
  <c r="FD15" i="22"/>
  <c r="EY15" i="22"/>
  <c r="ET15" i="22"/>
  <c r="EO15" i="22"/>
  <c r="EJ15" i="22"/>
  <c r="EE15" i="22"/>
  <c r="DY15" i="22"/>
  <c r="DT15" i="22"/>
  <c r="DO15" i="22"/>
  <c r="DJ15" i="22"/>
  <c r="DE15" i="22"/>
  <c r="CZ15" i="22"/>
  <c r="CP15" i="22"/>
  <c r="CK15" i="22"/>
  <c r="CF15" i="22"/>
  <c r="CA15" i="22"/>
  <c r="BR15" i="22"/>
  <c r="BV15" i="22" s="1"/>
  <c r="BL15" i="22"/>
  <c r="BP15" i="22" s="1"/>
  <c r="BG15" i="22"/>
  <c r="BK15" i="22" s="1"/>
  <c r="BB15" i="22"/>
  <c r="BF15" i="22" s="1"/>
  <c r="BA15" i="22"/>
  <c r="AV15" i="22"/>
  <c r="AQ15" i="22"/>
  <c r="AL15" i="22"/>
  <c r="AG15" i="22"/>
  <c r="AB15" i="22"/>
  <c r="W15" i="22"/>
  <c r="R15" i="22"/>
  <c r="M15" i="22"/>
  <c r="H15" i="22"/>
  <c r="KL14" i="22"/>
  <c r="KG14" i="22"/>
  <c r="KB14" i="22"/>
  <c r="JW14" i="22"/>
  <c r="JR14" i="22"/>
  <c r="JM14" i="22"/>
  <c r="JH14" i="22"/>
  <c r="JC14" i="22"/>
  <c r="IX14" i="22"/>
  <c r="IQ14" i="22"/>
  <c r="IL14" i="22"/>
  <c r="IC14" i="22"/>
  <c r="IG14" i="22" s="1"/>
  <c r="IB14" i="22"/>
  <c r="HW14" i="22"/>
  <c r="HR14" i="22"/>
  <c r="HM14" i="22"/>
  <c r="HH14" i="22"/>
  <c r="HC14" i="22"/>
  <c r="GX14" i="22"/>
  <c r="GS14" i="22"/>
  <c r="GN14" i="22"/>
  <c r="GH14" i="22"/>
  <c r="GC14" i="22"/>
  <c r="FX14" i="22"/>
  <c r="FP14" i="22"/>
  <c r="FO14" i="22"/>
  <c r="FN14" i="22"/>
  <c r="FI14" i="22"/>
  <c r="FD14" i="22"/>
  <c r="EY14" i="22"/>
  <c r="ET14" i="22"/>
  <c r="EO14" i="22"/>
  <c r="EJ14" i="22"/>
  <c r="EE14" i="22"/>
  <c r="DY14" i="22"/>
  <c r="DT14" i="22"/>
  <c r="DO14" i="22"/>
  <c r="DJ14" i="22"/>
  <c r="DE14" i="22"/>
  <c r="CZ14" i="22"/>
  <c r="CP14" i="22"/>
  <c r="CK14" i="22"/>
  <c r="CF14" i="22"/>
  <c r="CA14" i="22"/>
  <c r="BR14" i="22"/>
  <c r="BV14" i="22" s="1"/>
  <c r="BL14" i="22"/>
  <c r="BP14" i="22" s="1"/>
  <c r="BK14" i="22"/>
  <c r="BB14" i="22"/>
  <c r="BF14" i="22" s="1"/>
  <c r="BA14" i="22"/>
  <c r="AV14" i="22"/>
  <c r="AQ14" i="22"/>
  <c r="AL14" i="22"/>
  <c r="AG14" i="22"/>
  <c r="AB14" i="22"/>
  <c r="W14" i="22"/>
  <c r="R14" i="22"/>
  <c r="M14" i="22"/>
  <c r="H14" i="22"/>
  <c r="KL13" i="22"/>
  <c r="KG13" i="22"/>
  <c r="KB13" i="22"/>
  <c r="JW13" i="22"/>
  <c r="JR13" i="22"/>
  <c r="JM13" i="22"/>
  <c r="JH13" i="22"/>
  <c r="JC13" i="22"/>
  <c r="IX13" i="22"/>
  <c r="IQ13" i="22"/>
  <c r="IL13" i="22"/>
  <c r="IC13" i="22"/>
  <c r="IG13" i="22" s="1"/>
  <c r="IB13" i="22"/>
  <c r="HW13" i="22"/>
  <c r="HR13" i="22"/>
  <c r="HM13" i="22"/>
  <c r="HH13" i="22"/>
  <c r="HC13" i="22"/>
  <c r="GX13" i="22"/>
  <c r="GS13" i="22"/>
  <c r="GN13" i="22"/>
  <c r="GH13" i="22"/>
  <c r="GC13" i="22"/>
  <c r="FX13" i="22"/>
  <c r="FP13" i="22"/>
  <c r="FS13" i="22" s="1"/>
  <c r="FN13" i="22"/>
  <c r="FI13" i="22"/>
  <c r="FD13" i="22"/>
  <c r="EY13" i="22"/>
  <c r="ET13" i="22"/>
  <c r="EO13" i="22"/>
  <c r="EJ13" i="22"/>
  <c r="EE13" i="22"/>
  <c r="DY13" i="22"/>
  <c r="DT13" i="22"/>
  <c r="DO13" i="22"/>
  <c r="DJ13" i="22"/>
  <c r="DE13" i="22"/>
  <c r="CZ13" i="22"/>
  <c r="CP13" i="22"/>
  <c r="CK13" i="22"/>
  <c r="CF13" i="22"/>
  <c r="CA13" i="22"/>
  <c r="BR13" i="22"/>
  <c r="BV13" i="22" s="1"/>
  <c r="BL13" i="22"/>
  <c r="BP13" i="22" s="1"/>
  <c r="BG13" i="22"/>
  <c r="BK13" i="22" s="1"/>
  <c r="BB13" i="22"/>
  <c r="BF13" i="22" s="1"/>
  <c r="BA13" i="22"/>
  <c r="AV13" i="22"/>
  <c r="AQ13" i="22"/>
  <c r="AL13" i="22"/>
  <c r="AG13" i="22"/>
  <c r="AB13" i="22"/>
  <c r="W13" i="22"/>
  <c r="R13" i="22"/>
  <c r="M13" i="22"/>
  <c r="H13" i="22"/>
  <c r="KL12" i="22"/>
  <c r="KG12" i="22"/>
  <c r="KB12" i="22"/>
  <c r="JW12" i="22"/>
  <c r="JR12" i="22"/>
  <c r="JM12" i="22"/>
  <c r="JH12" i="22"/>
  <c r="JC12" i="22"/>
  <c r="IX12" i="22"/>
  <c r="IQ12" i="22"/>
  <c r="II12" i="22"/>
  <c r="IH12" i="22"/>
  <c r="IG12" i="22"/>
  <c r="IB12" i="22"/>
  <c r="HW12" i="22"/>
  <c r="HR12" i="22"/>
  <c r="HM12" i="22"/>
  <c r="HH12" i="22"/>
  <c r="HC12" i="22"/>
  <c r="GX12" i="22"/>
  <c r="GS12" i="22"/>
  <c r="GN12" i="22"/>
  <c r="GH12" i="22"/>
  <c r="GC12" i="22"/>
  <c r="FX12" i="22"/>
  <c r="FP12" i="22"/>
  <c r="FS12" i="22" s="1"/>
  <c r="FN12" i="22"/>
  <c r="FI12" i="22"/>
  <c r="FD12" i="22"/>
  <c r="EY12" i="22"/>
  <c r="ET12" i="22"/>
  <c r="EO12" i="22"/>
  <c r="EJ12" i="22"/>
  <c r="EE12" i="22"/>
  <c r="DY12" i="22"/>
  <c r="DT12" i="22"/>
  <c r="DO12" i="22"/>
  <c r="DJ12" i="22"/>
  <c r="DE12" i="22"/>
  <c r="CZ12" i="22"/>
  <c r="CP12" i="22"/>
  <c r="CK12" i="22"/>
  <c r="CF12" i="22"/>
  <c r="CA12" i="22"/>
  <c r="BS12" i="22"/>
  <c r="BR12" i="22"/>
  <c r="BM12" i="22"/>
  <c r="BL12" i="22"/>
  <c r="BG12" i="22"/>
  <c r="BK12" i="22" s="1"/>
  <c r="BB12" i="22"/>
  <c r="BF12" i="22" s="1"/>
  <c r="BA12" i="22"/>
  <c r="AV12" i="22"/>
  <c r="AQ12" i="22"/>
  <c r="AL12" i="22"/>
  <c r="AG12" i="22"/>
  <c r="AB12" i="22"/>
  <c r="W12" i="22"/>
  <c r="R12" i="22"/>
  <c r="M12" i="22"/>
  <c r="H12" i="22"/>
  <c r="KL11" i="22"/>
  <c r="KG11" i="22"/>
  <c r="KB11" i="22"/>
  <c r="JW11" i="22"/>
  <c r="JR11" i="22"/>
  <c r="JM11" i="22"/>
  <c r="JH11" i="22"/>
  <c r="JC11" i="22"/>
  <c r="IX11" i="22"/>
  <c r="IQ11" i="22"/>
  <c r="IL11" i="22"/>
  <c r="IC11" i="22"/>
  <c r="IB11" i="22"/>
  <c r="HW11" i="22"/>
  <c r="HR11" i="22"/>
  <c r="HM11" i="22"/>
  <c r="HH11" i="22"/>
  <c r="HC11" i="22"/>
  <c r="GX11" i="22"/>
  <c r="GS11" i="22"/>
  <c r="GN11" i="22"/>
  <c r="GH11" i="22"/>
  <c r="GC11" i="22"/>
  <c r="FX11" i="22"/>
  <c r="FP11" i="22"/>
  <c r="FN11" i="22"/>
  <c r="FI11" i="22"/>
  <c r="FD11" i="22"/>
  <c r="EY11" i="22"/>
  <c r="ET11" i="22"/>
  <c r="EO11" i="22"/>
  <c r="EJ11" i="22"/>
  <c r="EE11" i="22"/>
  <c r="DY11" i="22"/>
  <c r="DT11" i="22"/>
  <c r="DO11" i="22"/>
  <c r="DJ11" i="22"/>
  <c r="DE11" i="22"/>
  <c r="CZ11" i="22"/>
  <c r="CP11" i="22"/>
  <c r="CK11" i="22"/>
  <c r="CF11" i="22"/>
  <c r="CA11" i="22"/>
  <c r="BR11" i="22"/>
  <c r="BM11" i="22"/>
  <c r="BL11" i="22"/>
  <c r="BG11" i="22"/>
  <c r="BK11" i="22" s="1"/>
  <c r="BC11" i="22"/>
  <c r="BB11" i="22"/>
  <c r="BA11" i="22"/>
  <c r="AV11" i="22"/>
  <c r="AQ11" i="22"/>
  <c r="AL11" i="22"/>
  <c r="AG11" i="22"/>
  <c r="AB11" i="22"/>
  <c r="W11" i="22"/>
  <c r="R11" i="22"/>
  <c r="M11" i="22"/>
  <c r="H11" i="22"/>
  <c r="KL10" i="22"/>
  <c r="KG10" i="22"/>
  <c r="KB10" i="22"/>
  <c r="JW10" i="22"/>
  <c r="JR10" i="22"/>
  <c r="JM10" i="22"/>
  <c r="JH10" i="22"/>
  <c r="JC10" i="22"/>
  <c r="IX10" i="22"/>
  <c r="IQ10" i="22"/>
  <c r="IH10" i="22"/>
  <c r="IC10" i="22"/>
  <c r="IG10" i="22" s="1"/>
  <c r="IB10" i="22"/>
  <c r="HW10" i="22"/>
  <c r="HR10" i="22"/>
  <c r="HM10" i="22"/>
  <c r="HH10" i="22"/>
  <c r="HC10" i="22"/>
  <c r="GX10" i="22"/>
  <c r="GS10" i="22"/>
  <c r="GN10" i="22"/>
  <c r="GH10" i="22"/>
  <c r="GC10" i="22"/>
  <c r="FX10" i="22"/>
  <c r="FS10" i="22"/>
  <c r="FN10" i="22"/>
  <c r="FI10" i="22"/>
  <c r="FD10" i="22"/>
  <c r="EY10" i="22"/>
  <c r="ET10" i="22"/>
  <c r="EO10" i="22"/>
  <c r="EJ10" i="22"/>
  <c r="EE10" i="22"/>
  <c r="DY10" i="22"/>
  <c r="DT10" i="22"/>
  <c r="DO10" i="22"/>
  <c r="DJ10" i="22"/>
  <c r="DE10" i="22"/>
  <c r="CZ10" i="22"/>
  <c r="CP10" i="22"/>
  <c r="CK10" i="22"/>
  <c r="CF10" i="22"/>
  <c r="CA10" i="22"/>
  <c r="BV10" i="22"/>
  <c r="BP10" i="22"/>
  <c r="BK10" i="22"/>
  <c r="BB10" i="22"/>
  <c r="BF10" i="22" s="1"/>
  <c r="BA10" i="22"/>
  <c r="AV10" i="22"/>
  <c r="AQ10" i="22"/>
  <c r="AL10" i="22"/>
  <c r="AG10" i="22"/>
  <c r="AB10" i="22"/>
  <c r="W10" i="22"/>
  <c r="R10" i="22"/>
  <c r="M10" i="22"/>
  <c r="H10" i="22"/>
  <c r="KL9" i="22"/>
  <c r="KG9" i="22"/>
  <c r="KB9" i="22"/>
  <c r="JW9" i="22"/>
  <c r="JR9" i="22"/>
  <c r="JM9" i="22"/>
  <c r="JH9" i="22"/>
  <c r="JC9" i="22"/>
  <c r="IX9" i="22"/>
  <c r="IQ9" i="22"/>
  <c r="IJ9" i="22"/>
  <c r="IJ50" i="22" s="1"/>
  <c r="IG9" i="22"/>
  <c r="IB9" i="22"/>
  <c r="HW9" i="22"/>
  <c r="HR9" i="22"/>
  <c r="HM9" i="22"/>
  <c r="HH9" i="22"/>
  <c r="HC9" i="22"/>
  <c r="GX9" i="22"/>
  <c r="GS9" i="22"/>
  <c r="GN9" i="22"/>
  <c r="GH9" i="22"/>
  <c r="GC9" i="22"/>
  <c r="FX9" i="22"/>
  <c r="FS9" i="22"/>
  <c r="FN9" i="22"/>
  <c r="FI9" i="22"/>
  <c r="FD9" i="22"/>
  <c r="EY9" i="22"/>
  <c r="ET9" i="22"/>
  <c r="EO9" i="22"/>
  <c r="EJ9" i="22"/>
  <c r="EE9" i="22"/>
  <c r="DY9" i="22"/>
  <c r="DT9" i="22"/>
  <c r="DO9" i="22"/>
  <c r="DJ9" i="22"/>
  <c r="DE9" i="22"/>
  <c r="CZ9" i="22"/>
  <c r="CP9" i="22"/>
  <c r="CK9" i="22"/>
  <c r="CF9" i="22"/>
  <c r="CA9" i="22"/>
  <c r="BS9" i="22"/>
  <c r="BL9" i="22"/>
  <c r="BH9" i="22"/>
  <c r="BH50" i="22" s="1"/>
  <c r="BG9" i="22"/>
  <c r="BC9" i="22"/>
  <c r="BB9" i="22"/>
  <c r="BA9" i="22"/>
  <c r="AV9" i="22"/>
  <c r="AQ9" i="22"/>
  <c r="AL9" i="22"/>
  <c r="AG9" i="22"/>
  <c r="AB9" i="22"/>
  <c r="W9" i="22"/>
  <c r="R9" i="22"/>
  <c r="M9" i="22"/>
  <c r="H9" i="22"/>
  <c r="BD75" i="18"/>
  <c r="BC75" i="18"/>
  <c r="AX75" i="18"/>
  <c r="AW75" i="18"/>
  <c r="AR75" i="18"/>
  <c r="AL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6" i="18" s="1"/>
  <c r="BF73" i="18"/>
  <c r="BE73" i="18"/>
  <c r="AJ73" i="18"/>
  <c r="BF71" i="18"/>
  <c r="BE71" i="18"/>
  <c r="AJ71" i="18"/>
  <c r="AB38" i="24" s="1"/>
  <c r="BF69" i="18"/>
  <c r="BE69" i="18"/>
  <c r="AV69" i="18"/>
  <c r="AP69" i="18"/>
  <c r="AJ69" i="18"/>
  <c r="AB37" i="24" s="1"/>
  <c r="BF67" i="18"/>
  <c r="BE67" i="18"/>
  <c r="V36" i="24"/>
  <c r="T36" i="24" s="1"/>
  <c r="AP67" i="18"/>
  <c r="AJ67" i="18"/>
  <c r="AB36" i="24" s="1"/>
  <c r="BF65" i="18"/>
  <c r="BE65" i="18"/>
  <c r="AV65" i="18"/>
  <c r="AP65" i="18"/>
  <c r="AJ65" i="18"/>
  <c r="I7" i="7" s="1"/>
  <c r="BF63" i="18"/>
  <c r="BE63" i="18"/>
  <c r="AV63" i="18"/>
  <c r="R34" i="24"/>
  <c r="AJ63" i="18"/>
  <c r="I14" i="9" s="1"/>
  <c r="BF61" i="18"/>
  <c r="AV61" i="18"/>
  <c r="AJ61" i="18"/>
  <c r="I13" i="9" s="1"/>
  <c r="BF59" i="18"/>
  <c r="BE59" i="18"/>
  <c r="AV59" i="18"/>
  <c r="R32" i="24"/>
  <c r="AJ59" i="18"/>
  <c r="I12" i="9" s="1"/>
  <c r="BF57" i="18"/>
  <c r="AV57" i="18"/>
  <c r="R31" i="24"/>
  <c r="AJ57" i="18"/>
  <c r="I11" i="9" s="1"/>
  <c r="BF55" i="18"/>
  <c r="AV55" i="18"/>
  <c r="R30" i="24"/>
  <c r="AJ55" i="18"/>
  <c r="AB30" i="24" s="1"/>
  <c r="BF53" i="18"/>
  <c r="BE53" i="18"/>
  <c r="V29" i="24"/>
  <c r="T29" i="24" s="1"/>
  <c r="AP53" i="18"/>
  <c r="AJ53" i="18"/>
  <c r="AB29" i="24" s="1"/>
  <c r="BF51" i="18"/>
  <c r="BE51" i="18"/>
  <c r="AV51" i="18"/>
  <c r="R28" i="24"/>
  <c r="AJ51" i="18"/>
  <c r="I8" i="9" s="1"/>
  <c r="BF49" i="18"/>
  <c r="BE49" i="18"/>
  <c r="V27" i="24"/>
  <c r="T27" i="24" s="1"/>
  <c r="AP49" i="18"/>
  <c r="AJ49" i="18"/>
  <c r="AB27" i="24" s="1"/>
  <c r="BF47" i="18"/>
  <c r="BE47" i="18"/>
  <c r="V26" i="24"/>
  <c r="T26" i="24" s="1"/>
  <c r="AP47" i="18"/>
  <c r="AJ47" i="18"/>
  <c r="I12" i="15" s="1"/>
  <c r="BF45" i="18"/>
  <c r="V25" i="24"/>
  <c r="T25" i="24" s="1"/>
  <c r="AJ45" i="18"/>
  <c r="AB25" i="24" s="1"/>
  <c r="BF43" i="18"/>
  <c r="BE43" i="18"/>
  <c r="V24" i="24"/>
  <c r="T24" i="24" s="1"/>
  <c r="R24" i="24"/>
  <c r="AJ43" i="18"/>
  <c r="AB24" i="24" s="1"/>
  <c r="BF41" i="18"/>
  <c r="BE41" i="18"/>
  <c r="V23" i="24"/>
  <c r="T23" i="24" s="1"/>
  <c r="R23" i="24"/>
  <c r="AJ41" i="18"/>
  <c r="I9" i="15" s="1"/>
  <c r="BF39" i="18"/>
  <c r="AV39" i="18"/>
  <c r="AP39" i="18"/>
  <c r="AJ39" i="18"/>
  <c r="I8" i="15" s="1"/>
  <c r="BF37" i="18"/>
  <c r="BE37" i="18"/>
  <c r="V21" i="24"/>
  <c r="T21" i="24" s="1"/>
  <c r="AP37" i="18"/>
  <c r="AJ37" i="18"/>
  <c r="AB21" i="24" s="1"/>
  <c r="BF35" i="18"/>
  <c r="BE35" i="18"/>
  <c r="V20" i="24"/>
  <c r="T20" i="24" s="1"/>
  <c r="R20" i="24"/>
  <c r="AJ35" i="18"/>
  <c r="I13" i="6" s="1"/>
  <c r="BF33" i="18"/>
  <c r="BE33" i="18"/>
  <c r="V19" i="24"/>
  <c r="T19" i="24" s="1"/>
  <c r="AP33" i="18"/>
  <c r="AJ33" i="18"/>
  <c r="I12" i="6" s="1"/>
  <c r="BF31" i="18"/>
  <c r="BE31" i="18"/>
  <c r="AV31" i="18"/>
  <c r="AP31" i="18"/>
  <c r="AJ31" i="18"/>
  <c r="AB18" i="24" s="1"/>
  <c r="BF29" i="18"/>
  <c r="AV29" i="18"/>
  <c r="AP29" i="18"/>
  <c r="AJ29" i="18"/>
  <c r="I10" i="6" s="1"/>
  <c r="BF27" i="18"/>
  <c r="BE27" i="18"/>
  <c r="V16" i="24"/>
  <c r="T16" i="24" s="1"/>
  <c r="R16" i="24"/>
  <c r="AJ27" i="18"/>
  <c r="I9" i="6" s="1"/>
  <c r="BF25" i="18"/>
  <c r="BE25" i="18"/>
  <c r="AV25" i="18"/>
  <c r="R15" i="24"/>
  <c r="AJ25" i="18"/>
  <c r="I8" i="6" s="1"/>
  <c r="BF23" i="18"/>
  <c r="AV23" i="18"/>
  <c r="AJ23" i="18"/>
  <c r="AB14" i="24" s="1"/>
  <c r="BF21" i="18"/>
  <c r="BE21" i="18"/>
  <c r="AV21" i="18"/>
  <c r="AP21" i="18"/>
  <c r="AJ21" i="18"/>
  <c r="I12" i="8" s="1"/>
  <c r="BF19" i="18"/>
  <c r="BE19" i="18"/>
  <c r="AV19" i="18"/>
  <c r="AP19" i="18"/>
  <c r="AJ19" i="18"/>
  <c r="I11" i="8" s="1"/>
  <c r="BF17" i="18"/>
  <c r="BE17" i="18"/>
  <c r="V11" i="24"/>
  <c r="T11" i="24" s="1"/>
  <c r="AP17" i="18"/>
  <c r="AJ17" i="18"/>
  <c r="I10" i="8" s="1"/>
  <c r="BF15" i="18"/>
  <c r="BE15" i="18"/>
  <c r="AV15" i="18"/>
  <c r="AP15" i="18"/>
  <c r="AJ15" i="18"/>
  <c r="AB10" i="24" s="1"/>
  <c r="BF13" i="18"/>
  <c r="BE13" i="18"/>
  <c r="AV13" i="18"/>
  <c r="AP13" i="18"/>
  <c r="AJ13" i="18"/>
  <c r="AB9" i="24" s="1"/>
  <c r="BF11" i="18"/>
  <c r="BE11" i="18"/>
  <c r="V8" i="24"/>
  <c r="T8" i="24" s="1"/>
  <c r="R8" i="24"/>
  <c r="AJ11" i="18"/>
  <c r="I7" i="8" s="1"/>
  <c r="BF9" i="18"/>
  <c r="BE9" i="18"/>
  <c r="AV9" i="18"/>
  <c r="R7" i="24"/>
  <c r="AJ9" i="18"/>
  <c r="AB7" i="24" s="1"/>
  <c r="BF7" i="18"/>
  <c r="AV7" i="18"/>
  <c r="R6" i="24"/>
  <c r="AJ7" i="18"/>
  <c r="I8" i="1" s="1"/>
  <c r="BF5" i="18"/>
  <c r="BE5" i="18"/>
  <c r="V5" i="24"/>
  <c r="T5" i="24" s="1"/>
  <c r="R5" i="24"/>
  <c r="AJ5" i="18"/>
  <c r="AB5" i="24" s="1"/>
  <c r="B15" i="9"/>
  <c r="J22" i="9" s="1"/>
  <c r="A1" i="9"/>
  <c r="B13" i="15"/>
  <c r="J20" i="15" s="1"/>
  <c r="M8" i="16" s="1"/>
  <c r="C13" i="15"/>
  <c r="A1" i="15"/>
  <c r="B13" i="8"/>
  <c r="J20" i="8" s="1"/>
  <c r="M7" i="16" s="1"/>
  <c r="F9" i="8"/>
  <c r="H26" i="23"/>
  <c r="A1" i="8"/>
  <c r="B10" i="7"/>
  <c r="B6" i="16" s="1"/>
  <c r="I9" i="7"/>
  <c r="A1" i="7"/>
  <c r="B14" i="6"/>
  <c r="J21" i="6" s="1"/>
  <c r="M5" i="16" s="1"/>
  <c r="I11" i="6"/>
  <c r="A1" i="6"/>
  <c r="B10" i="1"/>
  <c r="J17" i="1" s="1"/>
  <c r="M4" i="16" s="1"/>
  <c r="C10" i="1"/>
  <c r="H6" i="23" s="1"/>
  <c r="J6" i="23" s="1"/>
  <c r="A1" i="1"/>
  <c r="J9" i="16"/>
  <c r="I9" i="16"/>
  <c r="J8" i="16"/>
  <c r="I8" i="16"/>
  <c r="B8" i="16"/>
  <c r="J7" i="16"/>
  <c r="I7" i="16"/>
  <c r="J6" i="16"/>
  <c r="I6" i="16"/>
  <c r="J5" i="16"/>
  <c r="I5" i="16"/>
  <c r="B5" i="16"/>
  <c r="J4" i="16"/>
  <c r="I4" i="16"/>
  <c r="A1" i="16"/>
  <c r="A1" i="11"/>
  <c r="H49" i="23"/>
  <c r="C49" i="23"/>
  <c r="H48" i="23"/>
  <c r="C48" i="23"/>
  <c r="H47" i="23"/>
  <c r="C47" i="23"/>
  <c r="H46" i="23"/>
  <c r="C46" i="23"/>
  <c r="H45" i="23"/>
  <c r="C45" i="23"/>
  <c r="H44" i="23"/>
  <c r="C44" i="23"/>
  <c r="H43" i="23"/>
  <c r="C43" i="23"/>
  <c r="H42" i="23"/>
  <c r="C42" i="23"/>
  <c r="C41" i="23"/>
  <c r="N41" i="23" s="1"/>
  <c r="H39" i="23"/>
  <c r="C39" i="23"/>
  <c r="H38" i="23"/>
  <c r="C38" i="23"/>
  <c r="H37" i="23"/>
  <c r="C37" i="23"/>
  <c r="H36" i="23"/>
  <c r="C36" i="23"/>
  <c r="H35" i="23"/>
  <c r="C35" i="23"/>
  <c r="H34" i="23"/>
  <c r="C34" i="23"/>
  <c r="H31" i="23"/>
  <c r="C31" i="23"/>
  <c r="H30" i="23"/>
  <c r="C30" i="23"/>
  <c r="H29" i="23"/>
  <c r="C29" i="23"/>
  <c r="H28" i="23"/>
  <c r="C28" i="23"/>
  <c r="H27" i="23"/>
  <c r="C27" i="23"/>
  <c r="C26" i="23"/>
  <c r="H23" i="23"/>
  <c r="C23" i="23"/>
  <c r="H22" i="23"/>
  <c r="C22" i="23"/>
  <c r="H21" i="23"/>
  <c r="C21" i="23"/>
  <c r="C20" i="23"/>
  <c r="N20" i="23" s="1"/>
  <c r="H18" i="23"/>
  <c r="C18" i="23"/>
  <c r="H17" i="23"/>
  <c r="C17" i="23"/>
  <c r="H16" i="23"/>
  <c r="C16" i="23"/>
  <c r="H15" i="23"/>
  <c r="C15" i="23"/>
  <c r="H14" i="23"/>
  <c r="C14" i="23"/>
  <c r="H13" i="23"/>
  <c r="C13" i="23"/>
  <c r="H12" i="23"/>
  <c r="C12" i="23"/>
  <c r="C11" i="23"/>
  <c r="N11" i="23" s="1"/>
  <c r="H9" i="23"/>
  <c r="C9" i="23"/>
  <c r="H8" i="23"/>
  <c r="C8" i="23"/>
  <c r="H7" i="23"/>
  <c r="C7" i="23"/>
  <c r="C6" i="23"/>
  <c r="N6" i="23" s="1"/>
  <c r="H125" i="24"/>
  <c r="Z138" i="24"/>
  <c r="Y138" i="24"/>
  <c r="Z137" i="24"/>
  <c r="Y137" i="24"/>
  <c r="Z136" i="24"/>
  <c r="Y136" i="24"/>
  <c r="Z135" i="24"/>
  <c r="Y135" i="24"/>
  <c r="Z134" i="24"/>
  <c r="Y134" i="24"/>
  <c r="Z133" i="24"/>
  <c r="Y133" i="24"/>
  <c r="AB39" i="24"/>
  <c r="V39" i="24"/>
  <c r="T39" i="24" s="1"/>
  <c r="U39" i="24"/>
  <c r="R39" i="24"/>
  <c r="Q39" i="24"/>
  <c r="O39" i="24"/>
  <c r="N39" i="24"/>
  <c r="M39" i="24"/>
  <c r="K39" i="24" s="1"/>
  <c r="L39" i="24"/>
  <c r="J39" i="24"/>
  <c r="I39" i="24"/>
  <c r="G39" i="24" s="1"/>
  <c r="H39" i="24"/>
  <c r="F39" i="24"/>
  <c r="E39" i="24"/>
  <c r="D39" i="24"/>
  <c r="V38" i="24"/>
  <c r="T38" i="24" s="1"/>
  <c r="U38" i="24"/>
  <c r="R38" i="24"/>
  <c r="Q38" i="24"/>
  <c r="O38" i="24"/>
  <c r="N38" i="24"/>
  <c r="M38" i="24"/>
  <c r="K38" i="24" s="1"/>
  <c r="L38" i="24"/>
  <c r="J38" i="24"/>
  <c r="I38" i="24"/>
  <c r="G38" i="24" s="1"/>
  <c r="H38" i="24"/>
  <c r="F38" i="24"/>
  <c r="E38" i="24"/>
  <c r="D38" i="24"/>
  <c r="V37" i="24"/>
  <c r="T37" i="24" s="1"/>
  <c r="U37" i="24"/>
  <c r="R37" i="24"/>
  <c r="Q37" i="24"/>
  <c r="O37" i="24"/>
  <c r="N37" i="24"/>
  <c r="L37" i="24"/>
  <c r="J37" i="24"/>
  <c r="I37" i="24"/>
  <c r="G37" i="24" s="1"/>
  <c r="H37" i="24"/>
  <c r="F37" i="24"/>
  <c r="E37" i="24"/>
  <c r="D37" i="24"/>
  <c r="U36" i="24"/>
  <c r="Q36" i="24"/>
  <c r="O36" i="24"/>
  <c r="N36" i="24"/>
  <c r="L36" i="24"/>
  <c r="H36" i="24"/>
  <c r="F36" i="24"/>
  <c r="E36" i="24"/>
  <c r="D36" i="24"/>
  <c r="U35" i="24"/>
  <c r="Q35" i="24"/>
  <c r="O35" i="24"/>
  <c r="N35" i="24"/>
  <c r="L35" i="24"/>
  <c r="J35" i="24"/>
  <c r="I35" i="24"/>
  <c r="G35" i="24" s="1"/>
  <c r="H35" i="24"/>
  <c r="F35" i="24"/>
  <c r="E35" i="24"/>
  <c r="D35" i="24"/>
  <c r="V34" i="24"/>
  <c r="T34" i="24" s="1"/>
  <c r="U34" i="24"/>
  <c r="Q34" i="24"/>
  <c r="O34" i="24"/>
  <c r="N34" i="24"/>
  <c r="L34" i="24"/>
  <c r="H34" i="24"/>
  <c r="F34" i="24"/>
  <c r="E34" i="24"/>
  <c r="D34" i="24"/>
  <c r="U33" i="24"/>
  <c r="Q33" i="24"/>
  <c r="O33" i="24"/>
  <c r="N33" i="24"/>
  <c r="L33" i="24"/>
  <c r="J33" i="24"/>
  <c r="I33" i="24"/>
  <c r="G33" i="24" s="1"/>
  <c r="H33" i="24"/>
  <c r="F33" i="24"/>
  <c r="E33" i="24"/>
  <c r="D33" i="24"/>
  <c r="V32" i="24"/>
  <c r="T32" i="24" s="1"/>
  <c r="U32" i="24"/>
  <c r="Q32" i="24"/>
  <c r="O32" i="24"/>
  <c r="N32" i="24"/>
  <c r="L32" i="24"/>
  <c r="J32" i="24"/>
  <c r="I32" i="24"/>
  <c r="G32" i="24" s="1"/>
  <c r="H32" i="24"/>
  <c r="F32" i="24"/>
  <c r="E32" i="24"/>
  <c r="D32" i="24"/>
  <c r="V31" i="24"/>
  <c r="T31" i="24" s="1"/>
  <c r="U31" i="24"/>
  <c r="O31" i="24"/>
  <c r="N31" i="24"/>
  <c r="L31" i="24"/>
  <c r="J31" i="24"/>
  <c r="I31" i="24"/>
  <c r="G31" i="24" s="1"/>
  <c r="H31" i="24"/>
  <c r="F31" i="24"/>
  <c r="E31" i="24"/>
  <c r="D31" i="24"/>
  <c r="V30" i="24"/>
  <c r="T30" i="24" s="1"/>
  <c r="U30" i="24"/>
  <c r="O30" i="24"/>
  <c r="N30" i="24"/>
  <c r="L30" i="24"/>
  <c r="J30" i="24"/>
  <c r="I30" i="24"/>
  <c r="G30" i="24" s="1"/>
  <c r="H30" i="24"/>
  <c r="F30" i="24"/>
  <c r="E30" i="24"/>
  <c r="D30" i="24"/>
  <c r="U29" i="24"/>
  <c r="Q29" i="24"/>
  <c r="O29" i="24"/>
  <c r="N29" i="24"/>
  <c r="L29" i="24"/>
  <c r="J29" i="24"/>
  <c r="I29" i="24"/>
  <c r="G29" i="24" s="1"/>
  <c r="H29" i="24"/>
  <c r="F29" i="24"/>
  <c r="E29" i="24"/>
  <c r="D29" i="24"/>
  <c r="U28" i="24"/>
  <c r="Q28" i="24"/>
  <c r="O28" i="24"/>
  <c r="N28" i="24"/>
  <c r="L28" i="24"/>
  <c r="J28" i="24"/>
  <c r="I28" i="24"/>
  <c r="G28" i="24" s="1"/>
  <c r="H28" i="24"/>
  <c r="F28" i="24"/>
  <c r="E28" i="24"/>
  <c r="D28" i="24"/>
  <c r="U27" i="24"/>
  <c r="Q27" i="24"/>
  <c r="O27" i="24"/>
  <c r="N27" i="24"/>
  <c r="M27" i="24"/>
  <c r="K27" i="24" s="1"/>
  <c r="L27" i="24"/>
  <c r="J27" i="24"/>
  <c r="I27" i="24"/>
  <c r="G27" i="24" s="1"/>
  <c r="H27" i="24"/>
  <c r="F27" i="24"/>
  <c r="E27" i="24"/>
  <c r="D27" i="24"/>
  <c r="U26" i="24"/>
  <c r="Q26" i="24"/>
  <c r="O26" i="24"/>
  <c r="N26" i="24"/>
  <c r="M26" i="24"/>
  <c r="K26" i="24" s="1"/>
  <c r="L26" i="24"/>
  <c r="J26" i="24"/>
  <c r="I26" i="24"/>
  <c r="G26" i="24" s="1"/>
  <c r="H26" i="24"/>
  <c r="F26" i="24"/>
  <c r="E26" i="24"/>
  <c r="D26" i="24"/>
  <c r="O25" i="24"/>
  <c r="N25" i="24"/>
  <c r="M25" i="24"/>
  <c r="K25" i="24" s="1"/>
  <c r="L25" i="24"/>
  <c r="J25" i="24"/>
  <c r="I25" i="24"/>
  <c r="G25" i="24" s="1"/>
  <c r="H25" i="24"/>
  <c r="F25" i="24"/>
  <c r="E25" i="24"/>
  <c r="D25" i="24"/>
  <c r="U24" i="24"/>
  <c r="Q24" i="24"/>
  <c r="O24" i="24"/>
  <c r="N24" i="24"/>
  <c r="M24" i="24"/>
  <c r="K24" i="24" s="1"/>
  <c r="L24" i="24"/>
  <c r="H24" i="24"/>
  <c r="F24" i="24"/>
  <c r="E24" i="24"/>
  <c r="D24" i="24"/>
  <c r="Q23" i="24"/>
  <c r="O23" i="24"/>
  <c r="N23" i="24"/>
  <c r="L23" i="24"/>
  <c r="H23" i="24"/>
  <c r="F23" i="24"/>
  <c r="E23" i="24"/>
  <c r="D23" i="24"/>
  <c r="V22" i="24"/>
  <c r="T22" i="24" s="1"/>
  <c r="U22" i="24"/>
  <c r="O22" i="24"/>
  <c r="N22" i="24"/>
  <c r="L22" i="24"/>
  <c r="H22" i="24"/>
  <c r="F22" i="24"/>
  <c r="E22" i="24"/>
  <c r="D22" i="24"/>
  <c r="U21" i="24"/>
  <c r="R21" i="24"/>
  <c r="Q21" i="24"/>
  <c r="O21" i="24"/>
  <c r="N21" i="24"/>
  <c r="M21" i="24"/>
  <c r="K21" i="24" s="1"/>
  <c r="L21" i="24"/>
  <c r="H21" i="24"/>
  <c r="F21" i="24"/>
  <c r="E21" i="24"/>
  <c r="D21" i="24"/>
  <c r="Q20" i="24"/>
  <c r="O20" i="24"/>
  <c r="N20" i="24"/>
  <c r="L20" i="24"/>
  <c r="J20" i="24"/>
  <c r="I20" i="24"/>
  <c r="G20" i="24" s="1"/>
  <c r="H20" i="24"/>
  <c r="F20" i="24"/>
  <c r="E20" i="24"/>
  <c r="D20" i="24"/>
  <c r="U19" i="24"/>
  <c r="R19" i="24"/>
  <c r="Q19" i="24"/>
  <c r="O19" i="24"/>
  <c r="N19" i="24"/>
  <c r="M19" i="24"/>
  <c r="K19" i="24" s="1"/>
  <c r="L19" i="24"/>
  <c r="J19" i="24"/>
  <c r="I19" i="24"/>
  <c r="G19" i="24" s="1"/>
  <c r="H19" i="24"/>
  <c r="F19" i="24"/>
  <c r="E19" i="24"/>
  <c r="D19" i="24"/>
  <c r="U18" i="24"/>
  <c r="Q18" i="24"/>
  <c r="O18" i="24"/>
  <c r="N18" i="24"/>
  <c r="L18" i="24"/>
  <c r="J18" i="24"/>
  <c r="I18" i="24"/>
  <c r="G18" i="24" s="1"/>
  <c r="H18" i="24"/>
  <c r="F18" i="24"/>
  <c r="E18" i="24"/>
  <c r="D18" i="24"/>
  <c r="V17" i="24"/>
  <c r="T17" i="24" s="1"/>
  <c r="U17" i="24"/>
  <c r="Q17" i="24"/>
  <c r="O17" i="24"/>
  <c r="N17" i="24"/>
  <c r="L17" i="24"/>
  <c r="J17" i="24"/>
  <c r="I17" i="24"/>
  <c r="G17" i="24" s="1"/>
  <c r="H17" i="24"/>
  <c r="F17" i="24"/>
  <c r="E17" i="24"/>
  <c r="D17" i="24"/>
  <c r="U16" i="24"/>
  <c r="Q16" i="24"/>
  <c r="O16" i="24"/>
  <c r="N16" i="24"/>
  <c r="L16" i="24"/>
  <c r="J16" i="24"/>
  <c r="I16" i="24"/>
  <c r="G16" i="24" s="1"/>
  <c r="H16" i="24"/>
  <c r="F16" i="24"/>
  <c r="E16" i="24"/>
  <c r="D16" i="24"/>
  <c r="U15" i="24"/>
  <c r="O15" i="24"/>
  <c r="N15" i="24"/>
  <c r="M15" i="24"/>
  <c r="K15" i="24" s="1"/>
  <c r="L15" i="24"/>
  <c r="J15" i="24"/>
  <c r="I15" i="24"/>
  <c r="G15" i="24" s="1"/>
  <c r="H15" i="24"/>
  <c r="F15" i="24"/>
  <c r="E15" i="24"/>
  <c r="D15" i="24"/>
  <c r="V14" i="24"/>
  <c r="T14" i="24" s="1"/>
  <c r="U14" i="24"/>
  <c r="R14" i="24"/>
  <c r="O14" i="24"/>
  <c r="N14" i="24"/>
  <c r="L14" i="24"/>
  <c r="J14" i="24"/>
  <c r="I14" i="24"/>
  <c r="G14" i="24" s="1"/>
  <c r="H14" i="24"/>
  <c r="F14" i="24"/>
  <c r="E14" i="24"/>
  <c r="D14" i="24"/>
  <c r="U13" i="24"/>
  <c r="Q13" i="24"/>
  <c r="O13" i="24"/>
  <c r="N13" i="24"/>
  <c r="M13" i="24"/>
  <c r="K13" i="24" s="1"/>
  <c r="L13" i="24"/>
  <c r="J13" i="24"/>
  <c r="I13" i="24"/>
  <c r="G13" i="24" s="1"/>
  <c r="H13" i="24"/>
  <c r="F13" i="24"/>
  <c r="E13" i="24"/>
  <c r="D13" i="24"/>
  <c r="U12" i="24"/>
  <c r="Q12" i="24"/>
  <c r="O12" i="24"/>
  <c r="N12" i="24"/>
  <c r="M12" i="24"/>
  <c r="K12" i="24" s="1"/>
  <c r="L12" i="24"/>
  <c r="J12" i="24"/>
  <c r="I12" i="24"/>
  <c r="G12" i="24" s="1"/>
  <c r="H12" i="24"/>
  <c r="F12" i="24"/>
  <c r="E12" i="24"/>
  <c r="D12" i="24"/>
  <c r="U11" i="24"/>
  <c r="Q11" i="24"/>
  <c r="O11" i="24"/>
  <c r="N11" i="24"/>
  <c r="M11" i="24"/>
  <c r="K11" i="24" s="1"/>
  <c r="L11" i="24"/>
  <c r="I11" i="24"/>
  <c r="G11" i="24" s="1"/>
  <c r="H11" i="24"/>
  <c r="F11" i="24"/>
  <c r="E11" i="24"/>
  <c r="D11" i="24"/>
  <c r="U10" i="24"/>
  <c r="Q10" i="24"/>
  <c r="O10" i="24"/>
  <c r="N10" i="24"/>
  <c r="L10" i="24"/>
  <c r="J10" i="24"/>
  <c r="I10" i="24"/>
  <c r="G10" i="24" s="1"/>
  <c r="H10" i="24"/>
  <c r="F10" i="24"/>
  <c r="E10" i="24"/>
  <c r="D10" i="24"/>
  <c r="U9" i="24"/>
  <c r="R9" i="24"/>
  <c r="O9" i="24"/>
  <c r="N9" i="24"/>
  <c r="L9" i="24"/>
  <c r="J9" i="24"/>
  <c r="I9" i="24"/>
  <c r="G9" i="24" s="1"/>
  <c r="H9" i="24"/>
  <c r="F9" i="24"/>
  <c r="E9" i="24"/>
  <c r="D9" i="24"/>
  <c r="AB8" i="24"/>
  <c r="U8" i="24"/>
  <c r="Q8" i="24"/>
  <c r="O8" i="24"/>
  <c r="N8" i="24"/>
  <c r="L8" i="24"/>
  <c r="J8" i="24"/>
  <c r="I8" i="24"/>
  <c r="G8" i="24" s="1"/>
  <c r="H8" i="24"/>
  <c r="F8" i="24"/>
  <c r="E8" i="24"/>
  <c r="D8" i="24"/>
  <c r="U7" i="24"/>
  <c r="Q7" i="24"/>
  <c r="O7" i="24"/>
  <c r="N7" i="24"/>
  <c r="L7" i="24"/>
  <c r="J7" i="24"/>
  <c r="I7" i="24"/>
  <c r="G7" i="24" s="1"/>
  <c r="H7" i="24"/>
  <c r="F7" i="24"/>
  <c r="E7" i="24"/>
  <c r="D7" i="24"/>
  <c r="V6" i="24"/>
  <c r="T6" i="24" s="1"/>
  <c r="U6" i="24"/>
  <c r="O6" i="24"/>
  <c r="N6" i="24"/>
  <c r="L6" i="24"/>
  <c r="J6" i="24"/>
  <c r="I6" i="24"/>
  <c r="G6" i="24" s="1"/>
  <c r="H6" i="24"/>
  <c r="F6" i="24"/>
  <c r="E6" i="24"/>
  <c r="D6" i="24"/>
  <c r="Q5" i="24"/>
  <c r="O5" i="24"/>
  <c r="J5" i="24"/>
  <c r="I5" i="24"/>
  <c r="G5" i="24" s="1"/>
  <c r="H5" i="24"/>
  <c r="F5" i="24"/>
  <c r="E5" i="24"/>
  <c r="D5" i="24"/>
  <c r="M32" i="24"/>
  <c r="K32" i="24" s="1"/>
  <c r="M29" i="24"/>
  <c r="K29" i="24" s="1"/>
  <c r="M30" i="24"/>
  <c r="K30" i="24" s="1"/>
  <c r="M33" i="24"/>
  <c r="K33" i="24" s="1"/>
  <c r="M34" i="24"/>
  <c r="K34" i="24" s="1"/>
  <c r="J34" i="24"/>
  <c r="J23" i="24"/>
  <c r="J22" i="24"/>
  <c r="J21" i="24"/>
  <c r="I24" i="24"/>
  <c r="G24" i="24" s="1"/>
  <c r="M36" i="24"/>
  <c r="K36" i="24" s="1"/>
  <c r="J36" i="24"/>
  <c r="M16" i="24"/>
  <c r="K16" i="24" s="1"/>
  <c r="J11" i="24"/>
  <c r="M8" i="24"/>
  <c r="K8" i="24" s="1"/>
  <c r="M7" i="24"/>
  <c r="K7" i="24" s="1"/>
  <c r="E11" i="9" l="1"/>
  <c r="LD45" i="22"/>
  <c r="F10" i="6"/>
  <c r="LE28" i="22"/>
  <c r="F10" i="9"/>
  <c r="LE43" i="22"/>
  <c r="F7" i="8"/>
  <c r="LE12" i="22"/>
  <c r="F11" i="8"/>
  <c r="LE20" i="22"/>
  <c r="D9" i="9"/>
  <c r="LC42" i="22"/>
  <c r="LG42" i="22" s="1"/>
  <c r="NK42" i="22" s="1"/>
  <c r="D12" i="9"/>
  <c r="LC46" i="22"/>
  <c r="LG46" i="22" s="1"/>
  <c r="NK46" i="22" s="1"/>
  <c r="D14" i="9"/>
  <c r="LC49" i="22"/>
  <c r="F7" i="1"/>
  <c r="F7" i="23" s="1"/>
  <c r="LE9" i="22"/>
  <c r="D11" i="8"/>
  <c r="LC20" i="22"/>
  <c r="F11" i="15"/>
  <c r="LE22" i="22"/>
  <c r="E7" i="9"/>
  <c r="LD39" i="22"/>
  <c r="LG39" i="22" s="1"/>
  <c r="NK39" i="22" s="1"/>
  <c r="E9" i="7"/>
  <c r="LD44" i="22"/>
  <c r="LG44" i="22" s="1"/>
  <c r="NK44" i="22" s="1"/>
  <c r="E12" i="9"/>
  <c r="LD46" i="22"/>
  <c r="E13" i="9"/>
  <c r="E48" i="23" s="1"/>
  <c r="LD48" i="22"/>
  <c r="F13" i="6"/>
  <c r="LE31" i="22"/>
  <c r="E8" i="7"/>
  <c r="LD18" i="22"/>
  <c r="D10" i="8"/>
  <c r="LC15" i="22"/>
  <c r="F14" i="9"/>
  <c r="LE49" i="22"/>
  <c r="F8" i="7"/>
  <c r="LE18" i="22"/>
  <c r="E10" i="8"/>
  <c r="LD15" i="22"/>
  <c r="D8" i="15"/>
  <c r="LC17" i="22"/>
  <c r="D10" i="15"/>
  <c r="LC21" i="22"/>
  <c r="E10" i="6"/>
  <c r="LD28" i="22"/>
  <c r="E10" i="9"/>
  <c r="LD43" i="22"/>
  <c r="F12" i="6"/>
  <c r="LE30" i="22"/>
  <c r="E7" i="7"/>
  <c r="E21" i="23" s="1"/>
  <c r="LD10" i="22"/>
  <c r="LG10" i="22" s="1"/>
  <c r="NK10" i="22" s="1"/>
  <c r="F13" i="9"/>
  <c r="LE48" i="22"/>
  <c r="E7" i="8"/>
  <c r="LD12" i="22"/>
  <c r="F8" i="8"/>
  <c r="LE13" i="22"/>
  <c r="LG13" i="22" s="1"/>
  <c r="NK13" i="22" s="1"/>
  <c r="F12" i="8"/>
  <c r="F31" i="23" s="1"/>
  <c r="LE32" i="22"/>
  <c r="E10" i="15"/>
  <c r="LD21" i="22"/>
  <c r="LG40" i="22"/>
  <c r="NK40" i="22" s="1"/>
  <c r="D10" i="9"/>
  <c r="D45" i="23" s="1"/>
  <c r="LC43" i="22"/>
  <c r="D11" i="9"/>
  <c r="LC45" i="22"/>
  <c r="LG45" i="22" s="1"/>
  <c r="NK45" i="22" s="1"/>
  <c r="D13" i="9"/>
  <c r="G13" i="9" s="1"/>
  <c r="LC48" i="22"/>
  <c r="AB23" i="24"/>
  <c r="AB11" i="24"/>
  <c r="AB16" i="24"/>
  <c r="I7" i="15"/>
  <c r="I10" i="15"/>
  <c r="AB28" i="24"/>
  <c r="AB31" i="24"/>
  <c r="AB33" i="24"/>
  <c r="B9" i="16"/>
  <c r="C33" i="23"/>
  <c r="N33" i="23" s="1"/>
  <c r="B4" i="16"/>
  <c r="B7" i="16"/>
  <c r="C25" i="23"/>
  <c r="N25" i="23" s="1"/>
  <c r="J17" i="7"/>
  <c r="M6" i="16" s="1"/>
  <c r="C51" i="23"/>
  <c r="N51" i="23" s="1"/>
  <c r="B10" i="16"/>
  <c r="D36" i="13"/>
  <c r="GI15" i="22"/>
  <c r="LG20" i="22"/>
  <c r="NK20" i="22" s="1"/>
  <c r="DZ22" i="22"/>
  <c r="LG26" i="22"/>
  <c r="NK26" i="22" s="1"/>
  <c r="GI26" i="22"/>
  <c r="DZ29" i="22"/>
  <c r="GI32" i="22"/>
  <c r="DZ35" i="22"/>
  <c r="LG37" i="22"/>
  <c r="NK37" i="22" s="1"/>
  <c r="DZ41" i="22"/>
  <c r="DZ43" i="22"/>
  <c r="GI49" i="22"/>
  <c r="DZ36" i="22"/>
  <c r="DZ46" i="22"/>
  <c r="BV32" i="22"/>
  <c r="DZ32" i="22" s="1"/>
  <c r="GI9" i="22"/>
  <c r="GI20" i="22"/>
  <c r="GI12" i="22"/>
  <c r="GI17" i="22"/>
  <c r="GI22" i="22"/>
  <c r="AH50" i="22"/>
  <c r="GI29" i="22"/>
  <c r="GI43" i="22"/>
  <c r="BS50" i="22"/>
  <c r="GI18" i="22"/>
  <c r="GI30" i="22"/>
  <c r="GI21" i="22"/>
  <c r="GI27" i="22"/>
  <c r="GI10" i="22"/>
  <c r="GI13" i="22"/>
  <c r="GI23" i="22"/>
  <c r="GI31" i="22"/>
  <c r="GI40" i="22"/>
  <c r="GI42" i="22"/>
  <c r="GI48" i="22"/>
  <c r="GI16" i="22"/>
  <c r="GI28" i="22"/>
  <c r="BK9" i="22"/>
  <c r="GI19" i="22"/>
  <c r="GI24" i="22"/>
  <c r="GI37" i="22"/>
  <c r="BQ41" i="22"/>
  <c r="BQ43" i="22"/>
  <c r="GI25" i="22"/>
  <c r="GI39" i="22"/>
  <c r="IL9" i="22"/>
  <c r="DZ10" i="22"/>
  <c r="II50" i="22"/>
  <c r="DZ13" i="22"/>
  <c r="DZ23" i="22"/>
  <c r="DZ31" i="22"/>
  <c r="DZ40" i="22"/>
  <c r="DZ42" i="22"/>
  <c r="DZ48" i="22"/>
  <c r="DZ18" i="22"/>
  <c r="DZ30" i="22"/>
  <c r="DZ14" i="22"/>
  <c r="DZ19" i="22"/>
  <c r="DZ24" i="22"/>
  <c r="DZ34" i="22"/>
  <c r="DZ17" i="22"/>
  <c r="BM50" i="22"/>
  <c r="DZ25" i="22"/>
  <c r="DZ47" i="22"/>
  <c r="DZ15" i="22"/>
  <c r="DZ20" i="22"/>
  <c r="DZ26" i="22"/>
  <c r="DZ37" i="22"/>
  <c r="DZ39" i="22"/>
  <c r="DZ49" i="22"/>
  <c r="DZ21" i="22"/>
  <c r="DZ27" i="22"/>
  <c r="DZ44" i="22"/>
  <c r="DZ45" i="22"/>
  <c r="DZ16" i="22"/>
  <c r="DZ28" i="22"/>
  <c r="DZ33" i="22"/>
  <c r="BQ37" i="22"/>
  <c r="BQ10" i="22"/>
  <c r="BQ13" i="22"/>
  <c r="BQ17" i="22"/>
  <c r="BQ29" i="22"/>
  <c r="BQ20" i="22"/>
  <c r="IL30" i="22"/>
  <c r="BL50" i="22"/>
  <c r="FS14" i="22"/>
  <c r="GI14" i="22" s="1"/>
  <c r="BQ18" i="22"/>
  <c r="BQ21" i="22"/>
  <c r="BQ24" i="22"/>
  <c r="BQ30" i="22"/>
  <c r="BQ33" i="22"/>
  <c r="BQ39" i="22"/>
  <c r="BQ48" i="22"/>
  <c r="BQ16" i="22"/>
  <c r="BQ14" i="22"/>
  <c r="BQ25" i="22"/>
  <c r="BQ35" i="22"/>
  <c r="BQ44" i="22"/>
  <c r="BQ45" i="22"/>
  <c r="BF11" i="22"/>
  <c r="BF22" i="22"/>
  <c r="BQ22" i="22" s="1"/>
  <c r="AL23" i="22"/>
  <c r="AL50" i="22" s="1"/>
  <c r="BQ26" i="22"/>
  <c r="BQ31" i="22"/>
  <c r="BQ15" i="22"/>
  <c r="BQ19" i="22"/>
  <c r="BQ27" i="22"/>
  <c r="BQ49" i="22"/>
  <c r="BQ28" i="22"/>
  <c r="BQ32" i="22"/>
  <c r="BQ34" i="22"/>
  <c r="BQ36" i="22"/>
  <c r="BQ46" i="22"/>
  <c r="BP9" i="22"/>
  <c r="BR50" i="22"/>
  <c r="BV11" i="22"/>
  <c r="DZ11" i="22" s="1"/>
  <c r="IL16" i="22"/>
  <c r="IL12" i="22"/>
  <c r="BP12" i="22"/>
  <c r="BQ12" i="22" s="1"/>
  <c r="BB50" i="22"/>
  <c r="BC50" i="22"/>
  <c r="IH50" i="22"/>
  <c r="FP50" i="22"/>
  <c r="BV12" i="22"/>
  <c r="DZ12" i="22" s="1"/>
  <c r="IL22" i="22"/>
  <c r="IL10" i="22"/>
  <c r="BP11" i="22"/>
  <c r="BQ11" i="22" s="1"/>
  <c r="IL18" i="22"/>
  <c r="B18" i="31"/>
  <c r="B15" i="31"/>
  <c r="B13" i="31"/>
  <c r="B12" i="31"/>
  <c r="F21" i="31"/>
  <c r="B17" i="31"/>
  <c r="B14" i="31"/>
  <c r="B11" i="31"/>
  <c r="B47" i="31"/>
  <c r="B46" i="31"/>
  <c r="B45" i="31" s="1"/>
  <c r="F43" i="31"/>
  <c r="F42" i="31"/>
  <c r="F41" i="31"/>
  <c r="F40" i="31"/>
  <c r="F39" i="31"/>
  <c r="F38" i="31"/>
  <c r="F37" i="31"/>
  <c r="B34" i="31"/>
  <c r="B33" i="31"/>
  <c r="B32" i="31"/>
  <c r="B31" i="31"/>
  <c r="B30" i="31"/>
  <c r="B29" i="31" s="1"/>
  <c r="F27" i="31"/>
  <c r="F26" i="31"/>
  <c r="F25" i="31"/>
  <c r="F24" i="31"/>
  <c r="F23" i="31"/>
  <c r="F22" i="31"/>
  <c r="B16" i="31"/>
  <c r="B10" i="31"/>
  <c r="B9" i="31"/>
  <c r="B8" i="31"/>
  <c r="B7" i="31"/>
  <c r="B6" i="31" s="1"/>
  <c r="F47" i="31"/>
  <c r="B41" i="31"/>
  <c r="F33" i="31"/>
  <c r="B26" i="31"/>
  <c r="F12" i="31"/>
  <c r="F30" i="31"/>
  <c r="B25" i="31"/>
  <c r="F9" i="31"/>
  <c r="F14" i="31"/>
  <c r="F34" i="31"/>
  <c r="F46" i="31"/>
  <c r="B38" i="31"/>
  <c r="F32" i="31"/>
  <c r="B23" i="31"/>
  <c r="F11" i="31"/>
  <c r="F17" i="31"/>
  <c r="F7" i="31"/>
  <c r="B21" i="31"/>
  <c r="B20" i="31" s="1"/>
  <c r="B43" i="31"/>
  <c r="F31" i="31"/>
  <c r="F18" i="31"/>
  <c r="F10" i="31"/>
  <c r="B40" i="31"/>
  <c r="B37" i="31"/>
  <c r="B36" i="31" s="1"/>
  <c r="B22" i="31"/>
  <c r="F16" i="31"/>
  <c r="F8" i="31"/>
  <c r="B42" i="31"/>
  <c r="B27" i="31"/>
  <c r="F15" i="31"/>
  <c r="B39" i="31"/>
  <c r="B24" i="31"/>
  <c r="F13" i="31"/>
  <c r="E11" i="15"/>
  <c r="E38" i="23" s="1"/>
  <c r="LA40" i="22"/>
  <c r="LA11" i="22"/>
  <c r="LA19" i="22"/>
  <c r="LA33" i="22"/>
  <c r="LA35" i="22"/>
  <c r="LA37" i="22"/>
  <c r="LB37" i="22" s="1"/>
  <c r="IS21" i="22"/>
  <c r="IS31" i="22"/>
  <c r="LA25" i="22"/>
  <c r="IS37" i="22"/>
  <c r="LA16" i="22"/>
  <c r="IS14" i="22"/>
  <c r="IS23" i="22"/>
  <c r="IS38" i="22"/>
  <c r="IS43" i="22"/>
  <c r="IS27" i="22"/>
  <c r="IS40" i="22"/>
  <c r="IS42" i="22"/>
  <c r="IS48" i="22"/>
  <c r="IS13" i="22"/>
  <c r="IS39" i="22"/>
  <c r="IS44" i="22"/>
  <c r="IS45" i="22"/>
  <c r="LA24" i="22"/>
  <c r="LA26" i="22"/>
  <c r="LA29" i="22"/>
  <c r="IS24" i="22"/>
  <c r="IS28" i="22"/>
  <c r="IS15" i="22"/>
  <c r="IS49" i="22"/>
  <c r="IS20" i="22"/>
  <c r="IS26" i="22"/>
  <c r="IS46" i="22"/>
  <c r="LA23" i="22"/>
  <c r="LA27" i="22"/>
  <c r="LA34" i="22"/>
  <c r="LB34" i="22" s="1"/>
  <c r="KZ50" i="22"/>
  <c r="LA41" i="22"/>
  <c r="LB41" i="22" s="1"/>
  <c r="IQ50" i="22"/>
  <c r="LA47" i="22"/>
  <c r="H147" i="23"/>
  <c r="LA36" i="22"/>
  <c r="LA38" i="22"/>
  <c r="IG29" i="22"/>
  <c r="BV9" i="22"/>
  <c r="DZ9" i="22" s="1"/>
  <c r="IL17" i="22"/>
  <c r="IL19" i="22"/>
  <c r="IL32" i="22"/>
  <c r="BG50" i="22"/>
  <c r="BF9" i="22"/>
  <c r="FS11" i="22"/>
  <c r="FS50" i="22" s="1"/>
  <c r="IC50" i="22"/>
  <c r="IG25" i="22"/>
  <c r="IG30" i="22"/>
  <c r="H146" i="23"/>
  <c r="FO50" i="22"/>
  <c r="IG11" i="22"/>
  <c r="AB13" i="24"/>
  <c r="AB15" i="24"/>
  <c r="I9" i="9"/>
  <c r="I11" i="15"/>
  <c r="BF75" i="18"/>
  <c r="F9" i="9"/>
  <c r="F44" i="23" s="1"/>
  <c r="I7" i="1"/>
  <c r="C8" i="16"/>
  <c r="F15" i="23"/>
  <c r="E26" i="23"/>
  <c r="F26" i="23"/>
  <c r="H33" i="23"/>
  <c r="J33" i="23" s="1"/>
  <c r="AV41" i="18"/>
  <c r="V28" i="24"/>
  <c r="T28" i="24" s="1"/>
  <c r="V35" i="24"/>
  <c r="T35" i="24" s="1"/>
  <c r="AV5" i="18"/>
  <c r="R13" i="24"/>
  <c r="S13" i="24" s="1"/>
  <c r="R18" i="24"/>
  <c r="S18" i="24" s="1"/>
  <c r="AA133" i="24"/>
  <c r="IL56" i="22"/>
  <c r="IL55" i="22"/>
  <c r="DT50" i="22"/>
  <c r="FI50" i="22"/>
  <c r="W50" i="22"/>
  <c r="AB50" i="22"/>
  <c r="CA50" i="22"/>
  <c r="GX50" i="22"/>
  <c r="JW50" i="22"/>
  <c r="FN50" i="22"/>
  <c r="GH50" i="22"/>
  <c r="JR50" i="22"/>
  <c r="DO50" i="22"/>
  <c r="FD50" i="22"/>
  <c r="CF50" i="22"/>
  <c r="KB50" i="22"/>
  <c r="HW50" i="22"/>
  <c r="HH50" i="22"/>
  <c r="AQ50" i="22"/>
  <c r="BK50" i="22"/>
  <c r="CP50" i="22"/>
  <c r="IX50" i="22"/>
  <c r="CK50" i="22"/>
  <c r="GS50" i="22"/>
  <c r="AG50" i="22"/>
  <c r="DE50" i="22"/>
  <c r="H50" i="22"/>
  <c r="EE50" i="22"/>
  <c r="CZ50" i="22"/>
  <c r="EO50" i="22"/>
  <c r="GC50" i="22"/>
  <c r="HR50" i="22"/>
  <c r="EJ50" i="22"/>
  <c r="HC50" i="22"/>
  <c r="JC50" i="22"/>
  <c r="AV50" i="22"/>
  <c r="KG50" i="22"/>
  <c r="M50" i="22"/>
  <c r="BA50" i="22"/>
  <c r="JH50" i="22"/>
  <c r="KL50" i="22"/>
  <c r="FX50" i="22"/>
  <c r="DY50" i="22"/>
  <c r="ET50" i="22"/>
  <c r="DJ50" i="22"/>
  <c r="EY50" i="22"/>
  <c r="GN50" i="22"/>
  <c r="IB50" i="22"/>
  <c r="R50" i="22"/>
  <c r="JM50" i="22"/>
  <c r="HM50" i="22"/>
  <c r="D12" i="15"/>
  <c r="D7" i="1"/>
  <c r="F9" i="6"/>
  <c r="F9" i="7"/>
  <c r="F23" i="23" s="1"/>
  <c r="F7" i="15"/>
  <c r="F34" i="23" s="1"/>
  <c r="F7" i="9"/>
  <c r="J17" i="13"/>
  <c r="BA75" i="18"/>
  <c r="BB75" i="18" s="1"/>
  <c r="I10" i="9"/>
  <c r="AV67" i="18"/>
  <c r="V7" i="24"/>
  <c r="T7" i="24" s="1"/>
  <c r="BB5" i="18"/>
  <c r="R27" i="24"/>
  <c r="S27" i="24" s="1"/>
  <c r="V10" i="24"/>
  <c r="T10" i="24" s="1"/>
  <c r="AB22" i="24"/>
  <c r="V33" i="24"/>
  <c r="T33" i="24" s="1"/>
  <c r="AB35" i="24"/>
  <c r="AB138" i="24" s="1"/>
  <c r="I7" i="6"/>
  <c r="I14" i="6" s="1"/>
  <c r="AB17" i="24"/>
  <c r="F76" i="18"/>
  <c r="G76" i="18" s="1"/>
  <c r="H76" i="18" s="1"/>
  <c r="I76" i="18" s="1"/>
  <c r="J76" i="18" s="1"/>
  <c r="K76" i="18" s="1"/>
  <c r="L76" i="18" s="1"/>
  <c r="M76" i="18" s="1"/>
  <c r="N76" i="18" s="1"/>
  <c r="O76" i="18" s="1"/>
  <c r="P76" i="18" s="1"/>
  <c r="Q76" i="18" s="1"/>
  <c r="R76" i="18" s="1"/>
  <c r="S76" i="18" s="1"/>
  <c r="T76" i="18" s="1"/>
  <c r="U76" i="18" s="1"/>
  <c r="V76" i="18" s="1"/>
  <c r="W76" i="18" s="1"/>
  <c r="X76" i="18" s="1"/>
  <c r="Y76" i="18" s="1"/>
  <c r="Z76" i="18" s="1"/>
  <c r="AA76" i="18" s="1"/>
  <c r="AB76" i="18" s="1"/>
  <c r="AC76" i="18" s="1"/>
  <c r="AD76" i="18" s="1"/>
  <c r="AE76" i="18" s="1"/>
  <c r="AF76" i="18" s="1"/>
  <c r="AG76" i="18" s="1"/>
  <c r="AH76" i="18" s="1"/>
  <c r="AI76" i="18" s="1"/>
  <c r="AB6" i="24"/>
  <c r="AB133" i="24" s="1"/>
  <c r="L120" i="24" s="1"/>
  <c r="AB12" i="24"/>
  <c r="AB32" i="24"/>
  <c r="AV53" i="18"/>
  <c r="AV49" i="18"/>
  <c r="AV47" i="18"/>
  <c r="AV43" i="18"/>
  <c r="R36" i="24"/>
  <c r="S36" i="24" s="1"/>
  <c r="AP57" i="18"/>
  <c r="R29" i="24"/>
  <c r="S29" i="24" s="1"/>
  <c r="AP41" i="18"/>
  <c r="R22" i="24"/>
  <c r="S22" i="24" s="1"/>
  <c r="AP25" i="18"/>
  <c r="R12" i="24"/>
  <c r="S12" i="24" s="1"/>
  <c r="R10" i="24"/>
  <c r="S10" i="24" s="1"/>
  <c r="AV45" i="18"/>
  <c r="U23" i="24"/>
  <c r="W23" i="24" s="1"/>
  <c r="BE45" i="18"/>
  <c r="AQ75" i="18"/>
  <c r="AV35" i="18"/>
  <c r="BE23" i="18"/>
  <c r="AP55" i="18"/>
  <c r="Q15" i="24"/>
  <c r="S15" i="24" s="1"/>
  <c r="Q14" i="24"/>
  <c r="S14" i="24" s="1"/>
  <c r="Q6" i="24"/>
  <c r="Q133" i="24" s="1"/>
  <c r="BE55" i="18"/>
  <c r="BE57" i="18"/>
  <c r="BE7" i="18"/>
  <c r="AP45" i="18"/>
  <c r="BE39" i="18"/>
  <c r="AP9" i="18"/>
  <c r="AP61" i="18"/>
  <c r="AV17" i="18"/>
  <c r="V12" i="24"/>
  <c r="T12" i="24" s="1"/>
  <c r="V15" i="24"/>
  <c r="T15" i="24" s="1"/>
  <c r="V18" i="24"/>
  <c r="T18" i="24" s="1"/>
  <c r="AV11" i="18"/>
  <c r="AV27" i="18"/>
  <c r="AV33" i="18"/>
  <c r="AV37" i="18"/>
  <c r="AU75" i="18"/>
  <c r="V13" i="24"/>
  <c r="T13" i="24" s="1"/>
  <c r="V9" i="24"/>
  <c r="T9" i="24" s="1"/>
  <c r="R33" i="24"/>
  <c r="AP63" i="18"/>
  <c r="R17" i="24"/>
  <c r="S17" i="24" s="1"/>
  <c r="R11" i="24"/>
  <c r="AP51" i="18"/>
  <c r="AP5" i="18"/>
  <c r="AP27" i="18"/>
  <c r="AP43" i="18"/>
  <c r="AP59" i="18"/>
  <c r="AP7" i="18"/>
  <c r="R26" i="24"/>
  <c r="S26" i="24" s="1"/>
  <c r="AP11" i="18"/>
  <c r="R35" i="24"/>
  <c r="S35" i="24" s="1"/>
  <c r="R25" i="24"/>
  <c r="S25" i="24" s="1"/>
  <c r="AP35" i="18"/>
  <c r="AO75" i="18"/>
  <c r="AP75" i="18" s="1"/>
  <c r="I9" i="8"/>
  <c r="AB20" i="24"/>
  <c r="AB26" i="24"/>
  <c r="I8" i="7"/>
  <c r="I10" i="7" s="1"/>
  <c r="K6" i="16" s="1"/>
  <c r="I7" i="9"/>
  <c r="AB34" i="24"/>
  <c r="I8" i="8"/>
  <c r="I9" i="1"/>
  <c r="AB19" i="24"/>
  <c r="F8" i="1"/>
  <c r="F8" i="23" s="1"/>
  <c r="E9" i="6"/>
  <c r="J12" i="13"/>
  <c r="F7" i="6"/>
  <c r="E7" i="6"/>
  <c r="E13" i="6"/>
  <c r="J31" i="13"/>
  <c r="J18" i="13"/>
  <c r="J24" i="13"/>
  <c r="D12" i="8"/>
  <c r="E11" i="6"/>
  <c r="D9" i="6"/>
  <c r="J13" i="13"/>
  <c r="LA22" i="22"/>
  <c r="D7" i="8"/>
  <c r="D8" i="6"/>
  <c r="D10" i="6"/>
  <c r="E12" i="8"/>
  <c r="D9" i="8"/>
  <c r="LA17" i="22"/>
  <c r="F22" i="23"/>
  <c r="D37" i="23"/>
  <c r="D9" i="1"/>
  <c r="E8" i="8"/>
  <c r="F11" i="9"/>
  <c r="F30" i="23"/>
  <c r="D44" i="23"/>
  <c r="E9" i="1"/>
  <c r="D9" i="7"/>
  <c r="E9" i="15"/>
  <c r="LA42" i="22"/>
  <c r="E7" i="1"/>
  <c r="D12" i="6"/>
  <c r="D8" i="7"/>
  <c r="E7" i="15"/>
  <c r="F9" i="15"/>
  <c r="J29" i="13"/>
  <c r="LA14" i="22"/>
  <c r="LA13" i="22"/>
  <c r="E9" i="8"/>
  <c r="E37" i="23"/>
  <c r="D46" i="23"/>
  <c r="D30" i="23"/>
  <c r="F45" i="23"/>
  <c r="F38" i="23"/>
  <c r="E42" i="23"/>
  <c r="E23" i="23"/>
  <c r="E22" i="23"/>
  <c r="E15" i="23"/>
  <c r="E45" i="23"/>
  <c r="D49" i="23"/>
  <c r="F49" i="23"/>
  <c r="E8" i="15"/>
  <c r="LA30" i="22"/>
  <c r="D29" i="23"/>
  <c r="E8" i="6"/>
  <c r="F28" i="23"/>
  <c r="E29" i="23"/>
  <c r="F8" i="6"/>
  <c r="D11" i="6"/>
  <c r="F7" i="7"/>
  <c r="F10" i="8"/>
  <c r="F10" i="15"/>
  <c r="E12" i="15"/>
  <c r="J32" i="13"/>
  <c r="F48" i="23"/>
  <c r="J15" i="13"/>
  <c r="F27" i="23"/>
  <c r="D13" i="6"/>
  <c r="LA9" i="22"/>
  <c r="LA39" i="22"/>
  <c r="F8" i="15"/>
  <c r="F9" i="1"/>
  <c r="F11" i="6"/>
  <c r="E9" i="9"/>
  <c r="D7" i="7"/>
  <c r="D35" i="23"/>
  <c r="M9" i="16"/>
  <c r="I10" i="16"/>
  <c r="J10" i="16"/>
  <c r="J47" i="23"/>
  <c r="J48" i="23"/>
  <c r="J49" i="23"/>
  <c r="J39" i="23"/>
  <c r="J31" i="23"/>
  <c r="J14" i="23"/>
  <c r="J15" i="23"/>
  <c r="J9" i="23"/>
  <c r="J16" i="23"/>
  <c r="J36" i="23"/>
  <c r="J43" i="23"/>
  <c r="J37" i="23"/>
  <c r="J42" i="23"/>
  <c r="J26" i="23"/>
  <c r="J8" i="23"/>
  <c r="J23" i="23"/>
  <c r="J12" i="23"/>
  <c r="S7" i="24"/>
  <c r="W14" i="24"/>
  <c r="S32" i="24"/>
  <c r="S39" i="24"/>
  <c r="AA134" i="24"/>
  <c r="AA138" i="24"/>
  <c r="S20" i="24"/>
  <c r="W27" i="24"/>
  <c r="W32" i="24"/>
  <c r="AA135" i="24"/>
  <c r="S5" i="24"/>
  <c r="W6" i="24"/>
  <c r="S16" i="24"/>
  <c r="W17" i="24"/>
  <c r="W16" i="24"/>
  <c r="M20" i="24"/>
  <c r="K20" i="24" s="1"/>
  <c r="M23" i="24"/>
  <c r="K23" i="24" s="1"/>
  <c r="M35" i="24"/>
  <c r="K35" i="24" s="1"/>
  <c r="M18" i="24"/>
  <c r="K18" i="24" s="1"/>
  <c r="M37" i="24"/>
  <c r="K37" i="24" s="1"/>
  <c r="M10" i="24"/>
  <c r="K10" i="24" s="1"/>
  <c r="M9" i="24"/>
  <c r="K9" i="24" s="1"/>
  <c r="M14" i="24"/>
  <c r="K14" i="24" s="1"/>
  <c r="M17" i="24"/>
  <c r="K17" i="24" s="1"/>
  <c r="M22" i="24"/>
  <c r="K22" i="24" s="1"/>
  <c r="M28" i="24"/>
  <c r="K28" i="24" s="1"/>
  <c r="M31" i="24"/>
  <c r="K31" i="24" s="1"/>
  <c r="M132" i="24"/>
  <c r="Y139" i="24"/>
  <c r="AA136" i="24"/>
  <c r="H132" i="24"/>
  <c r="Z139" i="24"/>
  <c r="AA137" i="24"/>
  <c r="W21" i="24"/>
  <c r="S23" i="24"/>
  <c r="W24" i="24"/>
  <c r="W25" i="24"/>
  <c r="W26" i="24"/>
  <c r="U133" i="24"/>
  <c r="L132" i="24"/>
  <c r="S19" i="24"/>
  <c r="W19" i="24"/>
  <c r="S8" i="24"/>
  <c r="S38" i="24"/>
  <c r="E47" i="23"/>
  <c r="J11" i="13"/>
  <c r="KQ30" i="22"/>
  <c r="J29" i="23"/>
  <c r="J9" i="13"/>
  <c r="E14" i="9"/>
  <c r="W11" i="24"/>
  <c r="S28" i="24"/>
  <c r="S30" i="24"/>
  <c r="S31" i="24"/>
  <c r="W34" i="24"/>
  <c r="J18" i="23"/>
  <c r="J27" i="23"/>
  <c r="KQ28" i="22"/>
  <c r="E8" i="1"/>
  <c r="J6" i="13"/>
  <c r="KQ24" i="22"/>
  <c r="D7" i="6"/>
  <c r="J8" i="13"/>
  <c r="KQ27" i="22"/>
  <c r="F12" i="15"/>
  <c r="D8" i="9"/>
  <c r="F12" i="9"/>
  <c r="F18" i="23"/>
  <c r="J44" i="23"/>
  <c r="KQ18" i="22"/>
  <c r="J4" i="13"/>
  <c r="D8" i="1"/>
  <c r="U134" i="24"/>
  <c r="W22" i="24"/>
  <c r="S24" i="24"/>
  <c r="Q137" i="24"/>
  <c r="E12" i="6"/>
  <c r="KQ12" i="22"/>
  <c r="J26" i="13"/>
  <c r="E8" i="9"/>
  <c r="Q136" i="24"/>
  <c r="D9" i="15"/>
  <c r="KQ19" i="22"/>
  <c r="U137" i="24"/>
  <c r="W29" i="24"/>
  <c r="W30" i="24"/>
  <c r="W31" i="24"/>
  <c r="S37" i="24"/>
  <c r="J28" i="23"/>
  <c r="J30" i="23"/>
  <c r="J34" i="23"/>
  <c r="J45" i="23"/>
  <c r="E46" i="23"/>
  <c r="D47" i="23"/>
  <c r="J25" i="13"/>
  <c r="D11" i="15"/>
  <c r="F17" i="23"/>
  <c r="E11" i="8"/>
  <c r="KQ22" i="22"/>
  <c r="KQ13" i="22"/>
  <c r="D8" i="8"/>
  <c r="D7" i="15"/>
  <c r="KQ16" i="22"/>
  <c r="J21" i="13"/>
  <c r="V136" i="24"/>
  <c r="W20" i="24"/>
  <c r="S34" i="24"/>
  <c r="Q138" i="24"/>
  <c r="W36" i="24"/>
  <c r="W37" i="24"/>
  <c r="W38" i="24"/>
  <c r="J13" i="23"/>
  <c r="J17" i="23"/>
  <c r="J21" i="23"/>
  <c r="J35" i="23"/>
  <c r="J46" i="23"/>
  <c r="J14" i="13"/>
  <c r="KQ42" i="22"/>
  <c r="J23" i="13"/>
  <c r="KQ40" i="22"/>
  <c r="KQ14" i="22"/>
  <c r="KQ17" i="22"/>
  <c r="KQ21" i="22"/>
  <c r="KQ26" i="22"/>
  <c r="J34" i="13"/>
  <c r="KQ35" i="22"/>
  <c r="KQ38" i="22"/>
  <c r="G36" i="13"/>
  <c r="E4" i="11" s="1"/>
  <c r="J20" i="13"/>
  <c r="KQ20" i="22"/>
  <c r="KQ48" i="22"/>
  <c r="C10" i="7"/>
  <c r="KO50" i="22"/>
  <c r="J22" i="13"/>
  <c r="I34" i="24"/>
  <c r="G34" i="24" s="1"/>
  <c r="J24" i="24"/>
  <c r="I23" i="24"/>
  <c r="G23" i="24" s="1"/>
  <c r="I22" i="24"/>
  <c r="G22" i="24" s="1"/>
  <c r="I21" i="24"/>
  <c r="G21" i="24" s="1"/>
  <c r="I36" i="24"/>
  <c r="G36" i="24" s="1"/>
  <c r="L134" i="24"/>
  <c r="I132" i="24"/>
  <c r="W39" i="24"/>
  <c r="Q134" i="24"/>
  <c r="S9" i="24"/>
  <c r="S21" i="24"/>
  <c r="R133" i="24"/>
  <c r="U138" i="24"/>
  <c r="O134" i="24"/>
  <c r="F121" i="24" s="1"/>
  <c r="G121" i="24" s="1"/>
  <c r="E134" i="24"/>
  <c r="W5" i="24"/>
  <c r="U135" i="24"/>
  <c r="W8" i="24"/>
  <c r="T136" i="24"/>
  <c r="H135" i="24"/>
  <c r="E132" i="24"/>
  <c r="O132" i="24"/>
  <c r="F119" i="24" s="1"/>
  <c r="I134" i="24"/>
  <c r="H136" i="24"/>
  <c r="H137" i="24"/>
  <c r="D135" i="24"/>
  <c r="E135" i="24"/>
  <c r="O135" i="24"/>
  <c r="F122" i="24" s="1"/>
  <c r="D134" i="24"/>
  <c r="L136" i="24"/>
  <c r="L137" i="24"/>
  <c r="D136" i="24"/>
  <c r="D137" i="24"/>
  <c r="D132" i="24"/>
  <c r="H134" i="24"/>
  <c r="E136" i="24"/>
  <c r="O136" i="24"/>
  <c r="F123" i="24" s="1"/>
  <c r="G123" i="24" s="1"/>
  <c r="E137" i="24"/>
  <c r="O137" i="24"/>
  <c r="F124" i="24" s="1"/>
  <c r="L135" i="24"/>
  <c r="D40" i="24"/>
  <c r="E40" i="24"/>
  <c r="O40" i="24"/>
  <c r="H40" i="24"/>
  <c r="L40" i="24"/>
  <c r="J7" i="23"/>
  <c r="J22" i="23"/>
  <c r="J38" i="23"/>
  <c r="C4" i="16"/>
  <c r="C14" i="6"/>
  <c r="G10" i="9"/>
  <c r="C13" i="8"/>
  <c r="E10" i="7"/>
  <c r="G8" i="7"/>
  <c r="KQ43" i="22"/>
  <c r="J30" i="13"/>
  <c r="KQ33" i="22"/>
  <c r="KQ36" i="22"/>
  <c r="F36" i="13"/>
  <c r="D4" i="11" s="1"/>
  <c r="J10" i="13"/>
  <c r="KQ29" i="22"/>
  <c r="J28" i="13"/>
  <c r="KQ39" i="22"/>
  <c r="J27" i="13"/>
  <c r="KP50" i="22"/>
  <c r="J7" i="13"/>
  <c r="KQ25" i="22"/>
  <c r="H36" i="13"/>
  <c r="F4" i="11" s="1"/>
  <c r="E36" i="13"/>
  <c r="J5" i="13"/>
  <c r="D7" i="9"/>
  <c r="C15" i="9"/>
  <c r="KQ10" i="22"/>
  <c r="F8" i="9"/>
  <c r="KQ45" i="22"/>
  <c r="J19" i="13"/>
  <c r="J35" i="13"/>
  <c r="KQ47" i="22"/>
  <c r="J16" i="13"/>
  <c r="J33" i="13"/>
  <c r="J3" i="13"/>
  <c r="K21" i="23" l="1"/>
  <c r="E8" i="31"/>
  <c r="E11" i="31"/>
  <c r="K27" i="23"/>
  <c r="K42" i="23"/>
  <c r="E37" i="31"/>
  <c r="K23" i="23"/>
  <c r="E41" i="31"/>
  <c r="I41" i="31" s="1"/>
  <c r="E42" i="31"/>
  <c r="I42" i="31" s="1"/>
  <c r="K46" i="23"/>
  <c r="E26" i="31"/>
  <c r="I26" i="31" s="1"/>
  <c r="K14" i="23"/>
  <c r="LG43" i="22"/>
  <c r="NK43" i="22" s="1"/>
  <c r="K44" i="23"/>
  <c r="E39" i="31"/>
  <c r="K47" i="23"/>
  <c r="E43" i="31"/>
  <c r="D48" i="23"/>
  <c r="I11" i="31"/>
  <c r="K43" i="23"/>
  <c r="E38" i="31"/>
  <c r="G11" i="9"/>
  <c r="LG49" i="22"/>
  <c r="NK49" i="22" s="1"/>
  <c r="I43" i="31"/>
  <c r="E18" i="31"/>
  <c r="I18" i="31" s="1"/>
  <c r="K30" i="23"/>
  <c r="I39" i="31"/>
  <c r="LG48" i="22"/>
  <c r="NK48" i="22" s="1"/>
  <c r="I13" i="15"/>
  <c r="M10" i="16"/>
  <c r="F45" i="31"/>
  <c r="LD50" i="22"/>
  <c r="LG12" i="22"/>
  <c r="NK12" i="22" s="1"/>
  <c r="LG29" i="22"/>
  <c r="NK29" i="22" s="1"/>
  <c r="LG16" i="22"/>
  <c r="NK16" i="22" s="1"/>
  <c r="LG25" i="22"/>
  <c r="NK25" i="22" s="1"/>
  <c r="LG30" i="22"/>
  <c r="NK30" i="22" s="1"/>
  <c r="LG17" i="22"/>
  <c r="NK17" i="22" s="1"/>
  <c r="LG33" i="22"/>
  <c r="NK33" i="22" s="1"/>
  <c r="LG24" i="22"/>
  <c r="NK24" i="22" s="1"/>
  <c r="LG31" i="22"/>
  <c r="NK31" i="22" s="1"/>
  <c r="LG21" i="22"/>
  <c r="NK21" i="22" s="1"/>
  <c r="IS18" i="22"/>
  <c r="LG14" i="22"/>
  <c r="NK14" i="22" s="1"/>
  <c r="LG18" i="22"/>
  <c r="NK18" i="22" s="1"/>
  <c r="LE50" i="22"/>
  <c r="LG15" i="22"/>
  <c r="NK15" i="22" s="1"/>
  <c r="LF50" i="22"/>
  <c r="LG28" i="22"/>
  <c r="NK28" i="22" s="1"/>
  <c r="LG32" i="22"/>
  <c r="NK32" i="22" s="1"/>
  <c r="LG35" i="22"/>
  <c r="NK35" i="22" s="1"/>
  <c r="LG34" i="22"/>
  <c r="NK34" i="22" s="1"/>
  <c r="LG19" i="22"/>
  <c r="NK19" i="22" s="1"/>
  <c r="LG11" i="22"/>
  <c r="NK11" i="22" s="1"/>
  <c r="LC50" i="22"/>
  <c r="LG9" i="22"/>
  <c r="NK9" i="22" s="1"/>
  <c r="LG23" i="22"/>
  <c r="NK23" i="22" s="1"/>
  <c r="LG27" i="22"/>
  <c r="NK27" i="22" s="1"/>
  <c r="LG22" i="22"/>
  <c r="NK22" i="22" s="1"/>
  <c r="GI11" i="22"/>
  <c r="IS12" i="22"/>
  <c r="IS9" i="22"/>
  <c r="IL53" i="22"/>
  <c r="BQ9" i="22"/>
  <c r="DZ50" i="22"/>
  <c r="BV50" i="22"/>
  <c r="BP50" i="22"/>
  <c r="BF50" i="22"/>
  <c r="BQ23" i="22"/>
  <c r="IL54" i="22"/>
  <c r="IS25" i="22"/>
  <c r="IS10" i="22"/>
  <c r="I8" i="31" s="1"/>
  <c r="IS30" i="22"/>
  <c r="IS19" i="22"/>
  <c r="IS29" i="22"/>
  <c r="IS16" i="22"/>
  <c r="IS22" i="22"/>
  <c r="I37" i="31"/>
  <c r="F29" i="31"/>
  <c r="F20" i="31"/>
  <c r="F6" i="31"/>
  <c r="F36" i="31"/>
  <c r="H117" i="23"/>
  <c r="H136" i="23"/>
  <c r="H122" i="23"/>
  <c r="H115" i="23"/>
  <c r="H112" i="23"/>
  <c r="H118" i="23"/>
  <c r="H138" i="23"/>
  <c r="H127" i="23"/>
  <c r="H137" i="23"/>
  <c r="H126" i="23"/>
  <c r="H128" i="23"/>
  <c r="H129" i="23"/>
  <c r="H116" i="23"/>
  <c r="H114" i="23"/>
  <c r="H139" i="23"/>
  <c r="H130" i="23"/>
  <c r="H109" i="23"/>
  <c r="H123" i="23"/>
  <c r="H148" i="23"/>
  <c r="H144" i="23"/>
  <c r="H143" i="23"/>
  <c r="H149" i="23"/>
  <c r="AB134" i="24"/>
  <c r="L121" i="24" s="1"/>
  <c r="M121" i="24" s="1"/>
  <c r="LA28" i="22"/>
  <c r="LB28" i="22" s="1"/>
  <c r="IS32" i="22"/>
  <c r="LA31" i="22"/>
  <c r="LB31" i="22" s="1"/>
  <c r="IL52" i="22"/>
  <c r="LA15" i="22"/>
  <c r="LB15" i="22" s="1"/>
  <c r="LA44" i="22"/>
  <c r="LB44" i="22" s="1"/>
  <c r="LA12" i="22"/>
  <c r="LA18" i="22"/>
  <c r="LB18" i="22" s="1"/>
  <c r="LA21" i="22"/>
  <c r="LB21" i="22" s="1"/>
  <c r="LA20" i="22"/>
  <c r="LB20" i="22" s="1"/>
  <c r="H18" i="31" s="1"/>
  <c r="H113" i="23"/>
  <c r="LA10" i="22"/>
  <c r="LB10" i="22" s="1"/>
  <c r="IG50" i="22"/>
  <c r="LA32" i="22"/>
  <c r="LB32" i="22" s="1"/>
  <c r="LA46" i="22"/>
  <c r="IL50" i="22"/>
  <c r="KY50" i="22"/>
  <c r="IS17" i="22"/>
  <c r="LA45" i="22"/>
  <c r="LB45" i="22" s="1"/>
  <c r="H42" i="31" s="1"/>
  <c r="LA48" i="22"/>
  <c r="LB48" i="22" s="1"/>
  <c r="IS11" i="22"/>
  <c r="LA43" i="22"/>
  <c r="LB43" i="22" s="1"/>
  <c r="H145" i="23"/>
  <c r="KW50" i="22"/>
  <c r="LA49" i="22"/>
  <c r="H142" i="23"/>
  <c r="KX50" i="22"/>
  <c r="I10" i="1"/>
  <c r="K4" i="16" s="1"/>
  <c r="J11" i="9"/>
  <c r="G9" i="8"/>
  <c r="J13" i="9"/>
  <c r="D120" i="23"/>
  <c r="E120" i="23" s="1"/>
  <c r="D133" i="23"/>
  <c r="E133" i="23" s="1"/>
  <c r="D125" i="23"/>
  <c r="E125" i="23" s="1"/>
  <c r="D106" i="23"/>
  <c r="E106" i="23" s="1"/>
  <c r="D111" i="23"/>
  <c r="E111" i="23" s="1"/>
  <c r="LB36" i="22"/>
  <c r="D141" i="23"/>
  <c r="E141" i="23" s="1"/>
  <c r="F10" i="1"/>
  <c r="F10" i="7"/>
  <c r="F6" i="16" s="1"/>
  <c r="G8" i="15"/>
  <c r="E7" i="23"/>
  <c r="D12" i="23"/>
  <c r="F35" i="23"/>
  <c r="D26" i="23"/>
  <c r="G26" i="23" s="1"/>
  <c r="I26" i="23" s="1"/>
  <c r="F76" i="23" s="1"/>
  <c r="D14" i="23"/>
  <c r="E12" i="23"/>
  <c r="D7" i="23"/>
  <c r="D39" i="23"/>
  <c r="G10" i="8"/>
  <c r="G14" i="9"/>
  <c r="G12" i="9"/>
  <c r="E13" i="15"/>
  <c r="G12" i="8"/>
  <c r="E13" i="23"/>
  <c r="E34" i="23"/>
  <c r="G9" i="9"/>
  <c r="G10" i="15"/>
  <c r="T133" i="24"/>
  <c r="V138" i="24"/>
  <c r="W138" i="24" s="1"/>
  <c r="W28" i="24"/>
  <c r="T138" i="24"/>
  <c r="W35" i="24"/>
  <c r="J10" i="9"/>
  <c r="I15" i="9"/>
  <c r="K9" i="16" s="1"/>
  <c r="W7" i="24"/>
  <c r="LB25" i="22"/>
  <c r="LB14" i="22"/>
  <c r="D10" i="1"/>
  <c r="G7" i="15"/>
  <c r="G12" i="15"/>
  <c r="G7" i="7"/>
  <c r="F42" i="23"/>
  <c r="F13" i="8"/>
  <c r="F7" i="16" s="1"/>
  <c r="E13" i="8"/>
  <c r="G9" i="7"/>
  <c r="F14" i="23"/>
  <c r="E27" i="23"/>
  <c r="E43" i="23"/>
  <c r="G8" i="8"/>
  <c r="LB47" i="22"/>
  <c r="D43" i="23"/>
  <c r="E14" i="23"/>
  <c r="AB137" i="24"/>
  <c r="L124" i="24" s="1"/>
  <c r="M124" i="24" s="1"/>
  <c r="V133" i="24"/>
  <c r="J120" i="24" s="1"/>
  <c r="W33" i="24"/>
  <c r="AB136" i="24"/>
  <c r="L123" i="24" s="1"/>
  <c r="M123" i="24" s="1"/>
  <c r="U123" i="24" s="1"/>
  <c r="V137" i="24"/>
  <c r="W137" i="24" s="1"/>
  <c r="W10" i="24"/>
  <c r="AV75" i="18"/>
  <c r="R137" i="24"/>
  <c r="S137" i="24" s="1"/>
  <c r="Q135" i="24"/>
  <c r="Q139" i="24" s="1"/>
  <c r="R138" i="24"/>
  <c r="S138" i="24" s="1"/>
  <c r="R134" i="24"/>
  <c r="S134" i="24" s="1"/>
  <c r="Q40" i="24"/>
  <c r="U136" i="24"/>
  <c r="I123" i="24" s="1"/>
  <c r="U40" i="24"/>
  <c r="BE75" i="18"/>
  <c r="BE77" i="18" s="1"/>
  <c r="S6" i="24"/>
  <c r="W15" i="24"/>
  <c r="W12" i="24"/>
  <c r="R135" i="24"/>
  <c r="V134" i="24"/>
  <c r="S33" i="24"/>
  <c r="T135" i="24"/>
  <c r="V40" i="24"/>
  <c r="S11" i="24"/>
  <c r="V135" i="24"/>
  <c r="W9" i="24"/>
  <c r="AB135" i="24"/>
  <c r="L122" i="24" s="1"/>
  <c r="M122" i="24" s="1"/>
  <c r="J8" i="7"/>
  <c r="I13" i="8"/>
  <c r="K7" i="16" s="1"/>
  <c r="R40" i="24"/>
  <c r="W18" i="24"/>
  <c r="W13" i="24"/>
  <c r="R136" i="24"/>
  <c r="S136" i="24" s="1"/>
  <c r="G45" i="23"/>
  <c r="I45" i="23" s="1"/>
  <c r="F95" i="23" s="1"/>
  <c r="AB40" i="24"/>
  <c r="G8" i="1"/>
  <c r="G9" i="6"/>
  <c r="G7" i="1"/>
  <c r="LB29" i="22"/>
  <c r="E10" i="1"/>
  <c r="F14" i="6"/>
  <c r="E18" i="23"/>
  <c r="E16" i="23"/>
  <c r="F12" i="23"/>
  <c r="G8" i="6"/>
  <c r="LB38" i="22"/>
  <c r="E14" i="6"/>
  <c r="E5" i="16" s="1"/>
  <c r="G13" i="6"/>
  <c r="G7" i="8"/>
  <c r="G48" i="23"/>
  <c r="I48" i="23" s="1"/>
  <c r="F98" i="23" s="1"/>
  <c r="G9" i="1"/>
  <c r="E15" i="9"/>
  <c r="F13" i="15"/>
  <c r="D13" i="8"/>
  <c r="D28" i="23"/>
  <c r="LB16" i="22"/>
  <c r="LB22" i="22"/>
  <c r="D31" i="23"/>
  <c r="D13" i="15"/>
  <c r="LB39" i="22"/>
  <c r="H37" i="31" s="1"/>
  <c r="D15" i="23"/>
  <c r="G15" i="23" s="1"/>
  <c r="I15" i="23" s="1"/>
  <c r="F65" i="23" s="1"/>
  <c r="D13" i="23"/>
  <c r="D14" i="6"/>
  <c r="LB19" i="22"/>
  <c r="G10" i="6"/>
  <c r="LB24" i="22"/>
  <c r="E31" i="23"/>
  <c r="D9" i="23"/>
  <c r="LB26" i="22"/>
  <c r="H26" i="31" s="1"/>
  <c r="D22" i="23"/>
  <c r="G22" i="23" s="1"/>
  <c r="I22" i="23" s="1"/>
  <c r="F72" i="23" s="1"/>
  <c r="E28" i="23"/>
  <c r="F46" i="23"/>
  <c r="G46" i="23" s="1"/>
  <c r="I46" i="23" s="1"/>
  <c r="D17" i="23"/>
  <c r="D10" i="7"/>
  <c r="LB42" i="22"/>
  <c r="H39" i="31" s="1"/>
  <c r="LB35" i="22"/>
  <c r="F36" i="23"/>
  <c r="E36" i="23"/>
  <c r="LB33" i="22"/>
  <c r="LB27" i="22"/>
  <c r="D23" i="23"/>
  <c r="G23" i="23" s="1"/>
  <c r="I23" i="23" s="1"/>
  <c r="E9" i="23"/>
  <c r="F13" i="23"/>
  <c r="D16" i="23"/>
  <c r="E35" i="23"/>
  <c r="E44" i="23"/>
  <c r="G44" i="23" s="1"/>
  <c r="I44" i="23" s="1"/>
  <c r="F16" i="23"/>
  <c r="E39" i="23"/>
  <c r="LB40" i="22"/>
  <c r="H38" i="31" s="1"/>
  <c r="LB13" i="22"/>
  <c r="H11" i="31" s="1"/>
  <c r="F9" i="23"/>
  <c r="F37" i="23"/>
  <c r="G37" i="23" s="1"/>
  <c r="I37" i="23" s="1"/>
  <c r="LB30" i="22"/>
  <c r="D21" i="23"/>
  <c r="D18" i="23"/>
  <c r="F29" i="23"/>
  <c r="G29" i="23" s="1"/>
  <c r="I29" i="23" s="1"/>
  <c r="G8" i="9"/>
  <c r="G11" i="15"/>
  <c r="G11" i="6"/>
  <c r="G7" i="6"/>
  <c r="LB17" i="22"/>
  <c r="F21" i="23"/>
  <c r="L125" i="24"/>
  <c r="M125" i="24" s="1"/>
  <c r="U125" i="24" s="1"/>
  <c r="M136" i="24"/>
  <c r="N136" i="24" s="1"/>
  <c r="I120" i="24"/>
  <c r="M134" i="24"/>
  <c r="D121" i="24" s="1"/>
  <c r="M135" i="24"/>
  <c r="N135" i="24" s="1"/>
  <c r="AA139" i="24"/>
  <c r="M137" i="24"/>
  <c r="N137" i="24" s="1"/>
  <c r="T134" i="24"/>
  <c r="I124" i="24"/>
  <c r="M40" i="24"/>
  <c r="N40" i="24" s="1"/>
  <c r="N132" i="24"/>
  <c r="J132" i="24"/>
  <c r="I136" i="24"/>
  <c r="J136" i="24" s="1"/>
  <c r="U121" i="24"/>
  <c r="E17" i="23"/>
  <c r="G4" i="11"/>
  <c r="KQ23" i="22"/>
  <c r="LB23" i="22" s="1"/>
  <c r="C6" i="16"/>
  <c r="H20" i="23"/>
  <c r="J20" i="23" s="1"/>
  <c r="D34" i="23"/>
  <c r="D27" i="23"/>
  <c r="G9" i="15"/>
  <c r="D36" i="23"/>
  <c r="KQ11" i="22"/>
  <c r="LB11" i="22" s="1"/>
  <c r="K5" i="16"/>
  <c r="D8" i="23"/>
  <c r="F47" i="23"/>
  <c r="G47" i="23" s="1"/>
  <c r="I47" i="23" s="1"/>
  <c r="KQ46" i="22"/>
  <c r="I137" i="24"/>
  <c r="G11" i="8"/>
  <c r="E30" i="23"/>
  <c r="G30" i="23" s="1"/>
  <c r="I30" i="23" s="1"/>
  <c r="E8" i="23"/>
  <c r="D38" i="23"/>
  <c r="G38" i="23" s="1"/>
  <c r="I38" i="23" s="1"/>
  <c r="F88" i="23" s="1"/>
  <c r="KQ49" i="22"/>
  <c r="KN50" i="22"/>
  <c r="G12" i="6"/>
  <c r="F39" i="23"/>
  <c r="E49" i="23"/>
  <c r="G49" i="23" s="1"/>
  <c r="I49" i="23" s="1"/>
  <c r="J134" i="24"/>
  <c r="D119" i="24"/>
  <c r="I40" i="24"/>
  <c r="J40" i="24" s="1"/>
  <c r="I135" i="24"/>
  <c r="F137" i="24"/>
  <c r="C123" i="24"/>
  <c r="H123" i="24" s="1"/>
  <c r="F132" i="24"/>
  <c r="C122" i="24"/>
  <c r="G124" i="24"/>
  <c r="C119" i="24"/>
  <c r="I121" i="24"/>
  <c r="T137" i="24"/>
  <c r="S133" i="24"/>
  <c r="F134" i="24"/>
  <c r="C121" i="24"/>
  <c r="H121" i="24" s="1"/>
  <c r="T121" i="24"/>
  <c r="G122" i="24"/>
  <c r="L139" i="24"/>
  <c r="D139" i="24"/>
  <c r="M120" i="24"/>
  <c r="I125" i="24"/>
  <c r="F40" i="24"/>
  <c r="C124" i="24"/>
  <c r="F136" i="24"/>
  <c r="E139" i="24"/>
  <c r="F135" i="24"/>
  <c r="O139" i="24"/>
  <c r="H139" i="24"/>
  <c r="T120" i="24"/>
  <c r="F126" i="24"/>
  <c r="G119" i="24"/>
  <c r="F20" i="23"/>
  <c r="D15" i="9"/>
  <c r="G7" i="9"/>
  <c r="D42" i="23"/>
  <c r="J36" i="13"/>
  <c r="C5" i="16"/>
  <c r="H11" i="23"/>
  <c r="E20" i="23"/>
  <c r="E6" i="16"/>
  <c r="F15" i="9"/>
  <c r="F43" i="23"/>
  <c r="KM50" i="22"/>
  <c r="K8" i="16"/>
  <c r="C9" i="16"/>
  <c r="H41" i="23"/>
  <c r="J41" i="23" s="1"/>
  <c r="C7" i="16"/>
  <c r="H25" i="23"/>
  <c r="J25" i="23" s="1"/>
  <c r="K10" i="16" l="1"/>
  <c r="H46" i="31"/>
  <c r="I17" i="31"/>
  <c r="E27" i="31"/>
  <c r="I27" i="31" s="1"/>
  <c r="K39" i="23"/>
  <c r="M39" i="23" s="1"/>
  <c r="I139" i="23" s="1"/>
  <c r="K31" i="23"/>
  <c r="E34" i="31"/>
  <c r="E21" i="31"/>
  <c r="I21" i="31" s="1"/>
  <c r="K37" i="23"/>
  <c r="E31" i="31"/>
  <c r="I31" i="31" s="1"/>
  <c r="K16" i="23"/>
  <c r="I38" i="31"/>
  <c r="I9" i="31"/>
  <c r="E22" i="31"/>
  <c r="K38" i="23"/>
  <c r="K34" i="23"/>
  <c r="E14" i="31"/>
  <c r="I14" i="31" s="1"/>
  <c r="H33" i="31"/>
  <c r="I32" i="31"/>
  <c r="K9" i="23"/>
  <c r="E23" i="31"/>
  <c r="I23" i="31" s="1"/>
  <c r="E30" i="31"/>
  <c r="I30" i="31" s="1"/>
  <c r="K15" i="23"/>
  <c r="K18" i="23"/>
  <c r="E33" i="31"/>
  <c r="I33" i="31" s="1"/>
  <c r="E10" i="31"/>
  <c r="K26" i="23"/>
  <c r="K12" i="23"/>
  <c r="E24" i="31"/>
  <c r="I24" i="31" s="1"/>
  <c r="K45" i="23"/>
  <c r="E40" i="31"/>
  <c r="I40" i="31" s="1"/>
  <c r="H21" i="31"/>
  <c r="H30" i="31"/>
  <c r="K29" i="23"/>
  <c r="E13" i="31"/>
  <c r="I13" i="31" s="1"/>
  <c r="H13" i="31"/>
  <c r="H23" i="31"/>
  <c r="I34" i="31"/>
  <c r="K7" i="23"/>
  <c r="E7" i="31"/>
  <c r="I7" i="31" s="1"/>
  <c r="K8" i="23"/>
  <c r="E9" i="31"/>
  <c r="K35" i="23"/>
  <c r="E15" i="31"/>
  <c r="I15" i="31" s="1"/>
  <c r="F25" i="23"/>
  <c r="I22" i="31"/>
  <c r="I10" i="31"/>
  <c r="E17" i="31"/>
  <c r="K36" i="23"/>
  <c r="K22" i="23"/>
  <c r="E16" i="31"/>
  <c r="I16" i="31" s="1"/>
  <c r="E32" i="31"/>
  <c r="H32" i="31" s="1"/>
  <c r="K17" i="23"/>
  <c r="K49" i="23"/>
  <c r="E47" i="31"/>
  <c r="I47" i="31" s="1"/>
  <c r="H41" i="31"/>
  <c r="E12" i="31"/>
  <c r="I12" i="31" s="1"/>
  <c r="K28" i="23"/>
  <c r="K13" i="23"/>
  <c r="E25" i="31"/>
  <c r="I25" i="31" s="1"/>
  <c r="K48" i="23"/>
  <c r="M48" i="23" s="1"/>
  <c r="I148" i="23" s="1"/>
  <c r="E46" i="31"/>
  <c r="LG50" i="22"/>
  <c r="NK50" i="22" s="1"/>
  <c r="GI50" i="22"/>
  <c r="H15" i="31"/>
  <c r="H9" i="31"/>
  <c r="H22" i="31"/>
  <c r="H8" i="31"/>
  <c r="BQ50" i="22"/>
  <c r="H17" i="31"/>
  <c r="H31" i="31"/>
  <c r="H14" i="31"/>
  <c r="H34" i="31"/>
  <c r="F49" i="31"/>
  <c r="J42" i="31"/>
  <c r="J27" i="31"/>
  <c r="J38" i="31"/>
  <c r="J31" i="31"/>
  <c r="J25" i="31"/>
  <c r="J46" i="31"/>
  <c r="G20" i="31"/>
  <c r="J21" i="31"/>
  <c r="J22" i="31"/>
  <c r="J9" i="31"/>
  <c r="J37" i="31"/>
  <c r="J14" i="31"/>
  <c r="J30" i="31"/>
  <c r="G29" i="31"/>
  <c r="J39" i="31"/>
  <c r="J8" i="31"/>
  <c r="J41" i="31"/>
  <c r="J32" i="31"/>
  <c r="J24" i="31"/>
  <c r="J40" i="31"/>
  <c r="J13" i="31"/>
  <c r="J12" i="31"/>
  <c r="J23" i="31"/>
  <c r="J34" i="31"/>
  <c r="J16" i="31"/>
  <c r="J15" i="31"/>
  <c r="J11" i="31"/>
  <c r="J26" i="31"/>
  <c r="J17" i="31"/>
  <c r="J18" i="31"/>
  <c r="J33" i="31"/>
  <c r="H135" i="23"/>
  <c r="H131" i="23"/>
  <c r="H108" i="23"/>
  <c r="J9" i="8"/>
  <c r="D6" i="23"/>
  <c r="D4" i="16"/>
  <c r="F6" i="23"/>
  <c r="F4" i="16"/>
  <c r="H51" i="23"/>
  <c r="J51" i="23" s="1"/>
  <c r="M31" i="23"/>
  <c r="M28" i="23"/>
  <c r="I128" i="23" s="1"/>
  <c r="M13" i="23"/>
  <c r="IS50" i="22"/>
  <c r="E8" i="16"/>
  <c r="G10" i="7"/>
  <c r="J13" i="7" s="1"/>
  <c r="J21" i="7" s="1"/>
  <c r="O6" i="16" s="1"/>
  <c r="E33" i="23"/>
  <c r="J12" i="15"/>
  <c r="J11" i="8"/>
  <c r="J8" i="9"/>
  <c r="J9" i="1"/>
  <c r="J7" i="7"/>
  <c r="J10" i="15"/>
  <c r="J7" i="8"/>
  <c r="J8" i="6"/>
  <c r="J7" i="15"/>
  <c r="J14" i="9"/>
  <c r="J8" i="15"/>
  <c r="J9" i="9"/>
  <c r="J12" i="9"/>
  <c r="J12" i="6"/>
  <c r="J9" i="15"/>
  <c r="J10" i="6"/>
  <c r="J7" i="1"/>
  <c r="J9" i="7"/>
  <c r="J9" i="6"/>
  <c r="J10" i="8"/>
  <c r="J7" i="6"/>
  <c r="J8" i="1"/>
  <c r="J11" i="6"/>
  <c r="J13" i="6"/>
  <c r="J8" i="8"/>
  <c r="J11" i="15"/>
  <c r="J12" i="8"/>
  <c r="G34" i="23"/>
  <c r="I34" i="23" s="1"/>
  <c r="F134" i="23" s="1"/>
  <c r="G120" i="23"/>
  <c r="H120" i="23" s="1"/>
  <c r="D151" i="23"/>
  <c r="E151" i="23" s="1"/>
  <c r="F126" i="23"/>
  <c r="G7" i="23"/>
  <c r="I7" i="23" s="1"/>
  <c r="G12" i="23"/>
  <c r="I12" i="23" s="1"/>
  <c r="F62" i="23" s="1"/>
  <c r="G35" i="23"/>
  <c r="I35" i="23" s="1"/>
  <c r="F85" i="23" s="1"/>
  <c r="F33" i="23"/>
  <c r="M21" i="23"/>
  <c r="D5" i="16"/>
  <c r="D7" i="16"/>
  <c r="M46" i="23"/>
  <c r="I146" i="23" s="1"/>
  <c r="D8" i="16"/>
  <c r="D6" i="16"/>
  <c r="G6" i="16" s="1"/>
  <c r="L6" i="16" s="1"/>
  <c r="F123" i="23"/>
  <c r="T124" i="24"/>
  <c r="T40" i="24"/>
  <c r="W133" i="24"/>
  <c r="U124" i="24"/>
  <c r="H121" i="23"/>
  <c r="G111" i="23"/>
  <c r="H111" i="23" s="1"/>
  <c r="G14" i="23"/>
  <c r="I14" i="23" s="1"/>
  <c r="F64" i="23" s="1"/>
  <c r="G126" i="24"/>
  <c r="D124" i="24"/>
  <c r="E124" i="24" s="1"/>
  <c r="G27" i="23"/>
  <c r="I27" i="23" s="1"/>
  <c r="F127" i="23" s="1"/>
  <c r="H134" i="23"/>
  <c r="G141" i="23"/>
  <c r="H141" i="23" s="1"/>
  <c r="M16" i="23"/>
  <c r="I116" i="23" s="1"/>
  <c r="G42" i="23"/>
  <c r="I42" i="23" s="1"/>
  <c r="F142" i="23" s="1"/>
  <c r="H107" i="23"/>
  <c r="E25" i="23"/>
  <c r="E7" i="16"/>
  <c r="G43" i="23"/>
  <c r="I43" i="23" s="1"/>
  <c r="F143" i="23" s="1"/>
  <c r="M23" i="23"/>
  <c r="I123" i="23" s="1"/>
  <c r="M43" i="23"/>
  <c r="I143" i="23" s="1"/>
  <c r="M27" i="23"/>
  <c r="I127" i="23" s="1"/>
  <c r="T123" i="24"/>
  <c r="J124" i="24"/>
  <c r="K124" i="24" s="1"/>
  <c r="J125" i="24"/>
  <c r="R125" i="24" s="1"/>
  <c r="G18" i="23"/>
  <c r="I18" i="23" s="1"/>
  <c r="F68" i="23" s="1"/>
  <c r="I122" i="24"/>
  <c r="Q122" i="24" s="1"/>
  <c r="S135" i="24"/>
  <c r="J123" i="24"/>
  <c r="K123" i="24" s="1"/>
  <c r="J121" i="24"/>
  <c r="R121" i="24" s="1"/>
  <c r="S40" i="24"/>
  <c r="U139" i="24"/>
  <c r="W136" i="24"/>
  <c r="W40" i="24"/>
  <c r="J122" i="24"/>
  <c r="AB139" i="24"/>
  <c r="F145" i="23"/>
  <c r="R139" i="24"/>
  <c r="S139" i="24" s="1"/>
  <c r="W134" i="24"/>
  <c r="W135" i="24"/>
  <c r="V139" i="24"/>
  <c r="G39" i="23"/>
  <c r="I39" i="23" s="1"/>
  <c r="F139" i="23" s="1"/>
  <c r="G10" i="1"/>
  <c r="J13" i="1" s="1"/>
  <c r="N4" i="16" s="1"/>
  <c r="F11" i="23"/>
  <c r="M44" i="23"/>
  <c r="I144" i="23" s="1"/>
  <c r="E11" i="23"/>
  <c r="E6" i="23"/>
  <c r="E4" i="16"/>
  <c r="F5" i="16"/>
  <c r="M42" i="23"/>
  <c r="M29" i="23"/>
  <c r="I129" i="23" s="1"/>
  <c r="D33" i="23"/>
  <c r="E41" i="23"/>
  <c r="F122" i="23"/>
  <c r="E9" i="16"/>
  <c r="G17" i="23"/>
  <c r="I17" i="23" s="1"/>
  <c r="F117" i="23" s="1"/>
  <c r="M36" i="23"/>
  <c r="I136" i="23" s="1"/>
  <c r="F148" i="23"/>
  <c r="M30" i="23"/>
  <c r="I130" i="23" s="1"/>
  <c r="M38" i="23"/>
  <c r="I138" i="23" s="1"/>
  <c r="D25" i="23"/>
  <c r="F8" i="16"/>
  <c r="LB46" i="22"/>
  <c r="M18" i="23"/>
  <c r="G9" i="23"/>
  <c r="I9" i="23" s="1"/>
  <c r="F59" i="23" s="1"/>
  <c r="G28" i="23"/>
  <c r="I28" i="23" s="1"/>
  <c r="F73" i="23"/>
  <c r="F87" i="23"/>
  <c r="F137" i="23"/>
  <c r="F94" i="23"/>
  <c r="F144" i="23"/>
  <c r="F79" i="23"/>
  <c r="F129" i="23"/>
  <c r="F96" i="23"/>
  <c r="F146" i="23"/>
  <c r="G13" i="23"/>
  <c r="I13" i="23" s="1"/>
  <c r="G36" i="23"/>
  <c r="I36" i="23" s="1"/>
  <c r="F136" i="23" s="1"/>
  <c r="G21" i="23"/>
  <c r="I21" i="23" s="1"/>
  <c r="F115" i="23"/>
  <c r="M35" i="23"/>
  <c r="M34" i="23"/>
  <c r="G31" i="23"/>
  <c r="I31" i="23" s="1"/>
  <c r="M22" i="23"/>
  <c r="I122" i="23" s="1"/>
  <c r="G16" i="23"/>
  <c r="I16" i="23" s="1"/>
  <c r="F66" i="23" s="1"/>
  <c r="KV50" i="22"/>
  <c r="LB12" i="22"/>
  <c r="M37" i="23"/>
  <c r="I137" i="23" s="1"/>
  <c r="M12" i="23"/>
  <c r="I112" i="23" s="1"/>
  <c r="D11" i="23"/>
  <c r="D20" i="23"/>
  <c r="G20" i="23" s="1"/>
  <c r="I20" i="23" s="1"/>
  <c r="M14" i="23"/>
  <c r="I114" i="23" s="1"/>
  <c r="LB49" i="22"/>
  <c r="M45" i="23"/>
  <c r="M15" i="23"/>
  <c r="I115" i="23" s="1"/>
  <c r="M17" i="23"/>
  <c r="I117" i="23" s="1"/>
  <c r="T122" i="24"/>
  <c r="T125" i="24"/>
  <c r="L126" i="24"/>
  <c r="G8" i="23"/>
  <c r="I8" i="23" s="1"/>
  <c r="F138" i="23"/>
  <c r="N120" i="24"/>
  <c r="U122" i="24"/>
  <c r="N134" i="24"/>
  <c r="D122" i="24"/>
  <c r="M139" i="24"/>
  <c r="N139" i="24" s="1"/>
  <c r="R120" i="24"/>
  <c r="T139" i="24"/>
  <c r="Q124" i="24"/>
  <c r="N124" i="24"/>
  <c r="J137" i="24"/>
  <c r="D123" i="24"/>
  <c r="J135" i="24"/>
  <c r="I139" i="24"/>
  <c r="J139" i="24" s="1"/>
  <c r="G40" i="24"/>
  <c r="K40" i="24"/>
  <c r="G14" i="6"/>
  <c r="J17" i="6" s="1"/>
  <c r="M8" i="23"/>
  <c r="C10" i="16"/>
  <c r="E119" i="24"/>
  <c r="F99" i="23"/>
  <c r="F149" i="23"/>
  <c r="F97" i="23"/>
  <c r="F147" i="23"/>
  <c r="M9" i="23"/>
  <c r="G13" i="15"/>
  <c r="J16" i="15" s="1"/>
  <c r="J24" i="15" s="1"/>
  <c r="F80" i="23"/>
  <c r="F130" i="23"/>
  <c r="KQ50" i="22"/>
  <c r="G13" i="8"/>
  <c r="J16" i="8" s="1"/>
  <c r="Q120" i="24"/>
  <c r="H124" i="24"/>
  <c r="E121" i="24"/>
  <c r="H119" i="24"/>
  <c r="F139" i="24"/>
  <c r="C126" i="24"/>
  <c r="N121" i="24"/>
  <c r="H122" i="24"/>
  <c r="N123" i="24"/>
  <c r="K120" i="24"/>
  <c r="Q121" i="24"/>
  <c r="M126" i="24"/>
  <c r="Q123" i="24"/>
  <c r="Q125" i="24"/>
  <c r="N125" i="24"/>
  <c r="U120" i="24"/>
  <c r="J11" i="23"/>
  <c r="G15" i="9"/>
  <c r="J18" i="9" s="1"/>
  <c r="J7" i="9"/>
  <c r="F9" i="16"/>
  <c r="F41" i="23"/>
  <c r="D9" i="16"/>
  <c r="D41" i="23"/>
  <c r="E20" i="31" l="1"/>
  <c r="I20" i="31" s="1"/>
  <c r="H27" i="31"/>
  <c r="H25" i="31"/>
  <c r="H12" i="31"/>
  <c r="H10" i="31"/>
  <c r="E29" i="31"/>
  <c r="I29" i="31" s="1"/>
  <c r="H16" i="31"/>
  <c r="E6" i="31"/>
  <c r="I6" i="31" s="1"/>
  <c r="E45" i="31"/>
  <c r="I45" i="31" s="1"/>
  <c r="I46" i="31"/>
  <c r="H40" i="31"/>
  <c r="H24" i="31"/>
  <c r="E36" i="31"/>
  <c r="I36" i="31" s="1"/>
  <c r="F58" i="23"/>
  <c r="F108" i="23"/>
  <c r="F57" i="23"/>
  <c r="F107" i="23"/>
  <c r="G125" i="23"/>
  <c r="H125" i="23" s="1"/>
  <c r="H20" i="31"/>
  <c r="I131" i="23"/>
  <c r="G106" i="23"/>
  <c r="H106" i="23" s="1"/>
  <c r="N6" i="16"/>
  <c r="H29" i="31"/>
  <c r="E49" i="31"/>
  <c r="I49" i="31" s="1"/>
  <c r="G36" i="31"/>
  <c r="H43" i="31"/>
  <c r="G45" i="31"/>
  <c r="H45" i="31" s="1"/>
  <c r="H47" i="31"/>
  <c r="I135" i="23"/>
  <c r="J43" i="31"/>
  <c r="G133" i="23"/>
  <c r="H133" i="23" s="1"/>
  <c r="J20" i="31"/>
  <c r="G33" i="23"/>
  <c r="I33" i="23" s="1"/>
  <c r="F133" i="23" s="1"/>
  <c r="J10" i="31"/>
  <c r="J47" i="31"/>
  <c r="J29" i="31"/>
  <c r="G6" i="23"/>
  <c r="I6" i="23" s="1"/>
  <c r="F56" i="23" s="1"/>
  <c r="G8" i="16"/>
  <c r="L8" i="16" s="1"/>
  <c r="G4" i="16"/>
  <c r="L4" i="16" s="1"/>
  <c r="I81" i="23"/>
  <c r="G7" i="16"/>
  <c r="L7" i="16" s="1"/>
  <c r="I78" i="23"/>
  <c r="F84" i="23"/>
  <c r="G25" i="23"/>
  <c r="I25" i="23" s="1"/>
  <c r="F75" i="23" s="1"/>
  <c r="F51" i="23"/>
  <c r="F112" i="23"/>
  <c r="F135" i="23"/>
  <c r="I96" i="23"/>
  <c r="D10" i="16"/>
  <c r="G5" i="16"/>
  <c r="L5" i="16" s="1"/>
  <c r="I68" i="23"/>
  <c r="F114" i="23"/>
  <c r="R124" i="24"/>
  <c r="I62" i="23"/>
  <c r="F77" i="23"/>
  <c r="I73" i="23"/>
  <c r="F92" i="23"/>
  <c r="F93" i="23"/>
  <c r="I66" i="23"/>
  <c r="M47" i="23"/>
  <c r="I147" i="23" s="1"/>
  <c r="J21" i="1"/>
  <c r="O4" i="16" s="1"/>
  <c r="I93" i="23"/>
  <c r="I77" i="23"/>
  <c r="G11" i="23"/>
  <c r="I11" i="23" s="1"/>
  <c r="F111" i="23" s="1"/>
  <c r="K125" i="24"/>
  <c r="S125" i="24" s="1"/>
  <c r="F118" i="23"/>
  <c r="I126" i="24"/>
  <c r="N126" i="24" s="1"/>
  <c r="N122" i="24"/>
  <c r="R123" i="24"/>
  <c r="W139" i="24"/>
  <c r="K121" i="24"/>
  <c r="S121" i="24" s="1"/>
  <c r="J126" i="24"/>
  <c r="R122" i="24"/>
  <c r="K122" i="24"/>
  <c r="F89" i="23"/>
  <c r="I94" i="23"/>
  <c r="U126" i="24"/>
  <c r="I86" i="23"/>
  <c r="I88" i="23"/>
  <c r="I79" i="23"/>
  <c r="I98" i="23"/>
  <c r="E51" i="23"/>
  <c r="E10" i="16"/>
  <c r="F67" i="23"/>
  <c r="I80" i="23"/>
  <c r="I118" i="23"/>
  <c r="F109" i="23"/>
  <c r="F86" i="23"/>
  <c r="F10" i="16"/>
  <c r="I85" i="23"/>
  <c r="I89" i="23"/>
  <c r="F78" i="23"/>
  <c r="F128" i="23"/>
  <c r="M26" i="23"/>
  <c r="I126" i="23" s="1"/>
  <c r="F116" i="23"/>
  <c r="F63" i="23"/>
  <c r="F113" i="23"/>
  <c r="F71" i="23"/>
  <c r="F121" i="23"/>
  <c r="F131" i="23"/>
  <c r="F81" i="23"/>
  <c r="K20" i="23"/>
  <c r="M20" i="23" s="1"/>
  <c r="I120" i="23" s="1"/>
  <c r="I72" i="23"/>
  <c r="I64" i="23"/>
  <c r="I87" i="23"/>
  <c r="J25" i="6"/>
  <c r="K33" i="23"/>
  <c r="M33" i="23" s="1"/>
  <c r="N8" i="16"/>
  <c r="I95" i="23"/>
  <c r="M49" i="23"/>
  <c r="I65" i="23"/>
  <c r="I67" i="23"/>
  <c r="I145" i="23"/>
  <c r="K11" i="23"/>
  <c r="M11" i="23" s="1"/>
  <c r="I111" i="23" s="1"/>
  <c r="T126" i="24"/>
  <c r="N7" i="16"/>
  <c r="J24" i="8"/>
  <c r="N5" i="16"/>
  <c r="S120" i="24"/>
  <c r="E122" i="24"/>
  <c r="E123" i="24"/>
  <c r="S123" i="24" s="1"/>
  <c r="S124" i="24"/>
  <c r="D126" i="24"/>
  <c r="E126" i="24" s="1"/>
  <c r="I59" i="23"/>
  <c r="I109" i="23"/>
  <c r="G41" i="23"/>
  <c r="I41" i="23" s="1"/>
  <c r="F141" i="23" s="1"/>
  <c r="I84" i="23"/>
  <c r="I134" i="23"/>
  <c r="I108" i="23"/>
  <c r="I58" i="23"/>
  <c r="H126" i="24"/>
  <c r="Q126" i="24"/>
  <c r="I113" i="23"/>
  <c r="I63" i="23"/>
  <c r="J26" i="9"/>
  <c r="N9" i="16"/>
  <c r="F120" i="23"/>
  <c r="F70" i="23"/>
  <c r="I71" i="23"/>
  <c r="I121" i="23"/>
  <c r="G9" i="16"/>
  <c r="L9" i="16" s="1"/>
  <c r="D51" i="23"/>
  <c r="I142" i="23"/>
  <c r="I92" i="23"/>
  <c r="O8" i="16"/>
  <c r="H36" i="31" l="1"/>
  <c r="F83" i="23"/>
  <c r="I133" i="23"/>
  <c r="J36" i="31"/>
  <c r="G151" i="23"/>
  <c r="H151" i="23" s="1"/>
  <c r="J45" i="31"/>
  <c r="F125" i="23"/>
  <c r="F61" i="23"/>
  <c r="I97" i="23"/>
  <c r="K126" i="24"/>
  <c r="S126" i="24" s="1"/>
  <c r="R126" i="24"/>
  <c r="S122" i="24"/>
  <c r="K25" i="23"/>
  <c r="M25" i="23" s="1"/>
  <c r="I125" i="23" s="1"/>
  <c r="I70" i="23"/>
  <c r="I76" i="23"/>
  <c r="I61" i="23"/>
  <c r="O5" i="16"/>
  <c r="I83" i="23"/>
  <c r="I99" i="23"/>
  <c r="K41" i="23"/>
  <c r="M41" i="23" s="1"/>
  <c r="I141" i="23" s="1"/>
  <c r="I149" i="23"/>
  <c r="O7" i="16"/>
  <c r="G51" i="23"/>
  <c r="I51" i="23" s="1"/>
  <c r="F151" i="23" s="1"/>
  <c r="F91" i="23"/>
  <c r="F106" i="23"/>
  <c r="G10" i="16"/>
  <c r="O9" i="16"/>
  <c r="I75" i="23" l="1"/>
  <c r="I91" i="23"/>
  <c r="F101" i="23"/>
  <c r="O10" i="16"/>
  <c r="N10" i="16"/>
  <c r="L10" i="16"/>
  <c r="LA50" i="22"/>
  <c r="LB50" i="22" s="1"/>
  <c r="LB9" i="22"/>
  <c r="H7" i="31" s="1"/>
  <c r="J7" i="31" l="1"/>
  <c r="G6" i="31"/>
  <c r="K6" i="23"/>
  <c r="H6" i="31" l="1"/>
  <c r="H49" i="31" s="1"/>
  <c r="G49" i="31"/>
  <c r="J6" i="31"/>
  <c r="M7" i="23"/>
  <c r="I107" i="23" s="1"/>
  <c r="J49" i="31" l="1"/>
  <c r="K51" i="23"/>
  <c r="M51" i="23" s="1"/>
  <c r="M6" i="23"/>
  <c r="I57" i="23"/>
  <c r="I106" i="23" l="1"/>
  <c r="I56" i="23"/>
  <c r="I101" i="23"/>
  <c r="I15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tc={86110E83-EE7D-4C05-BBD4-65B9B05CF4AF}</author>
    <author>tc={7F7581E2-C8A9-4328-B669-D7FD1FCD2911}</author>
    <author>tc={54A1894D-E2B3-4F57-BE62-DE9662FEB35A}</author>
  </authors>
  <commentList>
    <comment ref="N7" authorId="0" shapeId="0" xr:uid="{86110E83-EE7D-4C05-BBD4-65B9B05CF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the indicator by addition of one every month
</t>
      </text>
    </comment>
    <comment ref="N51" authorId="1" shapeId="0" xr:uid="{7F7581E2-C8A9-4328-B669-D7FD1FCD2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the indicator by addition of one every month
</t>
      </text>
    </comment>
    <comment ref="G107" authorId="2" shapeId="0" xr:uid="{54A1894D-E2B3-4F57-BE62-DE9662FEB3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add on each month for past year’s FFB record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tc={DE2298AD-78FA-4C0A-86B9-4C37DB0C0435}</author>
  </authors>
  <commentList>
    <comment ref="B5" authorId="0" shapeId="0" xr:uid="{DE2298AD-78FA-4C0A-86B9-4C37DB0C0435}">
      <text>
        <t>[Threaded comment]
Your version of Excel allows you to read this threaded comment; however, any edits to it will get removed if the file is opened in a newer version of Excel. Learn more: https://go.microsoft.com/fwlink/?linkid=870924
Comment:
    MIKHAEL &amp; SERAN</t>
      </text>
    </comment>
  </commentList>
</comments>
</file>

<file path=xl/sharedStrings.xml><?xml version="1.0" encoding="utf-8"?>
<sst xmlns="http://schemas.openxmlformats.org/spreadsheetml/2006/main" count="1550" uniqueCount="267">
  <si>
    <t>Block</t>
  </si>
  <si>
    <t>HA per Block</t>
  </si>
  <si>
    <t>Budget 2025</t>
  </si>
  <si>
    <t>1st Round</t>
  </si>
  <si>
    <t>2nd Round</t>
  </si>
  <si>
    <t>3rd Round</t>
  </si>
  <si>
    <t>Total</t>
  </si>
  <si>
    <t>26A</t>
  </si>
  <si>
    <t>All Blocks</t>
  </si>
  <si>
    <t>HARVESTER TEAM: DARSO GANG</t>
  </si>
  <si>
    <t>HARVESTER TEAM: WENDERLINUS GANG</t>
  </si>
  <si>
    <t>OVERALL PERFORMANCE</t>
  </si>
  <si>
    <r>
      <t>Licensee:</t>
    </r>
    <r>
      <rPr>
        <sz val="11"/>
        <color theme="1"/>
        <rFont val="Calibri"/>
        <family val="2"/>
        <scheme val="minor"/>
      </rPr>
      <t xml:space="preserve"> Polima Forest Bintulu Sdn Bhd</t>
    </r>
  </si>
  <si>
    <r>
      <t>Subject:</t>
    </r>
    <r>
      <rPr>
        <sz val="11"/>
        <color theme="1"/>
        <rFont val="Calibri"/>
        <family val="2"/>
        <scheme val="minor"/>
      </rPr>
      <t xml:space="preserve"> Proposed FFB Estimate Production for Year 2025</t>
    </r>
  </si>
  <si>
    <t>PHASE</t>
  </si>
  <si>
    <t>BLK</t>
  </si>
  <si>
    <t>Age (mth)</t>
  </si>
  <si>
    <t>Harvest Yr.</t>
  </si>
  <si>
    <t>Mt/ha/yr</t>
  </si>
  <si>
    <t>Mt/ha/ mth</t>
  </si>
  <si>
    <t>HA</t>
  </si>
  <si>
    <t>Jan 
(5%)</t>
  </si>
  <si>
    <t>Feb 
(4%)</t>
  </si>
  <si>
    <t>Mar 
(7%)</t>
  </si>
  <si>
    <t>Apr 
(7%)</t>
  </si>
  <si>
    <t>May 
(7%)</t>
  </si>
  <si>
    <t>Jun 
(7%)</t>
  </si>
  <si>
    <t>Jul 
(8%)</t>
  </si>
  <si>
    <t>Aug (10%)</t>
  </si>
  <si>
    <t>Sep (10%)</t>
  </si>
  <si>
    <t>Oct 
(14%)</t>
  </si>
  <si>
    <t>Nov (11%)</t>
  </si>
  <si>
    <t>Dec (10%)</t>
  </si>
  <si>
    <t>Total (100%)</t>
  </si>
  <si>
    <t>OP2010</t>
  </si>
  <si>
    <t>156-168</t>
  </si>
  <si>
    <t>150-162</t>
  </si>
  <si>
    <t>144-156</t>
  </si>
  <si>
    <t>OP2011</t>
  </si>
  <si>
    <t>138-150</t>
  </si>
  <si>
    <t>OP2012</t>
  </si>
  <si>
    <t>132-144</t>
  </si>
  <si>
    <t>OP2015</t>
  </si>
  <si>
    <t>48-60</t>
  </si>
  <si>
    <t>26 A</t>
  </si>
  <si>
    <t>26 B</t>
  </si>
  <si>
    <t>FORESTRY RESERVED</t>
  </si>
  <si>
    <t>60-72</t>
  </si>
  <si>
    <t>30-48</t>
  </si>
  <si>
    <t>SH</t>
  </si>
  <si>
    <t>Not yet planted</t>
  </si>
  <si>
    <t>OP/T2016</t>
  </si>
  <si>
    <t>84-96</t>
  </si>
  <si>
    <t>HARVESTOR</t>
  </si>
  <si>
    <t>BLOCK</t>
  </si>
  <si>
    <t>HA PER BLOCK</t>
  </si>
  <si>
    <t>TOTAL BLOCKS HA</t>
  </si>
  <si>
    <t>BUDGET 2025</t>
  </si>
  <si>
    <t>1ST ROUND</t>
  </si>
  <si>
    <t>2ND ROUND</t>
  </si>
  <si>
    <t>3RD ROUND</t>
  </si>
  <si>
    <t>4TH ROUND</t>
  </si>
  <si>
    <t>TOTAL</t>
  </si>
  <si>
    <t>MIKHAEL GANG</t>
  </si>
  <si>
    <t>DARSO GANG</t>
  </si>
  <si>
    <t>ERDI GANG</t>
  </si>
  <si>
    <t>SERAN GANG</t>
  </si>
  <si>
    <t>NU AZANI GANG</t>
  </si>
  <si>
    <t xml:space="preserve">WENDERLINUS GANG </t>
  </si>
  <si>
    <t>COUPE</t>
  </si>
  <si>
    <t>OP/T2015</t>
  </si>
  <si>
    <t xml:space="preserve"> </t>
  </si>
  <si>
    <t>HARVESTER TEAM: NU AZANI GANG</t>
  </si>
  <si>
    <t>OVERALL PERFORMANCE - BY HARVESTER GANG</t>
  </si>
  <si>
    <t>Gang</t>
  </si>
  <si>
    <t>Total HA</t>
  </si>
  <si>
    <t>MONTH :</t>
  </si>
  <si>
    <t>JULY</t>
  </si>
  <si>
    <t>GANG</t>
  </si>
  <si>
    <t>YEAR</t>
  </si>
  <si>
    <t xml:space="preserve">BLOCK </t>
  </si>
  <si>
    <t>TOTAL MANDAY</t>
  </si>
  <si>
    <t>1ST RD</t>
  </si>
  <si>
    <t>2ND RD</t>
  </si>
  <si>
    <t>3RD RD</t>
  </si>
  <si>
    <t>4TH RD</t>
  </si>
  <si>
    <t>FFB&amp;LF PRODUCTION</t>
  </si>
  <si>
    <t>NO</t>
  </si>
  <si>
    <t>FFB/MT</t>
  </si>
  <si>
    <t>LF/MT</t>
  </si>
  <si>
    <t>FERDINADUS SERAN GANG</t>
  </si>
  <si>
    <t>WENDELINUS</t>
  </si>
  <si>
    <t>TOTAL MANDAYS TODAY</t>
  </si>
  <si>
    <t>SUB TOTAL (MT)</t>
  </si>
  <si>
    <t>TOTAL MANDAYS TODATE</t>
  </si>
  <si>
    <t>AVERAGE HARVESTING INTERVAL</t>
  </si>
  <si>
    <t>GRAND TOTAL(MT) :</t>
  </si>
  <si>
    <t>REMARK</t>
  </si>
  <si>
    <t>Manday</t>
  </si>
  <si>
    <t>TOTAL MANPOWER:</t>
  </si>
  <si>
    <t>TOTAL ON LONG LEAVE:</t>
  </si>
  <si>
    <t>MT / Manday</t>
  </si>
  <si>
    <t>HA per person</t>
  </si>
  <si>
    <t>MT per person</t>
  </si>
  <si>
    <t>Total Manpower</t>
  </si>
  <si>
    <t>Total on Long Leave</t>
  </si>
  <si>
    <t>Ratio HA to MT per person</t>
  </si>
  <si>
    <t>*MIKHAEL led the gang until end of June 2025</t>
  </si>
  <si>
    <t>In July 2025 the report continued using MIKHAEL's name as leader of the gang.</t>
  </si>
  <si>
    <t>Should be have YUVENTUS UN</t>
  </si>
  <si>
    <t>SUMMARY</t>
  </si>
  <si>
    <t>YUVENTUS GANG</t>
  </si>
  <si>
    <t>NU AZANI</t>
  </si>
  <si>
    <t xml:space="preserve">ERDI </t>
  </si>
  <si>
    <t>JANUARY</t>
  </si>
  <si>
    <t>FEBRUARY</t>
  </si>
  <si>
    <t>MARCH</t>
  </si>
  <si>
    <t>MAY</t>
  </si>
  <si>
    <t>JUNE</t>
  </si>
  <si>
    <t>AUGUST</t>
  </si>
  <si>
    <t>SEPTEMBER</t>
  </si>
  <si>
    <t>OCTOBER</t>
  </si>
  <si>
    <t>NOVEMBER</t>
  </si>
  <si>
    <t>DECEMBER</t>
  </si>
  <si>
    <r>
      <t>POLIMA FOREST BINTULU SDN. BHD.</t>
    </r>
    <r>
      <rPr>
        <b/>
        <sz val="12"/>
        <color theme="1"/>
        <rFont val="Aptos Display"/>
        <family val="2"/>
      </rPr>
      <t xml:space="preserve">  (Company No. 749886-W)</t>
    </r>
  </si>
  <si>
    <t>APRIL</t>
  </si>
  <si>
    <t>OP/T2014</t>
  </si>
  <si>
    <t>PHASE 4,5,6</t>
  </si>
  <si>
    <t>OP2014</t>
  </si>
  <si>
    <t>OP2008</t>
  </si>
  <si>
    <t>26B</t>
  </si>
  <si>
    <t>Remarks:-</t>
  </si>
  <si>
    <t>1. Sick leave taken since raining when they worked.</t>
  </si>
  <si>
    <t>2. GT54 vehicle down since clucth lining on 21/10/2023 and they using GT53 at the same time.</t>
  </si>
  <si>
    <t>HARVESTER PERFORMANCE CHART FOR THE MONTH OF SEPT 2024 (1ST - 30TH)</t>
  </si>
  <si>
    <t>1st Round (MT)</t>
  </si>
  <si>
    <t>2nd Round (MT)</t>
  </si>
  <si>
    <t>3rd Round (MT)</t>
  </si>
  <si>
    <t>Actual Total (MT)</t>
  </si>
  <si>
    <t xml:space="preserve">Actual 
</t>
  </si>
  <si>
    <t>MT / HA OF THE MONTH</t>
  </si>
  <si>
    <t xml:space="preserve">YTD </t>
  </si>
  <si>
    <t>YTD MT / HA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</si>
  <si>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</si>
  <si>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</si>
  <si>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</si>
  <si>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</si>
  <si>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</si>
  <si>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</si>
  <si>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</si>
  <si>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</si>
  <si>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</si>
  <si>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</si>
  <si>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</si>
  <si>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</si>
  <si>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FFB BUDGET</t>
  </si>
  <si>
    <t>SEPT</t>
  </si>
  <si>
    <t>OCT</t>
  </si>
  <si>
    <t>NOV</t>
  </si>
  <si>
    <t>DEC</t>
  </si>
  <si>
    <t>2025 YTD</t>
  </si>
  <si>
    <t>FFB PRODUCTION OF THE MONTH</t>
  </si>
  <si>
    <t>2024 YTD</t>
  </si>
  <si>
    <t>HARVESTER PERFORMANCE COMPARISON FOR CURRENT MONTH VS. PREVIOUS MONTH &amp; VS PAST YEAR'S MONTH</t>
  </si>
  <si>
    <t xml:space="preserve">Actual MT / HA OF THE MONTH
</t>
  </si>
  <si>
    <t xml:space="preserve">Actual  YTD  
</t>
  </si>
  <si>
    <t xml:space="preserve">Actual  YTD MT / HA 
</t>
  </si>
  <si>
    <t xml:space="preserve">Sept-25 vs Aug-25 Diff. (%)
</t>
  </si>
  <si>
    <t>Sept-25 vs Aug-25  Diff. (%)</t>
  </si>
  <si>
    <t xml:space="preserve">Sept-25 vs Sept-24
  Diff. (%)
</t>
  </si>
  <si>
    <t>Sept-25 vs Sept-24
  Diff. (%)</t>
  </si>
  <si>
    <t/>
  </si>
  <si>
    <t>1st round</t>
  </si>
  <si>
    <t>days taken</t>
  </si>
  <si>
    <t>average FFB per day</t>
  </si>
  <si>
    <t>2nd round</t>
  </si>
  <si>
    <t>3rd round</t>
  </si>
  <si>
    <t>manday</t>
  </si>
  <si>
    <t>2024 under Gang Darso</t>
  </si>
  <si>
    <t>2024 under Gang Wenderlinus</t>
  </si>
  <si>
    <t>2024 under Gang Mikhael</t>
  </si>
  <si>
    <t>Total blocks covered</t>
  </si>
  <si>
    <t>2025 vs 2024 Diff.</t>
  </si>
  <si>
    <t>FFB Output (MT)</t>
  </si>
  <si>
    <t>Days Taken</t>
  </si>
  <si>
    <t>manday per day (31-2)</t>
  </si>
  <si>
    <t>FFB Output / Manday per day</t>
  </si>
  <si>
    <t>START DATE</t>
  </si>
  <si>
    <t>END DATE DATE</t>
  </si>
  <si>
    <t>DAYS TAKEN</t>
  </si>
  <si>
    <t>AVG HARVEST PER DAY</t>
  </si>
  <si>
    <t>1st &amp; 2nd round interval</t>
  </si>
  <si>
    <t>2024 
1st &amp; 2nd round interval</t>
  </si>
  <si>
    <t>2025 
1st &amp; 2nd round interval</t>
  </si>
  <si>
    <t>2024 
2nd &amp; 3rd round interval</t>
  </si>
  <si>
    <t>SOFIO MODENTUS MISSA GANG</t>
  </si>
  <si>
    <t>YUVENTUS UN GANG</t>
  </si>
  <si>
    <t xml:space="preserve">YUVENTUS UN GANG </t>
  </si>
  <si>
    <t>SOFIO MODENTUS MISSA GANG - previously SERAN</t>
  </si>
  <si>
    <t>ERDI GANG - to be taken by YUDI</t>
  </si>
  <si>
    <t>HARVESTER TEAM: YUVENTUS UN GANG</t>
  </si>
  <si>
    <t>HARVESTER TEAM: SOFIO MODENTUS MISSA GANG - previously SERAN</t>
  </si>
  <si>
    <t>ERDI  - to be taken by YUDI</t>
  </si>
  <si>
    <t>FFB INTERVAL 2025 VS 2024 FOR THE MONTH OF NOVEMBER</t>
  </si>
  <si>
    <t>2025 
2nd &amp; 3rd round interval</t>
  </si>
  <si>
    <t>Budget (MT)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</si>
  <si>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</si>
  <si>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</si>
  <si>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</si>
  <si>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</si>
  <si>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</si>
  <si>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</si>
  <si>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</si>
  <si>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</si>
  <si>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</si>
  <si>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</si>
  <si>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</si>
  <si>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</si>
  <si>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YUDI</t>
  </si>
  <si>
    <t>YUDI GANG -previously ERDI GANG</t>
  </si>
  <si>
    <t>*block 105, 0.15ton not included in YTD</t>
  </si>
  <si>
    <t>*block 114, 0.15ton not included in YTD</t>
  </si>
  <si>
    <t>HARVESTER TEAM: YUDI GANG - previously ERDI GANG</t>
  </si>
  <si>
    <t>year 2024</t>
  </si>
  <si>
    <t>O/P</t>
  </si>
  <si>
    <t>YIELD TO DATE OF CURRENT YEAR VS. PAST YEAR</t>
  </si>
  <si>
    <t>Actual Variance  (MT)</t>
  </si>
  <si>
    <t>YTD 
(MT)</t>
  </si>
  <si>
    <r>
      <t>Licensee:</t>
    </r>
    <r>
      <rPr>
        <sz val="11"/>
        <rFont val="Calibri"/>
        <family val="2"/>
        <scheme val="minor"/>
      </rPr>
      <t xml:space="preserve"> Polima Forest Bintulu Sdn Bhd</t>
    </r>
  </si>
  <si>
    <r>
      <t>Subject:</t>
    </r>
    <r>
      <rPr>
        <sz val="11"/>
        <rFont val="Calibri"/>
        <family val="2"/>
        <scheme val="minor"/>
      </rPr>
      <t xml:space="preserve"> Proposed FFB Estimate Production for Year 2026</t>
    </r>
    <r>
      <rPr>
        <b/>
        <sz val="11"/>
        <rFont val="Calibri"/>
        <family val="2"/>
        <scheme val="minor"/>
      </rPr>
      <t xml:space="preserve"> (updated 29.01.2026)</t>
    </r>
  </si>
  <si>
    <t>Jan 
(6%)</t>
  </si>
  <si>
    <t>Feb 
(7%)</t>
  </si>
  <si>
    <t>Apr 
(9%)</t>
  </si>
  <si>
    <t>May 
(8%)</t>
  </si>
  <si>
    <t>Jul 
(7%)</t>
  </si>
  <si>
    <t>Aug
(8%)</t>
  </si>
  <si>
    <t>Sep    (9%)</t>
  </si>
  <si>
    <t>Oct  
(12%)</t>
  </si>
  <si>
    <t>Nov  (11%)</t>
  </si>
  <si>
    <t>Dec
(9%)</t>
  </si>
  <si>
    <t>168-180</t>
  </si>
  <si>
    <t>162-174</t>
  </si>
  <si>
    <t>SUBTOTAL</t>
  </si>
  <si>
    <t>150–162</t>
  </si>
  <si>
    <t>156–168</t>
  </si>
  <si>
    <t>144–156</t>
  </si>
  <si>
    <t>60–72</t>
  </si>
  <si>
    <t>72–84</t>
  </si>
  <si>
    <t>48–60</t>
  </si>
  <si>
    <t>96–108</t>
  </si>
  <si>
    <t>YTD / Ha</t>
  </si>
  <si>
    <t>JULY - DECEMBER</t>
  </si>
  <si>
    <t>2021 YTD</t>
  </si>
  <si>
    <t>2022 YTD</t>
  </si>
  <si>
    <t>2023 YTD</t>
  </si>
  <si>
    <t>Harvesting Round Record Dec 2020 - Current Year</t>
  </si>
  <si>
    <t>JAN</t>
  </si>
  <si>
    <t>2026 YTD</t>
  </si>
  <si>
    <t>HARVESTER PERFORMANCE CHART FOR THE MONTH OF JAN 2026 (1ST - 31ST)</t>
  </si>
  <si>
    <t>S</t>
  </si>
  <si>
    <t>Budget 2026</t>
  </si>
  <si>
    <t>2026 vs 2025</t>
  </si>
  <si>
    <t>Budget 2026 (MT)</t>
  </si>
  <si>
    <t xml:space="preserve">Budget 2026
</t>
  </si>
  <si>
    <t xml:space="preserve">Jan-26 vs Dec-25 Diff. (%)
</t>
  </si>
  <si>
    <t xml:space="preserve">Jan-26 vs Jan-25
  Diff. (%)
</t>
  </si>
  <si>
    <t>ERDI GANG - not yet formed until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</si>
</sst>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#,##0.000"/>
    <numFmt numFmtId="166" formatCode="#,##0.00;[Red]#,##0.00"/>
    <numFmt numFmtId="167" formatCode="_(* #,##0.00_);_(* \(#,##0.00\);_(* &quot;-&quot;??_);_(@_)"/>
    <numFmt numFmtId="171" formatCode="_-* #,##0.00_-;\-* #,##0.00_-;_-* &quot;-&quot;??_-;_-@_-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Times New Roman"/>
      <family val="1"/>
    </font>
    <font>
      <b/>
      <sz val="11"/>
      <name val="Aptos Display"/>
      <family val="2"/>
    </font>
    <font>
      <b/>
      <sz val="12"/>
      <color theme="1"/>
      <name val="Aptos Display"/>
      <family val="2"/>
    </font>
    <font>
      <sz val="11"/>
      <name val="Aptos Display"/>
      <family val="2"/>
    </font>
    <font>
      <sz val="12"/>
      <color theme="1"/>
      <name val="Aptos Display"/>
      <family val="2"/>
    </font>
    <font>
      <sz val="11"/>
      <color rgb="FFFF0000"/>
      <name val="Aptos Display"/>
      <family val="2"/>
    </font>
    <font>
      <b/>
      <sz val="11"/>
      <color rgb="FFFF0000"/>
      <name val="Aptos Display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24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Aptos Display"/>
      <family val="2"/>
    </font>
    <font>
      <u/>
      <sz val="12"/>
      <color theme="1"/>
      <name val="Aptos Display"/>
      <family val="2"/>
    </font>
    <font>
      <b/>
      <sz val="14"/>
      <color theme="1"/>
      <name val="Aptos Display"/>
      <family val="2"/>
    </font>
    <font>
      <b/>
      <sz val="16"/>
      <color theme="1"/>
      <name val="Aptos Display"/>
      <family val="2"/>
    </font>
    <font>
      <b/>
      <sz val="16"/>
      <color rgb="FFFF0000"/>
      <name val="Aptos Display"/>
      <family val="2"/>
    </font>
    <font>
      <b/>
      <sz val="12"/>
      <name val="Aptos Display"/>
      <family val="2"/>
    </font>
    <font>
      <b/>
      <i/>
      <u/>
      <sz val="11"/>
      <color theme="1"/>
      <name val="Aptos Display"/>
      <family val="2"/>
    </font>
    <font>
      <b/>
      <u/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6"/>
      <name val="Aptos Display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Trellis">
        <fgColor theme="7" tint="0.39994506668294322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CC66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auto="1"/>
      </bottom>
      <diagonal/>
    </border>
  </borders>
  <cellStyleXfs count="42">
    <xf numFmtId="0" fontId="0" fillId="0" borderId="0"/>
    <xf numFmtId="0" fontId="3" fillId="0" borderId="0"/>
    <xf numFmtId="0" fontId="7" fillId="0" borderId="0">
      <alignment vertical="center"/>
    </xf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40" fillId="0" borderId="0"/>
    <xf numFmtId="0" fontId="3" fillId="26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</cellStyleXfs>
  <cellXfs count="108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right"/>
    </xf>
    <xf numFmtId="0" fontId="2" fillId="0" borderId="0" xfId="0" applyFont="1"/>
    <xf numFmtId="2" fontId="1" fillId="0" borderId="0" xfId="0" applyNumberFormat="1" applyFont="1"/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2" fontId="0" fillId="0" borderId="1" xfId="0" applyNumberFormat="1" applyBorder="1"/>
    <xf numFmtId="3" fontId="0" fillId="2" borderId="1" xfId="0" applyNumberFormat="1" applyFill="1" applyBorder="1"/>
    <xf numFmtId="3" fontId="1" fillId="2" borderId="0" xfId="0" applyNumberFormat="1" applyFont="1" applyFill="1"/>
    <xf numFmtId="3" fontId="1" fillId="3" borderId="0" xfId="0" applyNumberFormat="1" applyFont="1" applyFill="1"/>
    <xf numFmtId="3" fontId="4" fillId="2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8" fillId="5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7" borderId="8" xfId="2" applyFont="1" applyFill="1" applyBorder="1" applyAlignment="1">
      <alignment horizontal="center" vertical="center" wrapText="1"/>
    </xf>
    <xf numFmtId="0" fontId="8" fillId="8" borderId="9" xfId="2" applyFont="1" applyFill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wrapText="1"/>
    </xf>
    <xf numFmtId="0" fontId="5" fillId="9" borderId="1" xfId="1" applyFont="1" applyFill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0" fontId="5" fillId="11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12" borderId="1" xfId="1" applyFont="1" applyFill="1" applyBorder="1" applyAlignment="1">
      <alignment horizontal="center"/>
    </xf>
    <xf numFmtId="0" fontId="5" fillId="13" borderId="1" xfId="1" applyFont="1" applyFill="1" applyBorder="1" applyAlignment="1">
      <alignment horizontal="center"/>
    </xf>
    <xf numFmtId="164" fontId="10" fillId="0" borderId="1" xfId="1" applyNumberFormat="1" applyFont="1" applyBorder="1" applyAlignment="1">
      <alignment horizontal="center" vertical="center"/>
    </xf>
    <xf numFmtId="0" fontId="11" fillId="0" borderId="0" xfId="1" applyFont="1"/>
    <xf numFmtId="4" fontId="9" fillId="0" borderId="1" xfId="1" applyNumberFormat="1" applyFont="1" applyBorder="1" applyAlignment="1">
      <alignment horizontal="center"/>
    </xf>
    <xf numFmtId="165" fontId="6" fillId="0" borderId="19" xfId="1" applyNumberFormat="1" applyFont="1" applyBorder="1" applyAlignment="1">
      <alignment horizontal="center" vertical="center"/>
    </xf>
    <xf numFmtId="165" fontId="6" fillId="0" borderId="20" xfId="1" applyNumberFormat="1" applyFont="1" applyBorder="1" applyAlignment="1">
      <alignment horizontal="center" vertical="center"/>
    </xf>
    <xf numFmtId="165" fontId="6" fillId="0" borderId="21" xfId="1" applyNumberFormat="1" applyFont="1" applyBorder="1" applyAlignment="1">
      <alignment horizontal="center" vertical="center"/>
    </xf>
    <xf numFmtId="4" fontId="6" fillId="0" borderId="10" xfId="1" applyNumberFormat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2" fillId="0" borderId="0" xfId="1" applyFont="1"/>
    <xf numFmtId="0" fontId="10" fillId="0" borderId="0" xfId="1" applyFont="1"/>
    <xf numFmtId="0" fontId="14" fillId="0" borderId="0" xfId="0" applyFont="1"/>
    <xf numFmtId="0" fontId="15" fillId="0" borderId="1" xfId="0" applyFont="1" applyBorder="1" applyAlignment="1">
      <alignment vertical="top" wrapText="1"/>
    </xf>
    <xf numFmtId="3" fontId="14" fillId="2" borderId="1" xfId="0" applyNumberFormat="1" applyFont="1" applyFill="1" applyBorder="1"/>
    <xf numFmtId="3" fontId="15" fillId="2" borderId="0" xfId="0" applyNumberFormat="1" applyFont="1" applyFill="1"/>
    <xf numFmtId="0" fontId="4" fillId="0" borderId="0" xfId="0" applyFont="1"/>
    <xf numFmtId="0" fontId="16" fillId="0" borderId="1" xfId="0" applyFont="1" applyBorder="1" applyAlignment="1">
      <alignment vertical="top" wrapText="1"/>
    </xf>
    <xf numFmtId="0" fontId="12" fillId="13" borderId="1" xfId="1" applyFont="1" applyFill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164" fontId="12" fillId="0" borderId="13" xfId="1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64" fontId="12" fillId="0" borderId="14" xfId="1" applyNumberFormat="1" applyFont="1" applyBorder="1" applyAlignment="1">
      <alignment horizontal="center" vertical="center"/>
    </xf>
    <xf numFmtId="164" fontId="13" fillId="0" borderId="10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4" fontId="0" fillId="0" borderId="1" xfId="0" applyNumberFormat="1" applyBorder="1"/>
    <xf numFmtId="3" fontId="4" fillId="0" borderId="0" xfId="0" applyNumberFormat="1" applyFont="1"/>
    <xf numFmtId="2" fontId="14" fillId="0" borderId="0" xfId="0" applyNumberFormat="1" applyFont="1"/>
    <xf numFmtId="3" fontId="14" fillId="0" borderId="0" xfId="0" applyNumberFormat="1" applyFont="1"/>
    <xf numFmtId="2" fontId="1" fillId="0" borderId="1" xfId="0" applyNumberFormat="1" applyFont="1" applyBorder="1"/>
    <xf numFmtId="2" fontId="0" fillId="0" borderId="1" xfId="0" applyNumberFormat="1" applyBorder="1" applyAlignment="1">
      <alignment wrapText="1"/>
    </xf>
    <xf numFmtId="0" fontId="1" fillId="0" borderId="1" xfId="0" applyFont="1" applyBorder="1"/>
    <xf numFmtId="0" fontId="17" fillId="0" borderId="1" xfId="0" applyFont="1" applyBorder="1" applyAlignment="1">
      <alignment wrapText="1"/>
    </xf>
    <xf numFmtId="0" fontId="18" fillId="14" borderId="0" xfId="0" applyFont="1" applyFill="1" applyAlignment="1">
      <alignment horizontal="center"/>
    </xf>
    <xf numFmtId="0" fontId="19" fillId="14" borderId="0" xfId="0" applyFont="1" applyFill="1"/>
    <xf numFmtId="0" fontId="19" fillId="14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  <xf numFmtId="0" fontId="20" fillId="14" borderId="0" xfId="0" applyFont="1" applyFill="1"/>
    <xf numFmtId="0" fontId="19" fillId="14" borderId="2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/>
    </xf>
    <xf numFmtId="0" fontId="19" fillId="14" borderId="23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0" fontId="19" fillId="15" borderId="4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center"/>
    </xf>
    <xf numFmtId="164" fontId="19" fillId="14" borderId="0" xfId="0" applyNumberFormat="1" applyFont="1" applyFill="1"/>
    <xf numFmtId="164" fontId="21" fillId="14" borderId="0" xfId="0" applyNumberFormat="1" applyFont="1" applyFill="1"/>
    <xf numFmtId="0" fontId="19" fillId="14" borderId="3" xfId="0" applyFont="1" applyFill="1" applyBorder="1" applyAlignment="1">
      <alignment horizontal="center"/>
    </xf>
    <xf numFmtId="164" fontId="19" fillId="8" borderId="4" xfId="0" applyNumberFormat="1" applyFont="1" applyFill="1" applyBorder="1" applyAlignment="1">
      <alignment vertical="center"/>
    </xf>
    <xf numFmtId="1" fontId="19" fillId="14" borderId="1" xfId="0" applyNumberFormat="1" applyFont="1" applyFill="1" applyBorder="1" applyAlignment="1">
      <alignment horizontal="center"/>
    </xf>
    <xf numFmtId="0" fontId="18" fillId="14" borderId="26" xfId="0" applyFont="1" applyFill="1" applyBorder="1" applyAlignment="1">
      <alignment vertical="top" textRotation="255" wrapText="1"/>
    </xf>
    <xf numFmtId="0" fontId="22" fillId="14" borderId="0" xfId="0" applyFont="1" applyFill="1" applyAlignment="1">
      <alignment horizontal="center" vertical="top" textRotation="255"/>
    </xf>
    <xf numFmtId="0" fontId="19" fillId="14" borderId="0" xfId="0" applyFont="1" applyFill="1" applyAlignment="1">
      <alignment horizontal="center" vertical="top" textRotation="180" wrapText="1"/>
    </xf>
    <xf numFmtId="0" fontId="19" fillId="14" borderId="0" xfId="0" applyFont="1" applyFill="1" applyAlignment="1">
      <alignment horizontal="center" textRotation="180" wrapText="1"/>
    </xf>
    <xf numFmtId="0" fontId="19" fillId="14" borderId="26" xfId="0" applyFont="1" applyFill="1" applyBorder="1" applyAlignment="1">
      <alignment vertical="top" textRotation="255" wrapText="1"/>
    </xf>
    <xf numFmtId="0" fontId="19" fillId="14" borderId="0" xfId="0" applyFont="1" applyFill="1" applyAlignment="1">
      <alignment vertical="top" textRotation="255" wrapText="1"/>
    </xf>
    <xf numFmtId="0" fontId="18" fillId="14" borderId="0" xfId="0" applyFont="1" applyFill="1" applyAlignment="1">
      <alignment vertical="top" textRotation="255" wrapText="1"/>
    </xf>
    <xf numFmtId="0" fontId="24" fillId="0" borderId="0" xfId="0" applyFont="1"/>
    <xf numFmtId="0" fontId="19" fillId="14" borderId="0" xfId="0" applyFont="1" applyFill="1" applyAlignment="1">
      <alignment vertical="top"/>
    </xf>
    <xf numFmtId="0" fontId="25" fillId="0" borderId="0" xfId="0" applyFont="1"/>
    <xf numFmtId="0" fontId="19" fillId="14" borderId="0" xfId="0" applyFont="1" applyFill="1" applyAlignment="1">
      <alignment horizontal="left"/>
    </xf>
    <xf numFmtId="0" fontId="26" fillId="14" borderId="0" xfId="0" applyFont="1" applyFill="1" applyAlignment="1">
      <alignment vertical="top" textRotation="255" wrapText="1"/>
    </xf>
    <xf numFmtId="0" fontId="27" fillId="14" borderId="0" xfId="0" applyFont="1" applyFill="1"/>
    <xf numFmtId="0" fontId="19" fillId="14" borderId="0" xfId="0" quotePrefix="1" applyFont="1" applyFill="1"/>
    <xf numFmtId="0" fontId="19" fillId="14" borderId="5" xfId="0" applyFont="1" applyFill="1" applyBorder="1"/>
    <xf numFmtId="0" fontId="19" fillId="14" borderId="6" xfId="0" applyFont="1" applyFill="1" applyBorder="1"/>
    <xf numFmtId="0" fontId="18" fillId="14" borderId="1" xfId="0" applyFont="1" applyFill="1" applyBorder="1"/>
    <xf numFmtId="0" fontId="23" fillId="7" borderId="0" xfId="0" applyFont="1" applyFill="1" applyAlignment="1">
      <alignment textRotation="255" wrapText="1"/>
    </xf>
    <xf numFmtId="164" fontId="19" fillId="7" borderId="2" xfId="0" applyNumberFormat="1" applyFont="1" applyFill="1" applyBorder="1" applyAlignment="1">
      <alignment vertical="center"/>
    </xf>
    <xf numFmtId="164" fontId="19" fillId="7" borderId="4" xfId="0" applyNumberFormat="1" applyFont="1" applyFill="1" applyBorder="1" applyAlignment="1">
      <alignment vertical="center"/>
    </xf>
    <xf numFmtId="164" fontId="19" fillId="8" borderId="2" xfId="0" applyNumberFormat="1" applyFont="1" applyFill="1" applyBorder="1" applyAlignment="1">
      <alignment vertical="center"/>
    </xf>
    <xf numFmtId="0" fontId="18" fillId="14" borderId="2" xfId="0" applyFont="1" applyFill="1" applyBorder="1" applyAlignment="1">
      <alignment vertical="center" wrapText="1"/>
    </xf>
    <xf numFmtId="0" fontId="18" fillId="14" borderId="4" xfId="0" applyFont="1" applyFill="1" applyBorder="1" applyAlignment="1">
      <alignment vertical="center" wrapText="1"/>
    </xf>
    <xf numFmtId="164" fontId="19" fillId="5" borderId="2" xfId="0" applyNumberFormat="1" applyFont="1" applyFill="1" applyBorder="1" applyAlignment="1">
      <alignment vertical="center"/>
    </xf>
    <xf numFmtId="164" fontId="19" fillId="5" borderId="4" xfId="0" applyNumberFormat="1" applyFont="1" applyFill="1" applyBorder="1" applyAlignment="1">
      <alignment vertical="center"/>
    </xf>
    <xf numFmtId="164" fontId="19" fillId="3" borderId="2" xfId="0" applyNumberFormat="1" applyFont="1" applyFill="1" applyBorder="1" applyAlignment="1">
      <alignment vertical="center"/>
    </xf>
    <xf numFmtId="164" fontId="19" fillId="3" borderId="4" xfId="0" applyNumberFormat="1" applyFont="1" applyFill="1" applyBorder="1" applyAlignment="1">
      <alignment vertical="center"/>
    </xf>
    <xf numFmtId="0" fontId="19" fillId="21" borderId="2" xfId="0" applyFont="1" applyFill="1" applyBorder="1" applyAlignment="1">
      <alignment vertical="center" wrapText="1"/>
    </xf>
    <xf numFmtId="0" fontId="19" fillId="21" borderId="4" xfId="0" applyFont="1" applyFill="1" applyBorder="1" applyAlignment="1">
      <alignment vertical="center" wrapText="1"/>
    </xf>
    <xf numFmtId="0" fontId="19" fillId="14" borderId="2" xfId="0" applyFont="1" applyFill="1" applyBorder="1" applyAlignment="1">
      <alignment vertical="center"/>
    </xf>
    <xf numFmtId="0" fontId="19" fillId="14" borderId="4" xfId="0" applyFont="1" applyFill="1" applyBorder="1" applyAlignment="1">
      <alignment vertical="center"/>
    </xf>
    <xf numFmtId="1" fontId="18" fillId="14" borderId="2" xfId="0" applyNumberFormat="1" applyFont="1" applyFill="1" applyBorder="1" applyAlignment="1">
      <alignment vertical="center"/>
    </xf>
    <xf numFmtId="1" fontId="18" fillId="14" borderId="4" xfId="0" applyNumberFormat="1" applyFont="1" applyFill="1" applyBorder="1" applyAlignment="1">
      <alignment vertical="center"/>
    </xf>
    <xf numFmtId="0" fontId="19" fillId="21" borderId="3" xfId="0" applyFont="1" applyFill="1" applyBorder="1" applyAlignment="1">
      <alignment vertical="center" wrapText="1"/>
    </xf>
    <xf numFmtId="1" fontId="18" fillId="14" borderId="2" xfId="0" applyNumberFormat="1" applyFont="1" applyFill="1" applyBorder="1"/>
    <xf numFmtId="1" fontId="18" fillId="14" borderId="4" xfId="0" applyNumberFormat="1" applyFont="1" applyFill="1" applyBorder="1"/>
    <xf numFmtId="0" fontId="18" fillId="14" borderId="0" xfId="0" applyFont="1" applyFill="1"/>
    <xf numFmtId="0" fontId="20" fillId="14" borderId="23" xfId="0" applyFont="1" applyFill="1" applyBorder="1"/>
    <xf numFmtId="0" fontId="19" fillId="5" borderId="5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19" fillId="3" borderId="10" xfId="0" applyFont="1" applyFill="1" applyBorder="1" applyAlignment="1">
      <alignment vertical="center" wrapText="1"/>
    </xf>
    <xf numFmtId="0" fontId="19" fillId="7" borderId="5" xfId="0" applyFont="1" applyFill="1" applyBorder="1" applyAlignment="1">
      <alignment vertical="center" wrapText="1"/>
    </xf>
    <xf numFmtId="0" fontId="19" fillId="7" borderId="10" xfId="0" applyFont="1" applyFill="1" applyBorder="1" applyAlignment="1">
      <alignment vertical="center" wrapText="1"/>
    </xf>
    <xf numFmtId="0" fontId="19" fillId="8" borderId="5" xfId="0" applyFont="1" applyFill="1" applyBorder="1" applyAlignment="1">
      <alignment vertical="center" wrapText="1"/>
    </xf>
    <xf numFmtId="0" fontId="19" fillId="8" borderId="10" xfId="0" applyFont="1" applyFill="1" applyBorder="1" applyAlignment="1">
      <alignment vertical="center" wrapText="1"/>
    </xf>
    <xf numFmtId="0" fontId="19" fillId="14" borderId="10" xfId="0" applyFont="1" applyFill="1" applyBorder="1"/>
    <xf numFmtId="0" fontId="18" fillId="14" borderId="5" xfId="0" applyFont="1" applyFill="1" applyBorder="1"/>
    <xf numFmtId="0" fontId="18" fillId="14" borderId="6" xfId="0" applyFont="1" applyFill="1" applyBorder="1"/>
    <xf numFmtId="0" fontId="18" fillId="14" borderId="10" xfId="0" applyFont="1" applyFill="1" applyBorder="1"/>
    <xf numFmtId="164" fontId="18" fillId="14" borderId="1" xfId="0" applyNumberFormat="1" applyFont="1" applyFill="1" applyBorder="1"/>
    <xf numFmtId="164" fontId="19" fillId="8" borderId="27" xfId="0" applyNumberFormat="1" applyFont="1" applyFill="1" applyBorder="1" applyAlignment="1">
      <alignment vertical="center"/>
    </xf>
    <xf numFmtId="164" fontId="19" fillId="8" borderId="28" xfId="0" applyNumberFormat="1" applyFont="1" applyFill="1" applyBorder="1" applyAlignment="1">
      <alignment vertical="center"/>
    </xf>
    <xf numFmtId="164" fontId="18" fillId="15" borderId="24" xfId="0" applyNumberFormat="1" applyFont="1" applyFill="1" applyBorder="1" applyAlignment="1">
      <alignment vertical="center"/>
    </xf>
    <xf numFmtId="164" fontId="18" fillId="15" borderId="25" xfId="0" applyNumberFormat="1" applyFont="1" applyFill="1" applyBorder="1" applyAlignment="1">
      <alignment vertical="center"/>
    </xf>
    <xf numFmtId="164" fontId="18" fillId="15" borderId="2" xfId="0" applyNumberFormat="1" applyFont="1" applyFill="1" applyBorder="1" applyAlignment="1">
      <alignment vertical="center"/>
    </xf>
    <xf numFmtId="164" fontId="18" fillId="15" borderId="4" xfId="0" applyNumberFormat="1" applyFont="1" applyFill="1" applyBorder="1" applyAlignment="1">
      <alignment vertical="center"/>
    </xf>
    <xf numFmtId="0" fontId="19" fillId="22" borderId="2" xfId="0" applyFont="1" applyFill="1" applyBorder="1" applyAlignment="1">
      <alignment vertical="center"/>
    </xf>
    <xf numFmtId="0" fontId="19" fillId="22" borderId="4" xfId="0" applyFont="1" applyFill="1" applyBorder="1" applyAlignment="1">
      <alignment vertical="center"/>
    </xf>
    <xf numFmtId="0" fontId="19" fillId="20" borderId="2" xfId="0" applyFont="1" applyFill="1" applyBorder="1" applyAlignment="1">
      <alignment vertical="center"/>
    </xf>
    <xf numFmtId="0" fontId="19" fillId="20" borderId="4" xfId="0" applyFont="1" applyFill="1" applyBorder="1" applyAlignment="1">
      <alignment vertical="center"/>
    </xf>
    <xf numFmtId="0" fontId="19" fillId="19" borderId="2" xfId="0" applyFont="1" applyFill="1" applyBorder="1" applyAlignment="1">
      <alignment vertical="center"/>
    </xf>
    <xf numFmtId="0" fontId="19" fillId="19" borderId="4" xfId="0" applyFont="1" applyFill="1" applyBorder="1" applyAlignment="1">
      <alignment vertical="center"/>
    </xf>
    <xf numFmtId="0" fontId="19" fillId="18" borderId="2" xfId="0" applyFont="1" applyFill="1" applyBorder="1" applyAlignment="1">
      <alignment vertical="center"/>
    </xf>
    <xf numFmtId="0" fontId="19" fillId="18" borderId="4" xfId="0" applyFont="1" applyFill="1" applyBorder="1" applyAlignment="1">
      <alignment vertical="center"/>
    </xf>
    <xf numFmtId="0" fontId="18" fillId="15" borderId="4" xfId="0" applyFont="1" applyFill="1" applyBorder="1" applyAlignment="1">
      <alignment vertical="center"/>
    </xf>
    <xf numFmtId="0" fontId="19" fillId="17" borderId="2" xfId="0" applyFont="1" applyFill="1" applyBorder="1" applyAlignment="1">
      <alignment vertical="center"/>
    </xf>
    <xf numFmtId="0" fontId="19" fillId="17" borderId="4" xfId="0" applyFont="1" applyFill="1" applyBorder="1" applyAlignment="1">
      <alignment vertical="center"/>
    </xf>
    <xf numFmtId="0" fontId="19" fillId="15" borderId="5" xfId="0" applyFont="1" applyFill="1" applyBorder="1" applyAlignment="1">
      <alignment vertical="center" wrapText="1"/>
    </xf>
    <xf numFmtId="0" fontId="19" fillId="15" borderId="10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2" fontId="2" fillId="0" borderId="0" xfId="0" applyNumberFormat="1" applyFont="1"/>
    <xf numFmtId="2" fontId="1" fillId="0" borderId="1" xfId="0" applyNumberFormat="1" applyFont="1" applyBorder="1" applyAlignment="1">
      <alignment wrapText="1"/>
    </xf>
    <xf numFmtId="2" fontId="1" fillId="0" borderId="29" xfId="0" applyNumberFormat="1" applyFont="1" applyBorder="1" applyAlignment="1">
      <alignment wrapText="1"/>
    </xf>
    <xf numFmtId="2" fontId="0" fillId="0" borderId="30" xfId="0" applyNumberFormat="1" applyBorder="1"/>
    <xf numFmtId="1" fontId="0" fillId="0" borderId="1" xfId="0" applyNumberForma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2" fontId="1" fillId="0" borderId="8" xfId="0" applyNumberFormat="1" applyFont="1" applyBorder="1" applyAlignment="1">
      <alignment wrapText="1"/>
    </xf>
    <xf numFmtId="2" fontId="1" fillId="0" borderId="9" xfId="0" applyNumberFormat="1" applyFont="1" applyBorder="1" applyAlignment="1">
      <alignment wrapText="1"/>
    </xf>
    <xf numFmtId="1" fontId="0" fillId="0" borderId="13" xfId="0" applyNumberFormat="1" applyBorder="1"/>
    <xf numFmtId="2" fontId="0" fillId="0" borderId="14" xfId="0" applyNumberForma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0" fontId="1" fillId="0" borderId="23" xfId="0" applyFont="1" applyBorder="1" applyAlignment="1">
      <alignment wrapText="1"/>
    </xf>
    <xf numFmtId="0" fontId="0" fillId="0" borderId="6" xfId="0" applyBorder="1"/>
    <xf numFmtId="2" fontId="1" fillId="0" borderId="26" xfId="0" applyNumberFormat="1" applyFont="1" applyBorder="1"/>
    <xf numFmtId="0" fontId="1" fillId="0" borderId="21" xfId="0" applyFont="1" applyBorder="1"/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33" fillId="0" borderId="0" xfId="1" applyFont="1"/>
    <xf numFmtId="0" fontId="34" fillId="0" borderId="0" xfId="1" applyFont="1"/>
    <xf numFmtId="0" fontId="6" fillId="0" borderId="42" xfId="1" applyFont="1" applyBorder="1" applyAlignment="1">
      <alignment vertical="center"/>
    </xf>
    <xf numFmtId="0" fontId="6" fillId="0" borderId="44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0" fontId="6" fillId="0" borderId="31" xfId="1" applyFont="1" applyBorder="1" applyAlignment="1">
      <alignment vertical="center"/>
    </xf>
    <xf numFmtId="0" fontId="9" fillId="0" borderId="31" xfId="1" applyFont="1" applyBorder="1" applyAlignment="1">
      <alignment horizontal="center" vertical="center"/>
    </xf>
    <xf numFmtId="0" fontId="6" fillId="0" borderId="52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6" fillId="0" borderId="25" xfId="1" applyFont="1" applyBorder="1" applyAlignment="1">
      <alignment vertical="center"/>
    </xf>
    <xf numFmtId="0" fontId="6" fillId="0" borderId="38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43" xfId="1" applyFont="1" applyBorder="1" applyAlignment="1">
      <alignment vertical="center"/>
    </xf>
    <xf numFmtId="0" fontId="9" fillId="0" borderId="42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35" fillId="0" borderId="42" xfId="2" applyFont="1" applyBorder="1">
      <alignment vertical="center"/>
    </xf>
    <xf numFmtId="0" fontId="35" fillId="0" borderId="43" xfId="2" applyFont="1" applyBorder="1">
      <alignment vertical="center"/>
    </xf>
    <xf numFmtId="0" fontId="9" fillId="0" borderId="24" xfId="2" applyFont="1" applyBorder="1">
      <alignment vertical="center"/>
    </xf>
    <xf numFmtId="0" fontId="9" fillId="0" borderId="42" xfId="2" applyFont="1" applyBorder="1">
      <alignment vertical="center"/>
    </xf>
    <xf numFmtId="0" fontId="9" fillId="0" borderId="53" xfId="1" applyFont="1" applyBorder="1" applyAlignment="1">
      <alignment vertical="center"/>
    </xf>
    <xf numFmtId="0" fontId="30" fillId="0" borderId="29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6" fillId="0" borderId="46" xfId="1" applyFont="1" applyBorder="1" applyAlignment="1">
      <alignment vertical="center"/>
    </xf>
    <xf numFmtId="0" fontId="6" fillId="0" borderId="48" xfId="1" applyFont="1" applyBorder="1" applyAlignment="1">
      <alignment vertical="center"/>
    </xf>
    <xf numFmtId="0" fontId="6" fillId="0" borderId="36" xfId="1" applyFont="1" applyBorder="1" applyAlignment="1">
      <alignment vertical="center"/>
    </xf>
    <xf numFmtId="0" fontId="5" fillId="5" borderId="56" xfId="1" applyFont="1" applyFill="1" applyBorder="1" applyAlignment="1">
      <alignment horizontal="center" vertical="center"/>
    </xf>
    <xf numFmtId="0" fontId="5" fillId="3" borderId="57" xfId="1" applyFont="1" applyFill="1" applyBorder="1" applyAlignment="1">
      <alignment horizontal="center" vertical="center"/>
    </xf>
    <xf numFmtId="0" fontId="5" fillId="7" borderId="57" xfId="1" applyFont="1" applyFill="1" applyBorder="1" applyAlignment="1">
      <alignment horizontal="center" vertical="center"/>
    </xf>
    <xf numFmtId="0" fontId="5" fillId="8" borderId="58" xfId="1" applyFont="1" applyFill="1" applyBorder="1" applyAlignment="1">
      <alignment horizontal="center" vertical="center"/>
    </xf>
    <xf numFmtId="0" fontId="5" fillId="5" borderId="59" xfId="1" applyFont="1" applyFill="1" applyBorder="1" applyAlignment="1">
      <alignment horizontal="center" vertical="center"/>
    </xf>
    <xf numFmtId="0" fontId="9" fillId="0" borderId="36" xfId="1" applyFont="1" applyBorder="1" applyAlignment="1">
      <alignment vertical="center"/>
    </xf>
    <xf numFmtId="0" fontId="10" fillId="5" borderId="59" xfId="2" applyFont="1" applyFill="1" applyBorder="1" applyAlignment="1">
      <alignment horizontal="center" vertical="center"/>
    </xf>
    <xf numFmtId="0" fontId="10" fillId="3" borderId="57" xfId="2" applyFont="1" applyFill="1" applyBorder="1" applyAlignment="1">
      <alignment horizontal="center" vertical="center"/>
    </xf>
    <xf numFmtId="0" fontId="10" fillId="7" borderId="57" xfId="2" applyFont="1" applyFill="1" applyBorder="1" applyAlignment="1">
      <alignment horizontal="center" vertical="center"/>
    </xf>
    <xf numFmtId="0" fontId="10" fillId="8" borderId="58" xfId="2" applyFont="1" applyFill="1" applyBorder="1" applyAlignment="1">
      <alignment horizontal="center" vertical="center"/>
    </xf>
    <xf numFmtId="0" fontId="9" fillId="0" borderId="36" xfId="2" applyFont="1" applyBorder="1">
      <alignment vertical="center"/>
    </xf>
    <xf numFmtId="0" fontId="10" fillId="5" borderId="53" xfId="2" applyFont="1" applyFill="1" applyBorder="1" applyAlignment="1">
      <alignment horizontal="center" vertical="center"/>
    </xf>
    <xf numFmtId="0" fontId="10" fillId="3" borderId="54" xfId="2" applyFont="1" applyFill="1" applyBorder="1" applyAlignment="1">
      <alignment horizontal="center" vertical="center"/>
    </xf>
    <xf numFmtId="0" fontId="10" fillId="7" borderId="54" xfId="2" applyFont="1" applyFill="1" applyBorder="1" applyAlignment="1">
      <alignment horizontal="center" vertical="center"/>
    </xf>
    <xf numFmtId="0" fontId="10" fillId="8" borderId="55" xfId="2" applyFont="1" applyFill="1" applyBorder="1" applyAlignment="1">
      <alignment horizontal="center" vertical="center"/>
    </xf>
    <xf numFmtId="0" fontId="9" fillId="0" borderId="25" xfId="2" applyFont="1" applyBorder="1">
      <alignment vertical="center"/>
    </xf>
    <xf numFmtId="0" fontId="10" fillId="8" borderId="32" xfId="2" applyFont="1" applyFill="1" applyBorder="1" applyAlignment="1">
      <alignment horizontal="center" vertical="center"/>
    </xf>
    <xf numFmtId="0" fontId="9" fillId="0" borderId="48" xfId="2" applyFont="1" applyBorder="1">
      <alignment vertical="center"/>
    </xf>
    <xf numFmtId="0" fontId="9" fillId="0" borderId="47" xfId="2" applyFont="1" applyBorder="1">
      <alignment vertical="center"/>
    </xf>
    <xf numFmtId="0" fontId="30" fillId="0" borderId="30" xfId="1" applyFont="1" applyBorder="1" applyAlignment="1">
      <alignment vertical="center"/>
    </xf>
    <xf numFmtId="0" fontId="12" fillId="5" borderId="53" xfId="2" applyFont="1" applyFill="1" applyBorder="1" applyAlignment="1">
      <alignment horizontal="center" vertical="center"/>
    </xf>
    <xf numFmtId="0" fontId="12" fillId="3" borderId="54" xfId="2" applyFont="1" applyFill="1" applyBorder="1" applyAlignment="1">
      <alignment horizontal="center" vertical="center"/>
    </xf>
    <xf numFmtId="0" fontId="12" fillId="7" borderId="54" xfId="2" applyFont="1" applyFill="1" applyBorder="1" applyAlignment="1">
      <alignment horizontal="center" vertical="center"/>
    </xf>
    <xf numFmtId="0" fontId="12" fillId="8" borderId="43" xfId="2" applyFont="1" applyFill="1" applyBorder="1" applyAlignment="1">
      <alignment horizontal="center" vertical="center"/>
    </xf>
    <xf numFmtId="0" fontId="10" fillId="8" borderId="43" xfId="2" applyFont="1" applyFill="1" applyBorder="1" applyAlignment="1">
      <alignment horizontal="center" vertical="center"/>
    </xf>
    <xf numFmtId="0" fontId="12" fillId="6" borderId="54" xfId="2" applyFont="1" applyFill="1" applyBorder="1" applyAlignment="1">
      <alignment horizontal="center" vertical="center"/>
    </xf>
    <xf numFmtId="0" fontId="10" fillId="6" borderId="54" xfId="2" applyFont="1" applyFill="1" applyBorder="1" applyAlignment="1">
      <alignment horizontal="center" vertical="center"/>
    </xf>
    <xf numFmtId="0" fontId="9" fillId="0" borderId="30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5" fillId="0" borderId="29" xfId="1" applyFont="1" applyBorder="1" applyAlignment="1">
      <alignment horizontal="center"/>
    </xf>
    <xf numFmtId="2" fontId="5" fillId="0" borderId="29" xfId="1" applyNumberFormat="1" applyFont="1" applyBorder="1" applyAlignment="1">
      <alignment horizontal="center"/>
    </xf>
    <xf numFmtId="2" fontId="11" fillId="0" borderId="38" xfId="1" applyNumberFormat="1" applyFont="1" applyBorder="1" applyAlignment="1">
      <alignment horizontal="center"/>
    </xf>
    <xf numFmtId="2" fontId="11" fillId="0" borderId="8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40" xfId="1" applyFont="1" applyBorder="1" applyAlignment="1">
      <alignment horizontal="center"/>
    </xf>
    <xf numFmtId="164" fontId="11" fillId="0" borderId="29" xfId="1" applyNumberFormat="1" applyFont="1" applyBorder="1" applyAlignment="1">
      <alignment horizontal="center"/>
    </xf>
    <xf numFmtId="2" fontId="5" fillId="0" borderId="17" xfId="1" applyNumberFormat="1" applyFont="1" applyBorder="1" applyAlignment="1">
      <alignment horizontal="center" vertical="center"/>
    </xf>
    <xf numFmtId="0" fontId="5" fillId="0" borderId="50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2" fontId="10" fillId="0" borderId="17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0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2" fontId="10" fillId="0" borderId="4" xfId="2" applyNumberFormat="1" applyFont="1" applyBorder="1" applyAlignment="1">
      <alignment horizontal="center" vertical="center"/>
    </xf>
    <xf numFmtId="2" fontId="10" fillId="0" borderId="39" xfId="2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42" xfId="1" applyNumberFormat="1" applyFont="1" applyBorder="1" applyAlignment="1">
      <alignment horizontal="center" vertical="center"/>
    </xf>
    <xf numFmtId="164" fontId="5" fillId="0" borderId="40" xfId="1" applyNumberFormat="1" applyFont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41" xfId="1" applyNumberFormat="1" applyFont="1" applyBorder="1" applyAlignment="1">
      <alignment horizontal="center" vertical="center"/>
    </xf>
    <xf numFmtId="164" fontId="5" fillId="0" borderId="44" xfId="1" applyNumberFormat="1" applyFont="1" applyBorder="1" applyAlignment="1">
      <alignment horizontal="center" vertical="center"/>
    </xf>
    <xf numFmtId="164" fontId="5" fillId="0" borderId="43" xfId="1" applyNumberFormat="1" applyFont="1" applyBorder="1" applyAlignment="1">
      <alignment horizontal="center" vertical="center"/>
    </xf>
    <xf numFmtId="164" fontId="5" fillId="0" borderId="49" xfId="1" applyNumberFormat="1" applyFont="1" applyBorder="1" applyAlignment="1">
      <alignment horizontal="center" vertical="center"/>
    </xf>
    <xf numFmtId="164" fontId="12" fillId="0" borderId="29" xfId="1" applyNumberFormat="1" applyFont="1" applyBorder="1" applyAlignment="1">
      <alignment horizontal="center" vertical="center"/>
    </xf>
    <xf numFmtId="2" fontId="12" fillId="0" borderId="7" xfId="1" applyNumberFormat="1" applyFont="1" applyBorder="1" applyAlignment="1">
      <alignment horizontal="center" vertical="center"/>
    </xf>
    <xf numFmtId="2" fontId="12" fillId="0" borderId="8" xfId="1" applyNumberFormat="1" applyFont="1" applyBorder="1" applyAlignment="1">
      <alignment horizontal="center" vertical="center"/>
    </xf>
    <xf numFmtId="2" fontId="12" fillId="0" borderId="40" xfId="1" applyNumberFormat="1" applyFont="1" applyBorder="1" applyAlignment="1">
      <alignment horizontal="center" vertical="center"/>
    </xf>
    <xf numFmtId="2" fontId="12" fillId="0" borderId="29" xfId="1" applyNumberFormat="1" applyFont="1" applyBorder="1" applyAlignment="1">
      <alignment horizontal="center" vertical="center"/>
    </xf>
    <xf numFmtId="164" fontId="12" fillId="0" borderId="7" xfId="1" applyNumberFormat="1" applyFont="1" applyBorder="1" applyAlignment="1">
      <alignment horizontal="center" vertical="center"/>
    </xf>
    <xf numFmtId="164" fontId="12" fillId="0" borderId="8" xfId="1" applyNumberFormat="1" applyFont="1" applyBorder="1" applyAlignment="1">
      <alignment horizontal="center" vertical="center"/>
    </xf>
    <xf numFmtId="164" fontId="12" fillId="0" borderId="40" xfId="1" applyNumberFormat="1" applyFont="1" applyBorder="1" applyAlignment="1">
      <alignment horizontal="center" vertical="center"/>
    </xf>
    <xf numFmtId="0" fontId="5" fillId="0" borderId="52" xfId="1" applyFont="1" applyBorder="1" applyAlignment="1">
      <alignment vertical="center"/>
    </xf>
    <xf numFmtId="0" fontId="5" fillId="0" borderId="62" xfId="1" applyFont="1" applyBorder="1" applyAlignment="1">
      <alignment horizontal="center"/>
    </xf>
    <xf numFmtId="2" fontId="5" fillId="0" borderId="62" xfId="1" applyNumberFormat="1" applyFont="1" applyBorder="1" applyAlignment="1">
      <alignment horizontal="center"/>
    </xf>
    <xf numFmtId="2" fontId="11" fillId="0" borderId="10" xfId="1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164" fontId="11" fillId="0" borderId="62" xfId="1" applyNumberFormat="1" applyFont="1" applyBorder="1" applyAlignment="1">
      <alignment horizontal="center"/>
    </xf>
    <xf numFmtId="2" fontId="5" fillId="0" borderId="10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2" fontId="10" fillId="0" borderId="10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2" fontId="10" fillId="0" borderId="63" xfId="2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22" xfId="1" applyNumberFormat="1" applyFont="1" applyBorder="1" applyAlignment="1">
      <alignment horizontal="center" vertical="center"/>
    </xf>
    <xf numFmtId="164" fontId="5" fillId="0" borderId="62" xfId="1" applyNumberFormat="1" applyFont="1" applyBorder="1" applyAlignment="1">
      <alignment horizontal="center" vertical="center"/>
    </xf>
    <xf numFmtId="164" fontId="5" fillId="0" borderId="51" xfId="1" applyNumberFormat="1" applyFont="1" applyBorder="1" applyAlignment="1">
      <alignment horizontal="center" vertical="center"/>
    </xf>
    <xf numFmtId="164" fontId="12" fillId="0" borderId="62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2" fontId="12" fillId="0" borderId="13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2" fontId="12" fillId="0" borderId="5" xfId="1" applyNumberFormat="1" applyFont="1" applyBorder="1" applyAlignment="1">
      <alignment horizontal="center" vertical="center"/>
    </xf>
    <xf numFmtId="2" fontId="12" fillId="0" borderId="62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2" fontId="12" fillId="6" borderId="1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2" fontId="12" fillId="3" borderId="1" xfId="1" applyNumberFormat="1" applyFont="1" applyFill="1" applyBorder="1" applyAlignment="1">
      <alignment horizontal="center" vertical="center"/>
    </xf>
    <xf numFmtId="164" fontId="12" fillId="6" borderId="1" xfId="1" applyNumberFormat="1" applyFont="1" applyFill="1" applyBorder="1" applyAlignment="1">
      <alignment horizontal="center" vertical="center"/>
    </xf>
    <xf numFmtId="4" fontId="12" fillId="0" borderId="0" xfId="1" applyNumberFormat="1" applyFont="1" applyAlignment="1">
      <alignment horizontal="center"/>
    </xf>
    <xf numFmtId="164" fontId="12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46" xfId="1" applyFont="1" applyBorder="1" applyAlignment="1">
      <alignment vertical="center"/>
    </xf>
    <xf numFmtId="0" fontId="5" fillId="0" borderId="30" xfId="1" applyFont="1" applyBorder="1" applyAlignment="1">
      <alignment horizontal="center"/>
    </xf>
    <xf numFmtId="2" fontId="5" fillId="0" borderId="30" xfId="1" applyNumberFormat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2" fontId="5" fillId="0" borderId="39" xfId="1" applyNumberFormat="1" applyFont="1" applyBorder="1" applyAlignment="1">
      <alignment horizontal="center"/>
    </xf>
    <xf numFmtId="2" fontId="10" fillId="0" borderId="1" xfId="2" applyNumberFormat="1" applyFont="1" applyBorder="1" applyAlignment="1">
      <alignment horizontal="center" vertical="center"/>
    </xf>
    <xf numFmtId="0" fontId="5" fillId="0" borderId="60" xfId="1" applyFont="1" applyBorder="1" applyAlignment="1">
      <alignment horizontal="center"/>
    </xf>
    <xf numFmtId="0" fontId="5" fillId="0" borderId="24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2" fontId="5" fillId="0" borderId="25" xfId="1" applyNumberFormat="1" applyFont="1" applyBorder="1" applyAlignment="1">
      <alignment horizontal="center"/>
    </xf>
    <xf numFmtId="2" fontId="11" fillId="0" borderId="15" xfId="1" applyNumberFormat="1" applyFont="1" applyBorder="1" applyAlignment="1">
      <alignment horizontal="center" vertical="center"/>
    </xf>
    <xf numFmtId="2" fontId="11" fillId="0" borderId="3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64" xfId="1" applyFont="1" applyBorder="1" applyAlignment="1">
      <alignment horizontal="center" vertical="center"/>
    </xf>
    <xf numFmtId="2" fontId="10" fillId="0" borderId="13" xfId="2" applyNumberFormat="1" applyFont="1" applyBorder="1" applyAlignment="1">
      <alignment horizontal="center" vertical="center"/>
    </xf>
    <xf numFmtId="2" fontId="5" fillId="0" borderId="60" xfId="1" applyNumberFormat="1" applyFont="1" applyBorder="1" applyAlignment="1">
      <alignment horizontal="center"/>
    </xf>
    <xf numFmtId="2" fontId="11" fillId="0" borderId="11" xfId="1" applyNumberFormat="1" applyFont="1" applyBorder="1" applyAlignment="1">
      <alignment horizontal="center" vertical="center"/>
    </xf>
    <xf numFmtId="2" fontId="11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/>
    </xf>
    <xf numFmtId="164" fontId="11" fillId="0" borderId="60" xfId="1" applyNumberFormat="1" applyFont="1" applyBorder="1" applyAlignment="1">
      <alignment horizontal="center"/>
    </xf>
    <xf numFmtId="2" fontId="5" fillId="0" borderId="11" xfId="1" applyNumberFormat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2" fontId="10" fillId="0" borderId="11" xfId="2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65" xfId="2" applyFont="1" applyBorder="1" applyAlignment="1">
      <alignment horizontal="center" vertical="center"/>
    </xf>
    <xf numFmtId="2" fontId="10" fillId="0" borderId="52" xfId="2" applyNumberFormat="1" applyFont="1" applyBorder="1" applyAlignment="1">
      <alignment horizontal="center" vertical="center"/>
    </xf>
    <xf numFmtId="164" fontId="5" fillId="0" borderId="66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61" xfId="1" applyNumberFormat="1" applyFont="1" applyBorder="1" applyAlignment="1">
      <alignment horizontal="center" vertical="center"/>
    </xf>
    <xf numFmtId="164" fontId="5" fillId="0" borderId="65" xfId="1" applyNumberFormat="1" applyFont="1" applyBorder="1" applyAlignment="1">
      <alignment horizontal="center" vertical="center"/>
    </xf>
    <xf numFmtId="0" fontId="5" fillId="0" borderId="24" xfId="1" applyFont="1" applyBorder="1" applyAlignment="1">
      <alignment horizontal="center"/>
    </xf>
    <xf numFmtId="2" fontId="5" fillId="0" borderId="66" xfId="1" applyNumberFormat="1" applyFont="1" applyBorder="1" applyAlignment="1">
      <alignment horizontal="center" vertical="center"/>
    </xf>
    <xf numFmtId="2" fontId="10" fillId="0" borderId="66" xfId="2" applyNumberFormat="1" applyFont="1" applyBorder="1" applyAlignment="1">
      <alignment horizontal="center" vertical="center"/>
    </xf>
    <xf numFmtId="2" fontId="10" fillId="0" borderId="25" xfId="2" applyNumberFormat="1" applyFont="1" applyBorder="1" applyAlignment="1">
      <alignment horizontal="center" vertical="center"/>
    </xf>
    <xf numFmtId="2" fontId="12" fillId="24" borderId="13" xfId="1" applyNumberFormat="1" applyFont="1" applyFill="1" applyBorder="1" applyAlignment="1">
      <alignment horizontal="center" vertical="center"/>
    </xf>
    <xf numFmtId="2" fontId="12" fillId="24" borderId="1" xfId="1" applyNumberFormat="1" applyFont="1" applyFill="1" applyBorder="1" applyAlignment="1">
      <alignment horizontal="center" vertical="center"/>
    </xf>
    <xf numFmtId="2" fontId="12" fillId="24" borderId="5" xfId="1" applyNumberFormat="1" applyFont="1" applyFill="1" applyBorder="1" applyAlignment="1">
      <alignment horizontal="center" vertical="center"/>
    </xf>
    <xf numFmtId="0" fontId="5" fillId="0" borderId="67" xfId="1" applyFont="1" applyBorder="1" applyAlignment="1">
      <alignment vertical="center"/>
    </xf>
    <xf numFmtId="164" fontId="11" fillId="0" borderId="25" xfId="1" applyNumberFormat="1" applyFont="1" applyBorder="1" applyAlignment="1">
      <alignment horizontal="center"/>
    </xf>
    <xf numFmtId="2" fontId="5" fillId="0" borderId="68" xfId="1" applyNumberFormat="1" applyFont="1" applyBorder="1" applyAlignment="1">
      <alignment horizontal="center" vertical="center"/>
    </xf>
    <xf numFmtId="0" fontId="5" fillId="0" borderId="64" xfId="1" applyFont="1" applyBorder="1" applyAlignment="1">
      <alignment horizontal="center" vertical="center"/>
    </xf>
    <xf numFmtId="2" fontId="10" fillId="0" borderId="68" xfId="2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6" xfId="2" applyFont="1" applyBorder="1" applyAlignment="1">
      <alignment horizontal="center" vertical="center"/>
    </xf>
    <xf numFmtId="164" fontId="5" fillId="0" borderId="39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/>
    </xf>
    <xf numFmtId="2" fontId="10" fillId="0" borderId="1" xfId="1" applyNumberFormat="1" applyFont="1" applyBorder="1" applyAlignment="1">
      <alignment horizontal="center" vertical="center"/>
    </xf>
    <xf numFmtId="164" fontId="10" fillId="6" borderId="1" xfId="1" applyNumberFormat="1" applyFont="1" applyFill="1" applyBorder="1" applyAlignment="1">
      <alignment horizontal="center" vertical="center"/>
    </xf>
    <xf numFmtId="164" fontId="12" fillId="0" borderId="66" xfId="1" applyNumberFormat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164" fontId="12" fillId="0" borderId="65" xfId="1" applyNumberFormat="1" applyFont="1" applyBorder="1" applyAlignment="1">
      <alignment horizontal="center" vertical="center"/>
    </xf>
    <xf numFmtId="2" fontId="5" fillId="0" borderId="36" xfId="1" applyNumberFormat="1" applyFont="1" applyBorder="1" applyAlignment="1">
      <alignment horizontal="center"/>
    </xf>
    <xf numFmtId="2" fontId="11" fillId="0" borderId="10" xfId="1" applyNumberFormat="1" applyFont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2" fontId="10" fillId="0" borderId="6" xfId="2" applyNumberFormat="1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2" fontId="10" fillId="0" borderId="62" xfId="2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2" fontId="10" fillId="0" borderId="60" xfId="2" applyNumberFormat="1" applyFont="1" applyBorder="1" applyAlignment="1">
      <alignment horizontal="center" vertical="center"/>
    </xf>
    <xf numFmtId="164" fontId="5" fillId="0" borderId="68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64" xfId="1" applyNumberFormat="1" applyFont="1" applyBorder="1" applyAlignment="1">
      <alignment horizontal="center" vertical="center"/>
    </xf>
    <xf numFmtId="164" fontId="5" fillId="0" borderId="25" xfId="1" applyNumberFormat="1" applyFont="1" applyBorder="1" applyAlignment="1">
      <alignment horizontal="center" vertical="center"/>
    </xf>
    <xf numFmtId="164" fontId="5" fillId="0" borderId="16" xfId="1" applyNumberFormat="1" applyFont="1" applyBorder="1" applyAlignment="1">
      <alignment horizontal="center" vertical="center"/>
    </xf>
    <xf numFmtId="2" fontId="12" fillId="0" borderId="66" xfId="1" applyNumberFormat="1" applyFont="1" applyBorder="1" applyAlignment="1">
      <alignment horizontal="center" vertical="center"/>
    </xf>
    <xf numFmtId="2" fontId="12" fillId="0" borderId="2" xfId="1" applyNumberFormat="1" applyFont="1" applyBorder="1" applyAlignment="1">
      <alignment horizontal="center" vertical="center"/>
    </xf>
    <xf numFmtId="2" fontId="12" fillId="0" borderId="65" xfId="1" applyNumberFormat="1" applyFont="1" applyBorder="1" applyAlignment="1">
      <alignment horizontal="center" vertical="center"/>
    </xf>
    <xf numFmtId="2" fontId="12" fillId="0" borderId="30" xfId="1" applyNumberFormat="1" applyFont="1" applyBorder="1" applyAlignment="1">
      <alignment horizontal="center" vertical="center"/>
    </xf>
    <xf numFmtId="2" fontId="12" fillId="3" borderId="2" xfId="1" applyNumberFormat="1" applyFont="1" applyFill="1" applyBorder="1" applyAlignment="1">
      <alignment horizontal="center" vertical="center"/>
    </xf>
    <xf numFmtId="2" fontId="12" fillId="3" borderId="66" xfId="1" applyNumberFormat="1" applyFont="1" applyFill="1" applyBorder="1" applyAlignment="1">
      <alignment horizontal="center" vertical="center"/>
    </xf>
    <xf numFmtId="2" fontId="12" fillId="6" borderId="2" xfId="1" applyNumberFormat="1" applyFont="1" applyFill="1" applyBorder="1" applyAlignment="1">
      <alignment horizontal="center" vertical="center"/>
    </xf>
    <xf numFmtId="164" fontId="12" fillId="0" borderId="30" xfId="1" applyNumberFormat="1" applyFont="1" applyBorder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/>
    </xf>
    <xf numFmtId="164" fontId="5" fillId="0" borderId="30" xfId="1" applyNumberFormat="1" applyFont="1" applyBorder="1" applyAlignment="1">
      <alignment horizontal="center" vertical="center"/>
    </xf>
    <xf numFmtId="0" fontId="9" fillId="0" borderId="33" xfId="1" applyFont="1" applyBorder="1"/>
    <xf numFmtId="0" fontId="9" fillId="0" borderId="32" xfId="1" applyFont="1" applyBorder="1"/>
    <xf numFmtId="4" fontId="9" fillId="0" borderId="67" xfId="1" applyNumberFormat="1" applyFont="1" applyBorder="1" applyAlignment="1">
      <alignment horizontal="center"/>
    </xf>
    <xf numFmtId="4" fontId="9" fillId="0" borderId="56" xfId="1" applyNumberFormat="1" applyFont="1" applyBorder="1" applyAlignment="1">
      <alignment horizontal="center" vertical="center"/>
    </xf>
    <xf numFmtId="4" fontId="9" fillId="0" borderId="57" xfId="1" applyNumberFormat="1" applyFont="1" applyBorder="1" applyAlignment="1">
      <alignment horizontal="center" vertical="center"/>
    </xf>
    <xf numFmtId="4" fontId="9" fillId="0" borderId="58" xfId="1" applyNumberFormat="1" applyFont="1" applyBorder="1" applyAlignment="1">
      <alignment horizontal="center" vertical="center"/>
    </xf>
    <xf numFmtId="4" fontId="9" fillId="0" borderId="59" xfId="1" applyNumberFormat="1" applyFont="1" applyBorder="1" applyAlignment="1">
      <alignment horizontal="center" vertical="center"/>
    </xf>
    <xf numFmtId="4" fontId="9" fillId="0" borderId="67" xfId="1" applyNumberFormat="1" applyFont="1" applyBorder="1" applyAlignment="1">
      <alignment horizontal="center" vertical="center"/>
    </xf>
    <xf numFmtId="4" fontId="9" fillId="0" borderId="59" xfId="2" applyNumberFormat="1" applyFont="1" applyBorder="1" applyAlignment="1">
      <alignment horizontal="center" vertical="center"/>
    </xf>
    <xf numFmtId="4" fontId="9" fillId="0" borderId="57" xfId="2" applyNumberFormat="1" applyFont="1" applyBorder="1" applyAlignment="1">
      <alignment horizontal="center" vertical="center"/>
    </xf>
    <xf numFmtId="4" fontId="9" fillId="0" borderId="32" xfId="2" applyNumberFormat="1" applyFont="1" applyBorder="1" applyAlignment="1">
      <alignment horizontal="center" vertical="center"/>
    </xf>
    <xf numFmtId="4" fontId="9" fillId="0" borderId="31" xfId="1" applyNumberFormat="1" applyFont="1" applyBorder="1" applyAlignment="1">
      <alignment horizontal="center" vertical="center"/>
    </xf>
    <xf numFmtId="4" fontId="9" fillId="0" borderId="33" xfId="1" applyNumberFormat="1" applyFont="1" applyBorder="1" applyAlignment="1">
      <alignment horizontal="center" vertical="center"/>
    </xf>
    <xf numFmtId="4" fontId="6" fillId="0" borderId="59" xfId="1" applyNumberFormat="1" applyFont="1" applyBorder="1" applyAlignment="1">
      <alignment horizontal="center" vertical="center"/>
    </xf>
    <xf numFmtId="4" fontId="6" fillId="0" borderId="57" xfId="1" applyNumberFormat="1" applyFont="1" applyBorder="1" applyAlignment="1">
      <alignment horizontal="center" vertical="center"/>
    </xf>
    <xf numFmtId="4" fontId="6" fillId="0" borderId="32" xfId="1" applyNumberFormat="1" applyFont="1" applyBorder="1" applyAlignment="1">
      <alignment horizontal="center" vertical="center"/>
    </xf>
    <xf numFmtId="4" fontId="6" fillId="0" borderId="31" xfId="1" applyNumberFormat="1" applyFont="1" applyBorder="1" applyAlignment="1">
      <alignment horizontal="center" vertical="center"/>
    </xf>
    <xf numFmtId="4" fontId="6" fillId="0" borderId="33" xfId="1" applyNumberFormat="1" applyFont="1" applyBorder="1" applyAlignment="1">
      <alignment horizontal="center" vertical="center"/>
    </xf>
    <xf numFmtId="4" fontId="13" fillId="0" borderId="67" xfId="1" applyNumberFormat="1" applyFont="1" applyBorder="1" applyAlignment="1">
      <alignment horizontal="center" vertical="center"/>
    </xf>
    <xf numFmtId="4" fontId="13" fillId="0" borderId="59" xfId="1" applyNumberFormat="1" applyFont="1" applyBorder="1" applyAlignment="1">
      <alignment horizontal="center" vertical="center"/>
    </xf>
    <xf numFmtId="4" fontId="13" fillId="0" borderId="57" xfId="1" applyNumberFormat="1" applyFont="1" applyBorder="1" applyAlignment="1">
      <alignment horizontal="center" vertical="center"/>
    </xf>
    <xf numFmtId="165" fontId="13" fillId="0" borderId="59" xfId="1" applyNumberFormat="1" applyFont="1" applyBorder="1" applyAlignment="1">
      <alignment horizontal="center" vertical="center"/>
    </xf>
    <xf numFmtId="165" fontId="13" fillId="0" borderId="57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57" xfId="1" applyNumberFormat="1" applyFont="1" applyBorder="1" applyAlignment="1">
      <alignment horizontal="center" vertical="center"/>
    </xf>
    <xf numFmtId="4" fontId="6" fillId="0" borderId="67" xfId="1" applyNumberFormat="1" applyFont="1" applyBorder="1" applyAlignment="1">
      <alignment horizontal="center" vertical="center"/>
    </xf>
    <xf numFmtId="166" fontId="5" fillId="0" borderId="0" xfId="1" applyNumberFormat="1" applyFont="1"/>
    <xf numFmtId="0" fontId="36" fillId="0" borderId="0" xfId="1" applyFont="1"/>
    <xf numFmtId="4" fontId="1" fillId="0" borderId="0" xfId="0" applyNumberFormat="1" applyFont="1"/>
    <xf numFmtId="0" fontId="37" fillId="0" borderId="0" xfId="0" applyFont="1"/>
    <xf numFmtId="17" fontId="1" fillId="0" borderId="0" xfId="0" applyNumberFormat="1" applyFont="1" applyAlignment="1">
      <alignment horizontal="left"/>
    </xf>
    <xf numFmtId="4" fontId="1" fillId="0" borderId="36" xfId="0" applyNumberFormat="1" applyFont="1" applyBorder="1"/>
    <xf numFmtId="4" fontId="0" fillId="0" borderId="62" xfId="0" applyNumberFormat="1" applyBorder="1"/>
    <xf numFmtId="0" fontId="17" fillId="0" borderId="0" xfId="0" applyFont="1" applyAlignment="1">
      <alignment wrapText="1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2" fillId="7" borderId="55" xfId="2" applyFont="1" applyFill="1" applyBorder="1" applyAlignment="1">
      <alignment horizontal="center" vertical="center"/>
    </xf>
    <xf numFmtId="165" fontId="13" fillId="0" borderId="58" xfId="1" applyNumberFormat="1" applyFont="1" applyBorder="1" applyAlignment="1">
      <alignment horizontal="center" vertical="center"/>
    </xf>
    <xf numFmtId="0" fontId="30" fillId="0" borderId="0" xfId="1" applyFont="1" applyAlignment="1">
      <alignment vertical="center"/>
    </xf>
    <xf numFmtId="0" fontId="30" fillId="0" borderId="34" xfId="1" applyFont="1" applyBorder="1" applyAlignment="1">
      <alignment vertical="center"/>
    </xf>
    <xf numFmtId="0" fontId="30" fillId="0" borderId="37" xfId="1" applyFont="1" applyBorder="1" applyAlignment="1">
      <alignment vertical="center"/>
    </xf>
    <xf numFmtId="164" fontId="12" fillId="0" borderId="34" xfId="1" applyNumberFormat="1" applyFont="1" applyBorder="1" applyAlignment="1">
      <alignment horizontal="center" vertical="center"/>
    </xf>
    <xf numFmtId="164" fontId="12" fillId="0" borderId="6" xfId="1" applyNumberFormat="1" applyFont="1" applyBorder="1" applyAlignment="1">
      <alignment horizontal="center" vertical="center"/>
    </xf>
    <xf numFmtId="164" fontId="12" fillId="0" borderId="37" xfId="1" applyNumberFormat="1" applyFont="1" applyBorder="1" applyAlignment="1">
      <alignment horizontal="center" vertical="center"/>
    </xf>
    <xf numFmtId="4" fontId="13" fillId="0" borderId="31" xfId="1" applyNumberFormat="1" applyFont="1" applyBorder="1" applyAlignment="1">
      <alignment horizontal="center" vertical="center"/>
    </xf>
    <xf numFmtId="0" fontId="5" fillId="0" borderId="71" xfId="1" applyFont="1" applyBorder="1"/>
    <xf numFmtId="0" fontId="33" fillId="0" borderId="71" xfId="1" applyFont="1" applyBorder="1"/>
    <xf numFmtId="0" fontId="10" fillId="5" borderId="73" xfId="2" applyFont="1" applyFill="1" applyBorder="1" applyAlignment="1">
      <alignment horizontal="center" vertical="center"/>
    </xf>
    <xf numFmtId="164" fontId="5" fillId="0" borderId="74" xfId="1" applyNumberFormat="1" applyFont="1" applyBorder="1" applyAlignment="1">
      <alignment horizontal="center" vertical="center"/>
    </xf>
    <xf numFmtId="164" fontId="5" fillId="0" borderId="75" xfId="1" applyNumberFormat="1" applyFont="1" applyBorder="1" applyAlignment="1">
      <alignment horizontal="center" vertical="center"/>
    </xf>
    <xf numFmtId="164" fontId="5" fillId="0" borderId="76" xfId="1" applyNumberFormat="1" applyFont="1" applyBorder="1" applyAlignment="1">
      <alignment horizontal="center" vertical="center"/>
    </xf>
    <xf numFmtId="165" fontId="6" fillId="0" borderId="72" xfId="1" applyNumberFormat="1" applyFont="1" applyBorder="1" applyAlignment="1">
      <alignment horizontal="center" vertical="center"/>
    </xf>
    <xf numFmtId="0" fontId="21" fillId="14" borderId="1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4" fontId="5" fillId="0" borderId="0" xfId="1" applyNumberFormat="1" applyFont="1"/>
    <xf numFmtId="164" fontId="19" fillId="7" borderId="3" xfId="0" applyNumberFormat="1" applyFont="1" applyFill="1" applyBorder="1" applyAlignment="1">
      <alignment horizontal="center" vertical="center"/>
    </xf>
    <xf numFmtId="164" fontId="19" fillId="8" borderId="3" xfId="0" applyNumberFormat="1" applyFont="1" applyFill="1" applyBorder="1" applyAlignment="1">
      <alignment horizontal="center" vertical="center"/>
    </xf>
    <xf numFmtId="164" fontId="19" fillId="8" borderId="3" xfId="0" applyNumberFormat="1" applyFont="1" applyFill="1" applyBorder="1" applyAlignment="1">
      <alignment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164" fontId="19" fillId="8" borderId="2" xfId="0" applyNumberFormat="1" applyFont="1" applyFill="1" applyBorder="1" applyAlignment="1">
      <alignment horizontal="center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7" borderId="2" xfId="0" applyNumberFormat="1" applyFont="1" applyFill="1" applyBorder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164" fontId="19" fillId="8" borderId="1" xfId="0" applyNumberFormat="1" applyFont="1" applyFill="1" applyBorder="1" applyAlignment="1">
      <alignment horizontal="center" vertical="center"/>
    </xf>
    <xf numFmtId="0" fontId="30" fillId="0" borderId="43" xfId="1" applyFont="1" applyBorder="1" applyAlignment="1">
      <alignment vertical="center"/>
    </xf>
    <xf numFmtId="164" fontId="12" fillId="0" borderId="26" xfId="1" applyNumberFormat="1" applyFont="1" applyBorder="1" applyAlignment="1">
      <alignment horizontal="center" vertical="center"/>
    </xf>
    <xf numFmtId="4" fontId="2" fillId="0" borderId="0" xfId="0" applyNumberFormat="1" applyFont="1"/>
    <xf numFmtId="4" fontId="0" fillId="0" borderId="5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4" fontId="0" fillId="0" borderId="4" xfId="0" applyNumberFormat="1" applyBorder="1" applyAlignment="1">
      <alignment wrapText="1"/>
    </xf>
    <xf numFmtId="4" fontId="0" fillId="0" borderId="4" xfId="0" applyNumberFormat="1" applyBorder="1"/>
    <xf numFmtId="0" fontId="17" fillId="0" borderId="0" xfId="0" applyFont="1" applyAlignment="1">
      <alignment horizontal="left" wrapText="1"/>
    </xf>
    <xf numFmtId="4" fontId="0" fillId="0" borderId="50" xfId="0" applyNumberFormat="1" applyBorder="1" applyAlignment="1">
      <alignment wrapText="1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2" fontId="1" fillId="0" borderId="27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wrapText="1"/>
    </xf>
    <xf numFmtId="4" fontId="1" fillId="0" borderId="58" xfId="0" applyNumberFormat="1" applyFont="1" applyBorder="1" applyAlignment="1">
      <alignment wrapText="1"/>
    </xf>
    <xf numFmtId="4" fontId="1" fillId="0" borderId="59" xfId="0" applyNumberFormat="1" applyFont="1" applyBorder="1" applyAlignment="1">
      <alignment wrapText="1"/>
    </xf>
    <xf numFmtId="4" fontId="1" fillId="0" borderId="57" xfId="0" applyNumberFormat="1" applyFont="1" applyBorder="1" applyAlignment="1">
      <alignment wrapText="1"/>
    </xf>
    <xf numFmtId="4" fontId="1" fillId="0" borderId="57" xfId="0" applyNumberFormat="1" applyFont="1" applyBorder="1"/>
    <xf numFmtId="4" fontId="1" fillId="0" borderId="69" xfId="0" applyNumberFormat="1" applyFont="1" applyBorder="1" applyAlignment="1">
      <alignment wrapText="1"/>
    </xf>
    <xf numFmtId="4" fontId="1" fillId="0" borderId="69" xfId="0" applyNumberFormat="1" applyFont="1" applyBorder="1"/>
    <xf numFmtId="4" fontId="1" fillId="0" borderId="31" xfId="0" applyNumberFormat="1" applyFont="1" applyBorder="1"/>
    <xf numFmtId="0" fontId="1" fillId="23" borderId="2" xfId="0" applyFont="1" applyFill="1" applyBorder="1" applyAlignment="1">
      <alignment horizontal="center" vertical="center" wrapText="1"/>
    </xf>
    <xf numFmtId="4" fontId="0" fillId="23" borderId="4" xfId="0" applyNumberFormat="1" applyFill="1" applyBorder="1"/>
    <xf numFmtId="4" fontId="0" fillId="23" borderId="1" xfId="0" applyNumberFormat="1" applyFill="1" applyBorder="1"/>
    <xf numFmtId="0" fontId="1" fillId="27" borderId="66" xfId="0" applyFont="1" applyFill="1" applyBorder="1" applyAlignment="1">
      <alignment horizontal="center" vertical="center" wrapText="1"/>
    </xf>
    <xf numFmtId="4" fontId="1" fillId="27" borderId="59" xfId="0" applyNumberFormat="1" applyFont="1" applyFill="1" applyBorder="1"/>
    <xf numFmtId="4" fontId="0" fillId="27" borderId="4" xfId="0" applyNumberFormat="1" applyFill="1" applyBorder="1"/>
    <xf numFmtId="4" fontId="0" fillId="27" borderId="1" xfId="0" applyNumberFormat="1" applyFill="1" applyBorder="1"/>
    <xf numFmtId="0" fontId="1" fillId="28" borderId="66" xfId="0" applyFont="1" applyFill="1" applyBorder="1" applyAlignment="1">
      <alignment horizontal="center" vertical="center" wrapText="1"/>
    </xf>
    <xf numFmtId="4" fontId="1" fillId="28" borderId="59" xfId="0" applyNumberFormat="1" applyFont="1" applyFill="1" applyBorder="1"/>
    <xf numFmtId="4" fontId="0" fillId="28" borderId="4" xfId="0" applyNumberFormat="1" applyFill="1" applyBorder="1"/>
    <xf numFmtId="4" fontId="0" fillId="28" borderId="1" xfId="0" applyNumberFormat="1" applyFill="1" applyBorder="1"/>
    <xf numFmtId="4" fontId="0" fillId="25" borderId="4" xfId="0" applyNumberFormat="1" applyFill="1" applyBorder="1"/>
    <xf numFmtId="4" fontId="0" fillId="25" borderId="1" xfId="0" applyNumberFormat="1" applyFill="1" applyBorder="1"/>
    <xf numFmtId="0" fontId="1" fillId="25" borderId="66" xfId="0" applyFont="1" applyFill="1" applyBorder="1" applyAlignment="1">
      <alignment horizontal="center" vertical="center" wrapText="1"/>
    </xf>
    <xf numFmtId="4" fontId="1" fillId="25" borderId="59" xfId="0" applyNumberFormat="1" applyFont="1" applyFill="1" applyBorder="1"/>
    <xf numFmtId="0" fontId="29" fillId="0" borderId="0" xfId="0" applyFon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10" fontId="0" fillId="0" borderId="0" xfId="0" applyNumberFormat="1"/>
    <xf numFmtId="10" fontId="0" fillId="0" borderId="31" xfId="0" applyNumberFormat="1" applyBorder="1"/>
    <xf numFmtId="10" fontId="0" fillId="0" borderId="32" xfId="0" applyNumberFormat="1" applyBorder="1"/>
    <xf numFmtId="0" fontId="1" fillId="23" borderId="57" xfId="0" applyFont="1" applyFill="1" applyBorder="1" applyAlignment="1">
      <alignment horizontal="center" vertical="center" wrapText="1"/>
    </xf>
    <xf numFmtId="0" fontId="1" fillId="27" borderId="59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28" borderId="59" xfId="0" applyFont="1" applyFill="1" applyBorder="1" applyAlignment="1">
      <alignment horizontal="center" vertical="center" wrapText="1"/>
    </xf>
    <xf numFmtId="0" fontId="1" fillId="25" borderId="59" xfId="0" applyFon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10" fontId="0" fillId="0" borderId="2" xfId="0" applyNumberFormat="1" applyBorder="1"/>
    <xf numFmtId="10" fontId="0" fillId="0" borderId="4" xfId="0" applyNumberFormat="1" applyBorder="1"/>
    <xf numFmtId="10" fontId="0" fillId="0" borderId="1" xfId="0" applyNumberFormat="1" applyBorder="1"/>
    <xf numFmtId="10" fontId="0" fillId="0" borderId="57" xfId="0" applyNumberFormat="1" applyBorder="1"/>
    <xf numFmtId="4" fontId="1" fillId="28" borderId="57" xfId="0" applyNumberFormat="1" applyFont="1" applyFill="1" applyBorder="1"/>
    <xf numFmtId="4" fontId="1" fillId="25" borderId="57" xfId="0" applyNumberFormat="1" applyFont="1" applyFill="1" applyBorder="1"/>
    <xf numFmtId="10" fontId="0" fillId="0" borderId="69" xfId="0" applyNumberFormat="1" applyBorder="1"/>
    <xf numFmtId="4" fontId="1" fillId="27" borderId="57" xfId="0" applyNumberFormat="1" applyFont="1" applyFill="1" applyBorder="1"/>
    <xf numFmtId="4" fontId="0" fillId="0" borderId="2" xfId="0" applyNumberFormat="1" applyBorder="1"/>
    <xf numFmtId="4" fontId="0" fillId="25" borderId="2" xfId="0" applyNumberForma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164" fontId="19" fillId="5" borderId="2" xfId="0" applyNumberFormat="1" applyFont="1" applyFill="1" applyBorder="1" applyAlignment="1">
      <alignment horizontal="center" vertical="center"/>
    </xf>
    <xf numFmtId="164" fontId="19" fillId="5" borderId="4" xfId="0" applyNumberFormat="1" applyFont="1" applyFill="1" applyBorder="1" applyAlignment="1">
      <alignment horizontal="center" vertical="center"/>
    </xf>
    <xf numFmtId="164" fontId="19" fillId="3" borderId="2" xfId="0" applyNumberFormat="1" applyFont="1" applyFill="1" applyBorder="1" applyAlignment="1">
      <alignment horizontal="center" vertical="center"/>
    </xf>
    <xf numFmtId="164" fontId="19" fillId="3" borderId="4" xfId="0" applyNumberFormat="1" applyFont="1" applyFill="1" applyBorder="1" applyAlignment="1">
      <alignment horizontal="center" vertical="center"/>
    </xf>
    <xf numFmtId="164" fontId="19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wrapText="1"/>
    </xf>
    <xf numFmtId="1" fontId="1" fillId="0" borderId="65" xfId="0" applyNumberFormat="1" applyFont="1" applyBorder="1" applyAlignment="1">
      <alignment horizontal="center" wrapText="1"/>
    </xf>
    <xf numFmtId="4" fontId="1" fillId="29" borderId="66" xfId="0" applyNumberFormat="1" applyFont="1" applyFill="1" applyBorder="1" applyAlignment="1">
      <alignment horizontal="center" wrapText="1"/>
    </xf>
    <xf numFmtId="1" fontId="1" fillId="29" borderId="2" xfId="0" applyNumberFormat="1" applyFont="1" applyFill="1" applyBorder="1" applyAlignment="1">
      <alignment horizontal="center" wrapText="1"/>
    </xf>
    <xf numFmtId="4" fontId="1" fillId="29" borderId="2" xfId="0" applyNumberFormat="1" applyFont="1" applyFill="1" applyBorder="1" applyAlignment="1">
      <alignment horizontal="center" wrapText="1"/>
    </xf>
    <xf numFmtId="4" fontId="1" fillId="23" borderId="2" xfId="0" applyNumberFormat="1" applyFont="1" applyFill="1" applyBorder="1" applyAlignment="1">
      <alignment horizontal="center" wrapText="1"/>
    </xf>
    <xf numFmtId="1" fontId="1" fillId="23" borderId="2" xfId="0" applyNumberFormat="1" applyFont="1" applyFill="1" applyBorder="1" applyAlignment="1">
      <alignment horizontal="center" wrapText="1"/>
    </xf>
    <xf numFmtId="4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7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1" fillId="29" borderId="2" xfId="0" applyNumberFormat="1" applyFont="1" applyFill="1" applyBorder="1" applyAlignment="1">
      <alignment horizontal="center" wrapText="1"/>
    </xf>
    <xf numFmtId="3" fontId="1" fillId="23" borderId="2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1" fontId="0" fillId="0" borderId="40" xfId="0" applyNumberFormat="1" applyBorder="1" applyAlignment="1">
      <alignment horizontal="center"/>
    </xf>
    <xf numFmtId="4" fontId="0" fillId="29" borderId="7" xfId="0" applyNumberFormat="1" applyFill="1" applyBorder="1"/>
    <xf numFmtId="1" fontId="0" fillId="29" borderId="8" xfId="0" applyNumberFormat="1" applyFill="1" applyBorder="1" applyAlignment="1">
      <alignment horizontal="center"/>
    </xf>
    <xf numFmtId="4" fontId="0" fillId="29" borderId="8" xfId="0" applyNumberFormat="1" applyFill="1" applyBorder="1"/>
    <xf numFmtId="4" fontId="0" fillId="23" borderId="8" xfId="0" applyNumberFormat="1" applyFill="1" applyBorder="1"/>
    <xf numFmtId="1" fontId="0" fillId="23" borderId="8" xfId="0" applyNumberFormat="1" applyFill="1" applyBorder="1" applyAlignment="1">
      <alignment horizontal="center"/>
    </xf>
    <xf numFmtId="4" fontId="0" fillId="0" borderId="8" xfId="0" applyNumberFormat="1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3" xfId="0" applyBorder="1"/>
    <xf numFmtId="3" fontId="0" fillId="29" borderId="8" xfId="0" applyNumberFormat="1" applyFill="1" applyBorder="1" applyAlignment="1">
      <alignment horizontal="center"/>
    </xf>
    <xf numFmtId="3" fontId="0" fillId="23" borderId="8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4" fontId="0" fillId="29" borderId="13" xfId="0" applyNumberFormat="1" applyFill="1" applyBorder="1"/>
    <xf numFmtId="1" fontId="0" fillId="29" borderId="1" xfId="0" applyNumberFormat="1" applyFill="1" applyBorder="1" applyAlignment="1">
      <alignment horizontal="center"/>
    </xf>
    <xf numFmtId="4" fontId="0" fillId="29" borderId="1" xfId="0" applyNumberFormat="1" applyFill="1" applyBorder="1"/>
    <xf numFmtId="1" fontId="0" fillId="2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3" fontId="0" fillId="29" borderId="1" xfId="0" applyNumberFormat="1" applyFill="1" applyBorder="1" applyAlignment="1">
      <alignment horizontal="center"/>
    </xf>
    <xf numFmtId="3" fontId="0" fillId="23" borderId="1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1" fontId="0" fillId="0" borderId="45" xfId="0" applyNumberFormat="1" applyBorder="1" applyAlignment="1">
      <alignment horizontal="center"/>
    </xf>
    <xf numFmtId="4" fontId="0" fillId="29" borderId="19" xfId="0" applyNumberFormat="1" applyFill="1" applyBorder="1"/>
    <xf numFmtId="1" fontId="0" fillId="29" borderId="20" xfId="0" applyNumberFormat="1" applyFill="1" applyBorder="1" applyAlignment="1">
      <alignment horizontal="center"/>
    </xf>
    <xf numFmtId="4" fontId="0" fillId="29" borderId="20" xfId="0" applyNumberFormat="1" applyFill="1" applyBorder="1"/>
    <xf numFmtId="4" fontId="0" fillId="23" borderId="20" xfId="0" applyNumberFormat="1" applyFill="1" applyBorder="1"/>
    <xf numFmtId="1" fontId="0" fillId="23" borderId="20" xfId="0" applyNumberFormat="1" applyFill="1" applyBorder="1" applyAlignment="1">
      <alignment horizontal="center"/>
    </xf>
    <xf numFmtId="4" fontId="0" fillId="0" borderId="20" xfId="0" applyNumberFormat="1" applyBorder="1"/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47" xfId="0" applyBorder="1"/>
    <xf numFmtId="3" fontId="0" fillId="29" borderId="20" xfId="0" applyNumberFormat="1" applyFill="1" applyBorder="1" applyAlignment="1">
      <alignment horizontal="center"/>
    </xf>
    <xf numFmtId="3" fontId="0" fillId="23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7" borderId="40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1" fontId="0" fillId="7" borderId="45" xfId="0" applyNumberFormat="1" applyFill="1" applyBorder="1" applyAlignment="1">
      <alignment horizontal="center"/>
    </xf>
    <xf numFmtId="0" fontId="1" fillId="0" borderId="4" xfId="0" applyFont="1" applyBorder="1"/>
    <xf numFmtId="0" fontId="0" fillId="0" borderId="4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4" fontId="0" fillId="29" borderId="49" xfId="0" applyNumberFormat="1" applyFill="1" applyBorder="1"/>
    <xf numFmtId="1" fontId="0" fillId="29" borderId="4" xfId="0" applyNumberFormat="1" applyFill="1" applyBorder="1" applyAlignment="1">
      <alignment horizontal="center"/>
    </xf>
    <xf numFmtId="4" fontId="0" fillId="29" borderId="4" xfId="0" applyNumberFormat="1" applyFill="1" applyBorder="1"/>
    <xf numFmtId="1" fontId="0" fillId="23" borderId="4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3" fontId="0" fillId="29" borderId="4" xfId="0" applyNumberFormat="1" applyFill="1" applyBorder="1" applyAlignment="1">
      <alignment horizontal="center"/>
    </xf>
    <xf numFmtId="3" fontId="0" fillId="23" borderId="4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4" fontId="1" fillId="29" borderId="7" xfId="0" applyNumberFormat="1" applyFont="1" applyFill="1" applyBorder="1" applyAlignment="1">
      <alignment horizontal="center" wrapText="1"/>
    </xf>
    <xf numFmtId="1" fontId="1" fillId="29" borderId="8" xfId="0" applyNumberFormat="1" applyFont="1" applyFill="1" applyBorder="1" applyAlignment="1">
      <alignment horizontal="center" wrapText="1"/>
    </xf>
    <xf numFmtId="4" fontId="1" fillId="29" borderId="9" xfId="0" applyNumberFormat="1" applyFont="1" applyFill="1" applyBorder="1" applyAlignment="1">
      <alignment horizontal="center" wrapText="1"/>
    </xf>
    <xf numFmtId="4" fontId="1" fillId="23" borderId="7" xfId="0" applyNumberFormat="1" applyFont="1" applyFill="1" applyBorder="1" applyAlignment="1">
      <alignment horizontal="center" wrapText="1"/>
    </xf>
    <xf numFmtId="1" fontId="1" fillId="23" borderId="8" xfId="0" applyNumberFormat="1" applyFont="1" applyFill="1" applyBorder="1" applyAlignment="1">
      <alignment horizontal="center" wrapText="1"/>
    </xf>
    <xf numFmtId="4" fontId="1" fillId="23" borderId="9" xfId="0" applyNumberFormat="1" applyFont="1" applyFill="1" applyBorder="1" applyAlignment="1">
      <alignment horizontal="center" wrapText="1"/>
    </xf>
    <xf numFmtId="4" fontId="1" fillId="0" borderId="7" xfId="0" applyNumberFormat="1" applyFont="1" applyBorder="1" applyAlignment="1">
      <alignment horizontal="center" wrapText="1"/>
    </xf>
    <xf numFmtId="1" fontId="1" fillId="0" borderId="8" xfId="0" applyNumberFormat="1" applyFont="1" applyBorder="1" applyAlignment="1">
      <alignment horizontal="center" wrapText="1"/>
    </xf>
    <xf numFmtId="4" fontId="1" fillId="0" borderId="9" xfId="0" applyNumberFormat="1" applyFont="1" applyBorder="1" applyAlignment="1">
      <alignment horizontal="center" wrapText="1"/>
    </xf>
    <xf numFmtId="1" fontId="1" fillId="0" borderId="29" xfId="0" applyNumberFormat="1" applyFont="1" applyBorder="1" applyAlignment="1">
      <alignment horizontal="center" wrapText="1"/>
    </xf>
    <xf numFmtId="3" fontId="1" fillId="29" borderId="8" xfId="0" applyNumberFormat="1" applyFont="1" applyFill="1" applyBorder="1" applyAlignment="1">
      <alignment horizontal="center" wrapText="1"/>
    </xf>
    <xf numFmtId="3" fontId="1" fillId="23" borderId="8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4" fontId="0" fillId="0" borderId="13" xfId="0" applyNumberFormat="1" applyBorder="1"/>
    <xf numFmtId="4" fontId="0" fillId="0" borderId="14" xfId="0" applyNumberFormat="1" applyBorder="1"/>
    <xf numFmtId="4" fontId="0" fillId="30" borderId="13" xfId="0" applyNumberFormat="1" applyFill="1" applyBorder="1"/>
    <xf numFmtId="3" fontId="0" fillId="30" borderId="1" xfId="0" applyNumberFormat="1" applyFill="1" applyBorder="1" applyAlignment="1">
      <alignment horizontal="center"/>
    </xf>
    <xf numFmtId="4" fontId="0" fillId="30" borderId="14" xfId="0" applyNumberFormat="1" applyFill="1" applyBorder="1"/>
    <xf numFmtId="0" fontId="0" fillId="30" borderId="13" xfId="0" applyFill="1" applyBorder="1"/>
    <xf numFmtId="0" fontId="0" fillId="30" borderId="14" xfId="0" applyFill="1" applyBorder="1"/>
    <xf numFmtId="0" fontId="0" fillId="30" borderId="62" xfId="0" applyFill="1" applyBorder="1" applyAlignment="1">
      <alignment horizontal="center"/>
    </xf>
    <xf numFmtId="1" fontId="0" fillId="30" borderId="1" xfId="0" applyNumberFormat="1" applyFill="1" applyBorder="1" applyAlignment="1">
      <alignment horizontal="center"/>
    </xf>
    <xf numFmtId="1" fontId="0" fillId="30" borderId="62" xfId="0" applyNumberForma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" fillId="0" borderId="46" xfId="0" applyNumberFormat="1" applyFont="1" applyBorder="1"/>
    <xf numFmtId="4" fontId="1" fillId="0" borderId="47" xfId="0" applyNumberFormat="1" applyFont="1" applyBorder="1"/>
    <xf numFmtId="4" fontId="1" fillId="0" borderId="48" xfId="0" applyNumberFormat="1" applyFont="1" applyBorder="1"/>
    <xf numFmtId="0" fontId="1" fillId="31" borderId="13" xfId="0" applyFont="1" applyFill="1" applyBorder="1" applyAlignment="1">
      <alignment horizontal="center" wrapText="1"/>
    </xf>
    <xf numFmtId="0" fontId="1" fillId="31" borderId="1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31" borderId="14" xfId="0" applyFont="1" applyFill="1" applyBorder="1" applyAlignment="1">
      <alignment horizontal="center" wrapText="1"/>
    </xf>
    <xf numFmtId="4" fontId="4" fillId="31" borderId="13" xfId="0" applyNumberFormat="1" applyFont="1" applyFill="1" applyBorder="1"/>
    <xf numFmtId="4" fontId="4" fillId="0" borderId="1" xfId="0" applyNumberFormat="1" applyFont="1" applyBorder="1"/>
    <xf numFmtId="4" fontId="4" fillId="31" borderId="1" xfId="0" applyNumberFormat="1" applyFont="1" applyFill="1" applyBorder="1"/>
    <xf numFmtId="1" fontId="4" fillId="31" borderId="1" xfId="0" applyNumberFormat="1" applyFont="1" applyFill="1" applyBorder="1" applyAlignment="1">
      <alignment horizontal="center"/>
    </xf>
    <xf numFmtId="4" fontId="16" fillId="0" borderId="14" xfId="0" applyNumberFormat="1" applyFont="1" applyBorder="1"/>
    <xf numFmtId="0" fontId="4" fillId="30" borderId="13" xfId="0" applyFont="1" applyFill="1" applyBorder="1"/>
    <xf numFmtId="0" fontId="4" fillId="30" borderId="1" xfId="0" applyFont="1" applyFill="1" applyBorder="1"/>
    <xf numFmtId="1" fontId="4" fillId="30" borderId="1" xfId="0" applyNumberFormat="1" applyFont="1" applyFill="1" applyBorder="1" applyAlignment="1">
      <alignment horizontal="center"/>
    </xf>
    <xf numFmtId="4" fontId="16" fillId="30" borderId="14" xfId="0" applyNumberFormat="1" applyFont="1" applyFill="1" applyBorder="1"/>
    <xf numFmtId="4" fontId="16" fillId="30" borderId="13" xfId="0" applyNumberFormat="1" applyFont="1" applyFill="1" applyBorder="1"/>
    <xf numFmtId="4" fontId="16" fillId="30" borderId="1" xfId="0" applyNumberFormat="1" applyFont="1" applyFill="1" applyBorder="1"/>
    <xf numFmtId="4" fontId="4" fillId="30" borderId="1" xfId="0" applyNumberFormat="1" applyFont="1" applyFill="1" applyBorder="1"/>
    <xf numFmtId="0" fontId="16" fillId="30" borderId="14" xfId="0" applyFont="1" applyFill="1" applyBorder="1" applyAlignment="1">
      <alignment horizontal="center"/>
    </xf>
    <xf numFmtId="4" fontId="4" fillId="30" borderId="13" xfId="0" applyNumberFormat="1" applyFont="1" applyFill="1" applyBorder="1"/>
    <xf numFmtId="1" fontId="4" fillId="31" borderId="14" xfId="0" applyNumberFormat="1" applyFont="1" applyFill="1" applyBorder="1" applyAlignment="1">
      <alignment horizontal="center"/>
    </xf>
    <xf numFmtId="4" fontId="0" fillId="31" borderId="13" xfId="0" applyNumberFormat="1" applyFill="1" applyBorder="1"/>
    <xf numFmtId="4" fontId="0" fillId="31" borderId="1" xfId="0" applyNumberFormat="1" applyFill="1" applyBorder="1"/>
    <xf numFmtId="1" fontId="14" fillId="31" borderId="1" xfId="0" applyNumberFormat="1" applyFont="1" applyFill="1" applyBorder="1" applyAlignment="1">
      <alignment horizontal="center"/>
    </xf>
    <xf numFmtId="4" fontId="1" fillId="0" borderId="14" xfId="0" applyNumberFormat="1" applyFont="1" applyBorder="1"/>
    <xf numFmtId="1" fontId="0" fillId="31" borderId="14" xfId="0" applyNumberFormat="1" applyFill="1" applyBorder="1" applyAlignment="1">
      <alignment horizontal="center"/>
    </xf>
    <xf numFmtId="4" fontId="0" fillId="30" borderId="19" xfId="0" applyNumberFormat="1" applyFill="1" applyBorder="1"/>
    <xf numFmtId="4" fontId="0" fillId="30" borderId="20" xfId="0" applyNumberFormat="1" applyFill="1" applyBorder="1"/>
    <xf numFmtId="1" fontId="0" fillId="30" borderId="20" xfId="0" applyNumberFormat="1" applyFill="1" applyBorder="1" applyAlignment="1">
      <alignment horizontal="center"/>
    </xf>
    <xf numFmtId="4" fontId="1" fillId="30" borderId="21" xfId="0" applyNumberFormat="1" applyFont="1" applyFill="1" applyBorder="1"/>
    <xf numFmtId="4" fontId="0" fillId="31" borderId="66" xfId="0" applyNumberFormat="1" applyFill="1" applyBorder="1"/>
    <xf numFmtId="4" fontId="0" fillId="31" borderId="2" xfId="0" applyNumberFormat="1" applyFill="1" applyBorder="1"/>
    <xf numFmtId="1" fontId="14" fillId="31" borderId="2" xfId="0" applyNumberFormat="1" applyFont="1" applyFill="1" applyBorder="1" applyAlignment="1">
      <alignment horizontal="center"/>
    </xf>
    <xf numFmtId="4" fontId="1" fillId="0" borderId="27" xfId="0" applyNumberFormat="1" applyFont="1" applyBorder="1"/>
    <xf numFmtId="4" fontId="0" fillId="31" borderId="19" xfId="0" applyNumberFormat="1" applyFill="1" applyBorder="1"/>
    <xf numFmtId="4" fontId="0" fillId="31" borderId="20" xfId="0" applyNumberFormat="1" applyFill="1" applyBorder="1"/>
    <xf numFmtId="1" fontId="0" fillId="31" borderId="21" xfId="0" applyNumberFormat="1" applyFill="1" applyBorder="1" applyAlignment="1">
      <alignment horizontal="center"/>
    </xf>
    <xf numFmtId="4" fontId="1" fillId="31" borderId="46" xfId="0" applyNumberFormat="1" applyFont="1" applyFill="1" applyBorder="1" applyAlignment="1">
      <alignment horizontal="center"/>
    </xf>
    <xf numFmtId="4" fontId="1" fillId="0" borderId="47" xfId="0" applyNumberFormat="1" applyFont="1" applyBorder="1" applyAlignment="1">
      <alignment horizontal="center"/>
    </xf>
    <xf numFmtId="4" fontId="1" fillId="31" borderId="47" xfId="0" applyNumberFormat="1" applyFont="1" applyFill="1" applyBorder="1"/>
    <xf numFmtId="1" fontId="1" fillId="31" borderId="47" xfId="0" applyNumberFormat="1" applyFont="1" applyFill="1" applyBorder="1" applyAlignment="1">
      <alignment horizontal="center"/>
    </xf>
    <xf numFmtId="4" fontId="1" fillId="0" borderId="48" xfId="0" applyNumberFormat="1" applyFont="1" applyBorder="1" applyAlignment="1">
      <alignment horizontal="center"/>
    </xf>
    <xf numFmtId="4" fontId="1" fillId="31" borderId="33" xfId="0" applyNumberFormat="1" applyFont="1" applyFill="1" applyBorder="1" applyAlignment="1">
      <alignment horizontal="center"/>
    </xf>
    <xf numFmtId="4" fontId="1" fillId="0" borderId="31" xfId="0" applyNumberFormat="1" applyFont="1" applyBorder="1" applyAlignment="1">
      <alignment horizontal="center"/>
    </xf>
    <xf numFmtId="4" fontId="1" fillId="31" borderId="31" xfId="0" applyNumberFormat="1" applyFont="1" applyFill="1" applyBorder="1"/>
    <xf numFmtId="1" fontId="1" fillId="31" borderId="31" xfId="0" applyNumberFormat="1" applyFont="1" applyFill="1" applyBorder="1" applyAlignment="1">
      <alignment horizontal="center"/>
    </xf>
    <xf numFmtId="4" fontId="1" fillId="0" borderId="32" xfId="0" applyNumberFormat="1" applyFont="1" applyBorder="1" applyAlignment="1">
      <alignment horizontal="center"/>
    </xf>
    <xf numFmtId="1" fontId="1" fillId="31" borderId="48" xfId="0" applyNumberFormat="1" applyFont="1" applyFill="1" applyBorder="1" applyAlignment="1">
      <alignment horizontal="center"/>
    </xf>
    <xf numFmtId="3" fontId="18" fillId="14" borderId="0" xfId="0" applyNumberFormat="1" applyFont="1" applyFill="1" applyAlignment="1">
      <alignment horizontal="center"/>
    </xf>
    <xf numFmtId="3" fontId="19" fillId="14" borderId="0" xfId="0" applyNumberFormat="1" applyFont="1" applyFill="1"/>
    <xf numFmtId="0" fontId="19" fillId="5" borderId="6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3" fontId="19" fillId="5" borderId="1" xfId="0" applyNumberFormat="1" applyFont="1" applyFill="1" applyBorder="1" applyAlignment="1">
      <alignment horizontal="center"/>
    </xf>
    <xf numFmtId="3" fontId="19" fillId="5" borderId="1" xfId="0" applyNumberFormat="1" applyFont="1" applyFill="1" applyBorder="1" applyAlignment="1">
      <alignment horizontal="center" vertical="center"/>
    </xf>
    <xf numFmtId="3" fontId="19" fillId="5" borderId="2" xfId="0" applyNumberFormat="1" applyFont="1" applyFill="1" applyBorder="1" applyAlignment="1">
      <alignment horizontal="center" vertical="center"/>
    </xf>
    <xf numFmtId="3" fontId="19" fillId="5" borderId="4" xfId="0" applyNumberFormat="1" applyFont="1" applyFill="1" applyBorder="1" applyAlignment="1">
      <alignment horizontal="center" vertical="center"/>
    </xf>
    <xf numFmtId="3" fontId="19" fillId="5" borderId="3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right"/>
    </xf>
    <xf numFmtId="0" fontId="20" fillId="14" borderId="23" xfId="0" applyFont="1" applyFill="1" applyBorder="1" applyAlignment="1">
      <alignment horizontal="center"/>
    </xf>
    <xf numFmtId="0" fontId="19" fillId="3" borderId="10" xfId="0" applyFont="1" applyFill="1" applyBorder="1" applyAlignment="1">
      <alignment horizontal="center" vertical="center" wrapText="1"/>
    </xf>
    <xf numFmtId="3" fontId="19" fillId="3" borderId="2" xfId="0" applyNumberFormat="1" applyFont="1" applyFill="1" applyBorder="1" applyAlignment="1">
      <alignment vertical="center"/>
    </xf>
    <xf numFmtId="3" fontId="19" fillId="3" borderId="1" xfId="0" applyNumberFormat="1" applyFont="1" applyFill="1" applyBorder="1" applyAlignment="1">
      <alignment horizontal="center"/>
    </xf>
    <xf numFmtId="3" fontId="19" fillId="3" borderId="4" xfId="0" applyNumberFormat="1" applyFont="1" applyFill="1" applyBorder="1" applyAlignment="1">
      <alignment vertical="center"/>
    </xf>
    <xf numFmtId="3" fontId="19" fillId="3" borderId="2" xfId="0" applyNumberFormat="1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3" fontId="19" fillId="21" borderId="2" xfId="0" applyNumberFormat="1" applyFont="1" applyFill="1" applyBorder="1" applyAlignment="1">
      <alignment horizontal="center" vertical="center"/>
    </xf>
    <xf numFmtId="164" fontId="19" fillId="21" borderId="2" xfId="0" applyNumberFormat="1" applyFont="1" applyFill="1" applyBorder="1" applyAlignment="1">
      <alignment horizontal="center" vertical="center"/>
    </xf>
    <xf numFmtId="3" fontId="19" fillId="21" borderId="4" xfId="0" applyNumberFormat="1" applyFont="1" applyFill="1" applyBorder="1" applyAlignment="1">
      <alignment horizontal="center" vertical="center"/>
    </xf>
    <xf numFmtId="164" fontId="19" fillId="21" borderId="4" xfId="0" applyNumberFormat="1" applyFont="1" applyFill="1" applyBorder="1" applyAlignment="1">
      <alignment horizontal="center" vertical="center"/>
    </xf>
    <xf numFmtId="4" fontId="0" fillId="0" borderId="6" xfId="0" applyNumberFormat="1" applyBorder="1"/>
    <xf numFmtId="0" fontId="19" fillId="3" borderId="6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3" fontId="19" fillId="7" borderId="1" xfId="0" applyNumberFormat="1" applyFont="1" applyFill="1" applyBorder="1" applyAlignment="1">
      <alignment horizontal="center"/>
    </xf>
    <xf numFmtId="3" fontId="19" fillId="5" borderId="1" xfId="0" applyNumberFormat="1" applyFont="1" applyFill="1" applyBorder="1" applyAlignment="1">
      <alignment vertical="center"/>
    </xf>
    <xf numFmtId="164" fontId="19" fillId="5" borderId="1" xfId="0" applyNumberFormat="1" applyFont="1" applyFill="1" applyBorder="1" applyAlignment="1">
      <alignment vertical="center"/>
    </xf>
    <xf numFmtId="3" fontId="19" fillId="3" borderId="1" xfId="0" applyNumberFormat="1" applyFont="1" applyFill="1" applyBorder="1" applyAlignment="1">
      <alignment vertical="center"/>
    </xf>
    <xf numFmtId="164" fontId="19" fillId="3" borderId="1" xfId="0" applyNumberFormat="1" applyFont="1" applyFill="1" applyBorder="1" applyAlignment="1">
      <alignment vertical="center"/>
    </xf>
    <xf numFmtId="3" fontId="19" fillId="7" borderId="1" xfId="0" applyNumberFormat="1" applyFont="1" applyFill="1" applyBorder="1" applyAlignment="1">
      <alignment vertical="center"/>
    </xf>
    <xf numFmtId="164" fontId="19" fillId="7" borderId="1" xfId="0" applyNumberFormat="1" applyFont="1" applyFill="1" applyBorder="1" applyAlignment="1">
      <alignment vertical="center"/>
    </xf>
    <xf numFmtId="3" fontId="19" fillId="5" borderId="2" xfId="0" applyNumberFormat="1" applyFont="1" applyFill="1" applyBorder="1" applyAlignment="1">
      <alignment vertical="center"/>
    </xf>
    <xf numFmtId="3" fontId="19" fillId="7" borderId="2" xfId="0" applyNumberFormat="1" applyFont="1" applyFill="1" applyBorder="1" applyAlignment="1">
      <alignment vertical="center"/>
    </xf>
    <xf numFmtId="3" fontId="19" fillId="5" borderId="4" xfId="0" applyNumberFormat="1" applyFont="1" applyFill="1" applyBorder="1" applyAlignment="1">
      <alignment vertical="center"/>
    </xf>
    <xf numFmtId="3" fontId="19" fillId="7" borderId="4" xfId="0" applyNumberFormat="1" applyFont="1" applyFill="1" applyBorder="1" applyAlignment="1">
      <alignment vertical="center"/>
    </xf>
    <xf numFmtId="164" fontId="19" fillId="5" borderId="3" xfId="0" applyNumberFormat="1" applyFont="1" applyFill="1" applyBorder="1" applyAlignment="1">
      <alignment vertical="center"/>
    </xf>
    <xf numFmtId="3" fontId="19" fillId="5" borderId="3" xfId="0" applyNumberFormat="1" applyFont="1" applyFill="1" applyBorder="1" applyAlignment="1">
      <alignment vertical="center"/>
    </xf>
    <xf numFmtId="3" fontId="19" fillId="3" borderId="3" xfId="0" applyNumberFormat="1" applyFont="1" applyFill="1" applyBorder="1" applyAlignment="1">
      <alignment vertical="center"/>
    </xf>
    <xf numFmtId="3" fontId="19" fillId="7" borderId="3" xfId="0" applyNumberFormat="1" applyFont="1" applyFill="1" applyBorder="1" applyAlignment="1">
      <alignment vertical="center"/>
    </xf>
    <xf numFmtId="164" fontId="19" fillId="8" borderId="1" xfId="0" applyNumberFormat="1" applyFont="1" applyFill="1" applyBorder="1" applyAlignment="1">
      <alignment vertical="center"/>
    </xf>
    <xf numFmtId="3" fontId="19" fillId="7" borderId="2" xfId="0" applyNumberFormat="1" applyFont="1" applyFill="1" applyBorder="1" applyAlignment="1">
      <alignment horizontal="center" vertical="center"/>
    </xf>
    <xf numFmtId="3" fontId="19" fillId="7" borderId="4" xfId="0" applyNumberFormat="1" applyFont="1" applyFill="1" applyBorder="1" applyAlignment="1">
      <alignment horizontal="center" vertical="center"/>
    </xf>
    <xf numFmtId="4" fontId="1" fillId="29" borderId="34" xfId="0" applyNumberFormat="1" applyFont="1" applyFill="1" applyBorder="1" applyAlignment="1">
      <alignment horizontal="center" wrapText="1"/>
    </xf>
    <xf numFmtId="4" fontId="0" fillId="30" borderId="6" xfId="0" applyNumberFormat="1" applyFill="1" applyBorder="1"/>
    <xf numFmtId="4" fontId="1" fillId="31" borderId="47" xfId="0" applyNumberFormat="1" applyFont="1" applyFill="1" applyBorder="1" applyAlignment="1">
      <alignment horizontal="center"/>
    </xf>
    <xf numFmtId="0" fontId="19" fillId="32" borderId="2" xfId="0" applyFont="1" applyFill="1" applyBorder="1" applyAlignment="1">
      <alignment horizontal="center" vertical="center"/>
    </xf>
    <xf numFmtId="0" fontId="19" fillId="32" borderId="4" xfId="0" applyFont="1" applyFill="1" applyBorder="1" applyAlignment="1">
      <alignment horizontal="center" vertical="center"/>
    </xf>
    <xf numFmtId="0" fontId="19" fillId="32" borderId="3" xfId="0" applyFont="1" applyFill="1" applyBorder="1" applyAlignment="1">
      <alignment horizontal="center" vertical="center"/>
    </xf>
    <xf numFmtId="164" fontId="12" fillId="0" borderId="0" xfId="1" applyNumberFormat="1" applyFont="1"/>
    <xf numFmtId="3" fontId="15" fillId="3" borderId="0" xfId="0" applyNumberFormat="1" applyFont="1" applyFill="1"/>
    <xf numFmtId="0" fontId="28" fillId="3" borderId="1" xfId="0" applyFont="1" applyFill="1" applyBorder="1" applyAlignment="1">
      <alignment wrapText="1"/>
    </xf>
    <xf numFmtId="4" fontId="0" fillId="0" borderId="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20" xfId="0" applyNumberForma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1" fillId="23" borderId="34" xfId="0" applyNumberFormat="1" applyFont="1" applyFill="1" applyBorder="1" applyAlignment="1">
      <alignment horizontal="center" wrapText="1"/>
    </xf>
    <xf numFmtId="1" fontId="1" fillId="0" borderId="0" xfId="0" applyNumberFormat="1" applyFont="1"/>
    <xf numFmtId="1" fontId="1" fillId="0" borderId="0" xfId="0" applyNumberFormat="1" applyFont="1" applyAlignment="1">
      <alignment horizontal="center" wrapText="1"/>
    </xf>
    <xf numFmtId="1" fontId="0" fillId="30" borderId="1" xfId="0" applyNumberFormat="1" applyFill="1" applyBorder="1"/>
    <xf numFmtId="1" fontId="1" fillId="0" borderId="47" xfId="0" applyNumberFormat="1" applyFont="1" applyBorder="1"/>
    <xf numFmtId="4" fontId="1" fillId="0" borderId="59" xfId="0" applyNumberFormat="1" applyFont="1" applyBorder="1"/>
    <xf numFmtId="2" fontId="1" fillId="0" borderId="58" xfId="0" applyNumberFormat="1" applyFont="1" applyBorder="1" applyAlignment="1">
      <alignment wrapText="1"/>
    </xf>
    <xf numFmtId="4" fontId="0" fillId="0" borderId="49" xfId="0" applyNumberFormat="1" applyBorder="1"/>
    <xf numFmtId="4" fontId="0" fillId="0" borderId="28" xfId="0" applyNumberFormat="1" applyBorder="1"/>
    <xf numFmtId="0" fontId="10" fillId="0" borderId="0" xfId="1" applyFont="1" applyAlignment="1">
      <alignment horizontal="center" vertical="center"/>
    </xf>
    <xf numFmtId="0" fontId="42" fillId="0" borderId="0" xfId="1" applyFont="1"/>
    <xf numFmtId="0" fontId="42" fillId="0" borderId="0" xfId="1" applyFont="1" applyAlignment="1">
      <alignment horizontal="center" vertical="center"/>
    </xf>
    <xf numFmtId="0" fontId="35" fillId="0" borderId="54" xfId="1" applyFont="1" applyBorder="1" applyAlignment="1">
      <alignment vertical="center"/>
    </xf>
    <xf numFmtId="0" fontId="35" fillId="0" borderId="55" xfId="1" applyFont="1" applyBorder="1" applyAlignment="1">
      <alignment vertical="center"/>
    </xf>
    <xf numFmtId="0" fontId="35" fillId="0" borderId="29" xfId="1" applyFont="1" applyBorder="1" applyAlignment="1">
      <alignment vertical="center"/>
    </xf>
    <xf numFmtId="0" fontId="35" fillId="0" borderId="53" xfId="1" applyFont="1" applyBorder="1" applyAlignment="1">
      <alignment vertical="center"/>
    </xf>
    <xf numFmtId="0" fontId="35" fillId="0" borderId="35" xfId="1" applyFont="1" applyBorder="1" applyAlignment="1">
      <alignment vertical="center"/>
    </xf>
    <xf numFmtId="0" fontId="35" fillId="0" borderId="30" xfId="1" applyFont="1" applyBorder="1" applyAlignment="1">
      <alignment vertical="center"/>
    </xf>
    <xf numFmtId="0" fontId="35" fillId="0" borderId="60" xfId="1" applyFont="1" applyBorder="1" applyAlignment="1">
      <alignment vertical="center"/>
    </xf>
    <xf numFmtId="0" fontId="35" fillId="0" borderId="61" xfId="1" applyFont="1" applyBorder="1" applyAlignment="1">
      <alignment vertical="center"/>
    </xf>
    <xf numFmtId="164" fontId="10" fillId="0" borderId="4" xfId="1" applyNumberFormat="1" applyFont="1" applyBorder="1" applyAlignment="1">
      <alignment horizontal="center" vertical="center"/>
    </xf>
    <xf numFmtId="164" fontId="10" fillId="0" borderId="50" xfId="1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49" xfId="1" applyNumberFormat="1" applyFont="1" applyBorder="1" applyAlignment="1">
      <alignment horizontal="center" vertical="center"/>
    </xf>
    <xf numFmtId="164" fontId="10" fillId="0" borderId="35" xfId="1" applyNumberFormat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2" fontId="10" fillId="0" borderId="7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2" fontId="10" fillId="0" borderId="40" xfId="1" applyNumberFormat="1" applyFont="1" applyBorder="1" applyAlignment="1">
      <alignment horizontal="center" vertical="center"/>
    </xf>
    <xf numFmtId="2" fontId="10" fillId="0" borderId="29" xfId="1" applyNumberFormat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164" fontId="10" fillId="0" borderId="62" xfId="1" applyNumberFormat="1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164" fontId="10" fillId="0" borderId="22" xfId="1" applyNumberFormat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2" xfId="1" applyFont="1" applyBorder="1" applyAlignment="1">
      <alignment horizontal="center" vertical="center"/>
    </xf>
    <xf numFmtId="2" fontId="10" fillId="0" borderId="13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2" fontId="10" fillId="0" borderId="62" xfId="1" applyNumberFormat="1" applyFont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64" fontId="10" fillId="0" borderId="65" xfId="1" applyNumberFormat="1" applyFont="1" applyBorder="1" applyAlignment="1">
      <alignment horizontal="center" vertical="center"/>
    </xf>
    <xf numFmtId="164" fontId="10" fillId="0" borderId="66" xfId="1" applyNumberFormat="1" applyFont="1" applyBorder="1" applyAlignment="1">
      <alignment horizontal="center" vertical="center"/>
    </xf>
    <xf numFmtId="0" fontId="10" fillId="0" borderId="6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65" xfId="1" applyFont="1" applyBorder="1" applyAlignment="1">
      <alignment horizontal="center" vertical="center"/>
    </xf>
    <xf numFmtId="0" fontId="10" fillId="0" borderId="60" xfId="1" applyFont="1" applyBorder="1" applyAlignment="1">
      <alignment horizontal="center" vertical="center"/>
    </xf>
    <xf numFmtId="2" fontId="10" fillId="0" borderId="6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2" fontId="10" fillId="0" borderId="65" xfId="1" applyNumberFormat="1" applyFont="1" applyBorder="1" applyAlignment="1">
      <alignment horizontal="center" vertical="center"/>
    </xf>
    <xf numFmtId="2" fontId="10" fillId="0" borderId="30" xfId="1" applyNumberFormat="1" applyFont="1" applyBorder="1" applyAlignment="1">
      <alignment horizontal="center" vertical="center"/>
    </xf>
    <xf numFmtId="4" fontId="8" fillId="0" borderId="58" xfId="1" applyNumberFormat="1" applyFont="1" applyBorder="1" applyAlignment="1">
      <alignment horizontal="center" vertical="center"/>
    </xf>
    <xf numFmtId="4" fontId="8" fillId="0" borderId="69" xfId="1" applyNumberFormat="1" applyFont="1" applyBorder="1" applyAlignment="1">
      <alignment horizontal="center" vertical="center"/>
    </xf>
    <xf numFmtId="4" fontId="8" fillId="0" borderId="67" xfId="1" applyNumberFormat="1" applyFont="1" applyBorder="1" applyAlignment="1">
      <alignment horizontal="center" vertical="center"/>
    </xf>
    <xf numFmtId="4" fontId="8" fillId="0" borderId="33" xfId="1" applyNumberFormat="1" applyFont="1" applyBorder="1" applyAlignment="1">
      <alignment horizontal="center" vertical="center"/>
    </xf>
    <xf numFmtId="4" fontId="8" fillId="0" borderId="59" xfId="1" applyNumberFormat="1" applyFont="1" applyBorder="1" applyAlignment="1">
      <alignment horizontal="center" vertical="center"/>
    </xf>
    <xf numFmtId="4" fontId="8" fillId="0" borderId="57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2" fontId="10" fillId="3" borderId="1" xfId="1" applyNumberFormat="1" applyFont="1" applyFill="1" applyBorder="1" applyAlignment="1">
      <alignment horizontal="center" vertical="center"/>
    </xf>
    <xf numFmtId="4" fontId="10" fillId="0" borderId="0" xfId="1" applyNumberFormat="1" applyFont="1" applyAlignment="1">
      <alignment horizontal="center"/>
    </xf>
    <xf numFmtId="2" fontId="10" fillId="3" borderId="2" xfId="1" applyNumberFormat="1" applyFont="1" applyFill="1" applyBorder="1" applyAlignment="1">
      <alignment horizontal="center" vertical="center"/>
    </xf>
    <xf numFmtId="1" fontId="2" fillId="0" borderId="0" xfId="0" applyNumberFormat="1" applyFont="1"/>
    <xf numFmtId="1" fontId="1" fillId="0" borderId="1" xfId="0" applyNumberFormat="1" applyFont="1" applyBorder="1"/>
    <xf numFmtId="3" fontId="1" fillId="0" borderId="0" xfId="0" applyNumberFormat="1" applyFont="1"/>
    <xf numFmtId="0" fontId="17" fillId="0" borderId="50" xfId="0" applyFont="1" applyBorder="1" applyAlignment="1">
      <alignment wrapText="1"/>
    </xf>
    <xf numFmtId="0" fontId="29" fillId="0" borderId="59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5" fillId="0" borderId="33" xfId="0" applyFont="1" applyBorder="1" applyAlignment="1">
      <alignment horizontal="left" wrapText="1"/>
    </xf>
    <xf numFmtId="0" fontId="15" fillId="0" borderId="59" xfId="0" applyFont="1" applyBorder="1" applyAlignment="1">
      <alignment horizontal="left" wrapText="1"/>
    </xf>
    <xf numFmtId="10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67" xfId="0" applyNumberFormat="1" applyFont="1" applyBorder="1"/>
    <xf numFmtId="0" fontId="0" fillId="0" borderId="2" xfId="0" applyBorder="1"/>
    <xf numFmtId="0" fontId="17" fillId="0" borderId="5" xfId="0" applyFont="1" applyBorder="1" applyAlignment="1">
      <alignment wrapText="1"/>
    </xf>
    <xf numFmtId="0" fontId="1" fillId="33" borderId="29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4" fontId="0" fillId="0" borderId="39" xfId="0" applyNumberFormat="1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5" fillId="0" borderId="0" xfId="0" applyFont="1"/>
    <xf numFmtId="2" fontId="15" fillId="0" borderId="1" xfId="0" applyNumberFormat="1" applyFont="1" applyBorder="1" applyAlignment="1">
      <alignment vertical="top" wrapText="1"/>
    </xf>
    <xf numFmtId="2" fontId="15" fillId="0" borderId="5" xfId="0" applyNumberFormat="1" applyFont="1" applyBorder="1" applyAlignment="1">
      <alignment vertical="top" wrapText="1"/>
    </xf>
    <xf numFmtId="0" fontId="15" fillId="0" borderId="7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43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4" fillId="0" borderId="1" xfId="0" applyFont="1" applyBorder="1"/>
    <xf numFmtId="2" fontId="14" fillId="0" borderId="1" xfId="0" applyNumberFormat="1" applyFont="1" applyBorder="1"/>
    <xf numFmtId="2" fontId="14" fillId="0" borderId="5" xfId="0" applyNumberFormat="1" applyFont="1" applyBorder="1"/>
    <xf numFmtId="3" fontId="14" fillId="0" borderId="13" xfId="0" applyNumberFormat="1" applyFont="1" applyBorder="1"/>
    <xf numFmtId="3" fontId="14" fillId="0" borderId="1" xfId="0" applyNumberFormat="1" applyFont="1" applyBorder="1"/>
    <xf numFmtId="3" fontId="14" fillId="0" borderId="14" xfId="0" applyNumberFormat="1" applyFont="1" applyBorder="1"/>
    <xf numFmtId="3" fontId="14" fillId="0" borderId="10" xfId="0" applyNumberFormat="1" applyFont="1" applyBorder="1"/>
    <xf numFmtId="3" fontId="44" fillId="0" borderId="0" xfId="0" applyNumberFormat="1" applyFont="1"/>
    <xf numFmtId="3" fontId="14" fillId="0" borderId="19" xfId="0" applyNumberFormat="1" applyFont="1" applyBorder="1"/>
    <xf numFmtId="3" fontId="14" fillId="0" borderId="20" xfId="0" applyNumberFormat="1" applyFont="1" applyBorder="1"/>
    <xf numFmtId="3" fontId="14" fillId="0" borderId="21" xfId="0" applyNumberFormat="1" applyFont="1" applyBorder="1"/>
    <xf numFmtId="2" fontId="15" fillId="0" borderId="0" xfId="0" applyNumberFormat="1" applyFont="1" applyAlignment="1">
      <alignment horizontal="right"/>
    </xf>
    <xf numFmtId="2" fontId="15" fillId="0" borderId="0" xfId="0" applyNumberFormat="1" applyFont="1"/>
    <xf numFmtId="3" fontId="15" fillId="0" borderId="0" xfId="0" applyNumberFormat="1" applyFont="1"/>
    <xf numFmtId="3" fontId="43" fillId="0" borderId="0" xfId="0" applyNumberFormat="1" applyFont="1"/>
    <xf numFmtId="3" fontId="16" fillId="0" borderId="0" xfId="0" applyNumberFormat="1" applyFont="1"/>
    <xf numFmtId="0" fontId="16" fillId="0" borderId="0" xfId="0" applyFont="1"/>
    <xf numFmtId="0" fontId="44" fillId="0" borderId="0" xfId="0" applyFont="1"/>
    <xf numFmtId="0" fontId="14" fillId="0" borderId="1" xfId="0" applyFont="1" applyBorder="1" applyAlignment="1">
      <alignment horizontal="right"/>
    </xf>
    <xf numFmtId="0" fontId="14" fillId="4" borderId="1" xfId="0" applyFont="1" applyFill="1" applyBorder="1" applyAlignment="1">
      <alignment horizontal="right"/>
    </xf>
    <xf numFmtId="0" fontId="14" fillId="4" borderId="0" xfId="0" applyFont="1" applyFill="1" applyAlignment="1">
      <alignment horizontal="center"/>
    </xf>
    <xf numFmtId="0" fontId="14" fillId="4" borderId="0" xfId="0" applyFont="1" applyFill="1"/>
    <xf numFmtId="0" fontId="14" fillId="4" borderId="10" xfId="0" applyFont="1" applyFill="1" applyBorder="1"/>
    <xf numFmtId="3" fontId="14" fillId="0" borderId="7" xfId="0" applyNumberFormat="1" applyFont="1" applyBorder="1"/>
    <xf numFmtId="3" fontId="14" fillId="0" borderId="8" xfId="0" applyNumberFormat="1" applyFont="1" applyBorder="1"/>
    <xf numFmtId="3" fontId="14" fillId="0" borderId="9" xfId="0" applyNumberFormat="1" applyFont="1" applyBorder="1"/>
    <xf numFmtId="0" fontId="14" fillId="4" borderId="4" xfId="0" applyFont="1" applyFill="1" applyBorder="1"/>
    <xf numFmtId="0" fontId="14" fillId="4" borderId="1" xfId="0" applyFont="1" applyFill="1" applyBorder="1"/>
    <xf numFmtId="2" fontId="15" fillId="0" borderId="65" xfId="0" applyNumberFormat="1" applyFont="1" applyBorder="1" applyAlignment="1">
      <alignment vertical="top" wrapText="1"/>
    </xf>
    <xf numFmtId="0" fontId="15" fillId="0" borderId="11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45" fillId="0" borderId="0" xfId="0" applyFont="1"/>
    <xf numFmtId="3" fontId="46" fillId="0" borderId="5" xfId="0" applyNumberFormat="1" applyFont="1" applyBorder="1" applyAlignment="1">
      <alignment vertical="center"/>
    </xf>
    <xf numFmtId="3" fontId="46" fillId="0" borderId="19" xfId="0" applyNumberFormat="1" applyFont="1" applyBorder="1"/>
    <xf numFmtId="3" fontId="46" fillId="0" borderId="20" xfId="0" applyNumberFormat="1" applyFont="1" applyBorder="1"/>
    <xf numFmtId="3" fontId="46" fillId="0" borderId="21" xfId="0" applyNumberFormat="1" applyFont="1" applyBorder="1"/>
    <xf numFmtId="3" fontId="46" fillId="0" borderId="10" xfId="0" applyNumberFormat="1" applyFont="1" applyBorder="1" applyAlignment="1">
      <alignment vertical="center"/>
    </xf>
    <xf numFmtId="3" fontId="46" fillId="0" borderId="0" xfId="0" applyNumberFormat="1" applyFont="1" applyAlignment="1">
      <alignment vertical="center"/>
    </xf>
    <xf numFmtId="0" fontId="47" fillId="0" borderId="0" xfId="0" applyFont="1"/>
    <xf numFmtId="4" fontId="48" fillId="0" borderId="1" xfId="0" applyNumberFormat="1" applyFont="1" applyBorder="1"/>
    <xf numFmtId="4" fontId="16" fillId="0" borderId="0" xfId="0" applyNumberFormat="1" applyFont="1"/>
    <xf numFmtId="4" fontId="4" fillId="0" borderId="0" xfId="0" applyNumberFormat="1" applyFont="1"/>
    <xf numFmtId="0" fontId="14" fillId="4" borderId="5" xfId="0" applyFont="1" applyFill="1" applyBorder="1"/>
    <xf numFmtId="0" fontId="14" fillId="4" borderId="6" xfId="0" applyFont="1" applyFill="1" applyBorder="1"/>
    <xf numFmtId="0" fontId="0" fillId="4" borderId="0" xfId="0" applyFill="1" applyAlignment="1">
      <alignment horizontal="center"/>
    </xf>
    <xf numFmtId="2" fontId="14" fillId="0" borderId="14" xfId="0" applyNumberFormat="1" applyFont="1" applyBorder="1"/>
    <xf numFmtId="4" fontId="4" fillId="0" borderId="2" xfId="0" applyNumberFormat="1" applyFont="1" applyBorder="1"/>
    <xf numFmtId="0" fontId="0" fillId="4" borderId="1" xfId="0" applyFill="1" applyBorder="1"/>
    <xf numFmtId="2" fontId="1" fillId="0" borderId="0" xfId="0" applyNumberFormat="1" applyFont="1" applyAlignment="1">
      <alignment horizontal="right"/>
    </xf>
    <xf numFmtId="0" fontId="9" fillId="0" borderId="0" xfId="1" applyFont="1" applyAlignment="1">
      <alignment vertical="center"/>
    </xf>
    <xf numFmtId="0" fontId="35" fillId="0" borderId="0" xfId="1" applyFont="1" applyAlignment="1">
      <alignment vertical="center"/>
    </xf>
    <xf numFmtId="0" fontId="9" fillId="0" borderId="71" xfId="1" applyFont="1" applyBorder="1" applyAlignment="1">
      <alignment vertical="center"/>
    </xf>
    <xf numFmtId="4" fontId="1" fillId="0" borderId="27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1" fillId="0" borderId="58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65" xfId="0" applyNumberFormat="1" applyFont="1" applyBorder="1" applyAlignment="1">
      <alignment horizontal="right" vertical="center" wrapText="1"/>
    </xf>
    <xf numFmtId="4" fontId="1" fillId="0" borderId="58" xfId="0" applyNumberFormat="1" applyFont="1" applyBorder="1" applyAlignment="1">
      <alignment horizontal="right" wrapText="1"/>
    </xf>
    <xf numFmtId="4" fontId="0" fillId="0" borderId="50" xfId="0" applyNumberFormat="1" applyBorder="1" applyAlignment="1">
      <alignment horizontal="right" wrapText="1"/>
    </xf>
    <xf numFmtId="4" fontId="0" fillId="0" borderId="5" xfId="0" applyNumberFormat="1" applyBorder="1" applyAlignment="1">
      <alignment horizontal="right" wrapText="1"/>
    </xf>
    <xf numFmtId="4" fontId="0" fillId="0" borderId="0" xfId="0" applyNumberFormat="1" applyAlignment="1">
      <alignment horizontal="right" wrapText="1"/>
    </xf>
    <xf numFmtId="4" fontId="1" fillId="0" borderId="57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4" fontId="41" fillId="0" borderId="57" xfId="0" applyNumberFormat="1" applyFont="1" applyBorder="1" applyAlignment="1">
      <alignment horizontal="right" wrapText="1"/>
    </xf>
    <xf numFmtId="4" fontId="17" fillId="0" borderId="4" xfId="0" applyNumberFormat="1" applyFont="1" applyBorder="1" applyAlignment="1">
      <alignment horizontal="right" wrapText="1"/>
    </xf>
    <xf numFmtId="4" fontId="17" fillId="0" borderId="1" xfId="0" applyNumberFormat="1" applyFont="1" applyBorder="1" applyAlignment="1">
      <alignment horizontal="right" wrapText="1"/>
    </xf>
    <xf numFmtId="4" fontId="29" fillId="0" borderId="0" xfId="0" applyNumberFormat="1" applyFont="1" applyAlignment="1">
      <alignment horizontal="right" wrapText="1"/>
    </xf>
    <xf numFmtId="4" fontId="29" fillId="0" borderId="57" xfId="0" applyNumberFormat="1" applyFont="1" applyBorder="1" applyAlignment="1">
      <alignment horizontal="right" wrapText="1"/>
    </xf>
    <xf numFmtId="4" fontId="38" fillId="3" borderId="57" xfId="0" applyNumberFormat="1" applyFont="1" applyFill="1" applyBorder="1" applyAlignment="1">
      <alignment horizontal="right" wrapText="1"/>
    </xf>
    <xf numFmtId="4" fontId="38" fillId="3" borderId="57" xfId="0" applyNumberFormat="1" applyFont="1" applyFill="1" applyBorder="1" applyAlignment="1">
      <alignment horizontal="right" vertical="center" wrapText="1"/>
    </xf>
    <xf numFmtId="4" fontId="29" fillId="0" borderId="56" xfId="0" applyNumberFormat="1" applyFont="1" applyBorder="1" applyAlignment="1">
      <alignment horizontal="right" wrapText="1"/>
    </xf>
    <xf numFmtId="4" fontId="41" fillId="0" borderId="56" xfId="0" applyNumberFormat="1" applyFont="1" applyBorder="1" applyAlignment="1">
      <alignment horizontal="right" wrapText="1"/>
    </xf>
    <xf numFmtId="0" fontId="1" fillId="25" borderId="35" xfId="0" applyFont="1" applyFill="1" applyBorder="1" applyAlignment="1">
      <alignment horizontal="center" vertical="center" wrapText="1"/>
    </xf>
    <xf numFmtId="0" fontId="1" fillId="25" borderId="3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39" fillId="0" borderId="7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left" wrapText="1"/>
    </xf>
    <xf numFmtId="0" fontId="41" fillId="0" borderId="57" xfId="0" applyFont="1" applyBorder="1" applyAlignment="1">
      <alignment horizontal="left" wrapText="1"/>
    </xf>
    <xf numFmtId="0" fontId="29" fillId="0" borderId="59" xfId="0" applyFont="1" applyBorder="1" applyAlignment="1">
      <alignment horizontal="left" wrapText="1"/>
    </xf>
    <xf numFmtId="0" fontId="29" fillId="0" borderId="57" xfId="0" applyFont="1" applyBorder="1" applyAlignment="1">
      <alignment horizontal="left" wrapText="1"/>
    </xf>
    <xf numFmtId="0" fontId="38" fillId="3" borderId="59" xfId="0" applyFont="1" applyFill="1" applyBorder="1" applyAlignment="1">
      <alignment horizontal="left" wrapText="1"/>
    </xf>
    <xf numFmtId="0" fontId="38" fillId="3" borderId="57" xfId="0" applyFont="1" applyFill="1" applyBorder="1" applyAlignment="1">
      <alignment horizontal="left" wrapText="1"/>
    </xf>
    <xf numFmtId="0" fontId="38" fillId="3" borderId="59" xfId="0" applyFont="1" applyFill="1" applyBorder="1" applyAlignment="1">
      <alignment horizontal="left" vertical="center" wrapText="1"/>
    </xf>
    <xf numFmtId="0" fontId="38" fillId="3" borderId="57" xfId="0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0" fontId="41" fillId="0" borderId="33" xfId="0" applyFont="1" applyBorder="1" applyAlignment="1">
      <alignment horizontal="left" wrapText="1"/>
    </xf>
    <xf numFmtId="0" fontId="41" fillId="0" borderId="56" xfId="0" applyFont="1" applyBorder="1" applyAlignment="1">
      <alignment horizontal="left" wrapText="1"/>
    </xf>
    <xf numFmtId="0" fontId="29" fillId="0" borderId="33" xfId="0" applyFont="1" applyBorder="1" applyAlignment="1">
      <alignment horizontal="left" wrapText="1"/>
    </xf>
    <xf numFmtId="0" fontId="29" fillId="0" borderId="56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1" fontId="1" fillId="0" borderId="53" xfId="0" applyNumberFormat="1" applyFont="1" applyBorder="1" applyAlignment="1">
      <alignment horizontal="center"/>
    </xf>
    <xf numFmtId="1" fontId="1" fillId="0" borderId="54" xfId="0" applyNumberFormat="1" applyFont="1" applyBorder="1" applyAlignment="1">
      <alignment horizontal="center"/>
    </xf>
    <xf numFmtId="1" fontId="1" fillId="0" borderId="70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6" fillId="3" borderId="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left"/>
    </xf>
    <xf numFmtId="0" fontId="1" fillId="3" borderId="51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51" xfId="0" applyFont="1" applyBorder="1" applyAlignment="1">
      <alignment horizontal="left" wrapText="1"/>
    </xf>
    <xf numFmtId="0" fontId="1" fillId="0" borderId="6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9" fillId="14" borderId="26" xfId="0" applyFont="1" applyFill="1" applyBorder="1" applyAlignment="1">
      <alignment horizontal="center"/>
    </xf>
    <xf numFmtId="0" fontId="19" fillId="14" borderId="0" xfId="0" applyFont="1" applyFill="1" applyAlignment="1">
      <alignment horizontal="center"/>
    </xf>
    <xf numFmtId="164" fontId="18" fillId="15" borderId="2" xfId="0" applyNumberFormat="1" applyFont="1" applyFill="1" applyBorder="1" applyAlignment="1">
      <alignment horizontal="center" vertical="center"/>
    </xf>
    <xf numFmtId="164" fontId="18" fillId="15" borderId="77" xfId="0" applyNumberFormat="1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center" vertical="center"/>
    </xf>
    <xf numFmtId="0" fontId="19" fillId="22" borderId="4" xfId="0" applyFont="1" applyFill="1" applyBorder="1" applyAlignment="1">
      <alignment horizontal="center" vertical="center"/>
    </xf>
    <xf numFmtId="164" fontId="18" fillId="15" borderId="24" xfId="0" applyNumberFormat="1" applyFont="1" applyFill="1" applyBorder="1" applyAlignment="1">
      <alignment horizontal="center" vertical="center"/>
    </xf>
    <xf numFmtId="164" fontId="18" fillId="15" borderId="39" xfId="0" applyNumberFormat="1" applyFont="1" applyFill="1" applyBorder="1" applyAlignment="1">
      <alignment horizontal="center" vertical="center"/>
    </xf>
    <xf numFmtId="164" fontId="18" fillId="14" borderId="5" xfId="0" applyNumberFormat="1" applyFont="1" applyFill="1" applyBorder="1" applyAlignment="1">
      <alignment horizontal="center"/>
    </xf>
    <xf numFmtId="164" fontId="18" fillId="14" borderId="10" xfId="0" applyNumberFormat="1" applyFont="1" applyFill="1" applyBorder="1" applyAlignment="1">
      <alignment horizontal="center"/>
    </xf>
    <xf numFmtId="164" fontId="18" fillId="15" borderId="4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 vertical="center"/>
    </xf>
    <xf numFmtId="0" fontId="19" fillId="20" borderId="4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19" fillId="18" borderId="4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/>
    </xf>
    <xf numFmtId="0" fontId="19" fillId="14" borderId="3" xfId="0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4" fontId="19" fillId="5" borderId="4" xfId="0" applyNumberFormat="1" applyFont="1" applyFill="1" applyBorder="1" applyAlignment="1">
      <alignment horizontal="center" vertical="center"/>
    </xf>
    <xf numFmtId="164" fontId="19" fillId="3" borderId="2" xfId="0" applyNumberFormat="1" applyFont="1" applyFill="1" applyBorder="1" applyAlignment="1">
      <alignment horizontal="center" vertical="center"/>
    </xf>
    <xf numFmtId="164" fontId="19" fillId="3" borderId="4" xfId="0" applyNumberFormat="1" applyFont="1" applyFill="1" applyBorder="1" applyAlignment="1">
      <alignment horizontal="center" vertical="center"/>
    </xf>
    <xf numFmtId="164" fontId="19" fillId="5" borderId="3" xfId="0" applyNumberFormat="1" applyFont="1" applyFill="1" applyBorder="1" applyAlignment="1">
      <alignment horizontal="center" vertical="center"/>
    </xf>
    <xf numFmtId="164" fontId="19" fillId="3" borderId="3" xfId="0" applyNumberFormat="1" applyFont="1" applyFill="1" applyBorder="1" applyAlignment="1">
      <alignment horizontal="center" vertical="center"/>
    </xf>
    <xf numFmtId="164" fontId="19" fillId="7" borderId="2" xfId="0" applyNumberFormat="1" applyFont="1" applyFill="1" applyBorder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0" fontId="19" fillId="32" borderId="2" xfId="0" applyFont="1" applyFill="1" applyBorder="1" applyAlignment="1">
      <alignment horizontal="center" vertical="center"/>
    </xf>
    <xf numFmtId="0" fontId="19" fillId="32" borderId="4" xfId="0" applyFont="1" applyFill="1" applyBorder="1" applyAlignment="1">
      <alignment horizontal="center" vertical="center"/>
    </xf>
    <xf numFmtId="0" fontId="19" fillId="32" borderId="3" xfId="0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2" fontId="5" fillId="0" borderId="12" xfId="1" applyNumberFormat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/>
    </xf>
    <xf numFmtId="2" fontId="5" fillId="0" borderId="18" xfId="1" applyNumberFormat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80" xfId="1" applyFont="1" applyBorder="1" applyAlignment="1">
      <alignment horizontal="center" vertical="center"/>
    </xf>
    <xf numFmtId="0" fontId="9" fillId="0" borderId="53" xfId="1" applyFont="1" applyBorder="1" applyAlignment="1">
      <alignment horizontal="center" vertical="center"/>
    </xf>
    <xf numFmtId="0" fontId="9" fillId="0" borderId="54" xfId="1" applyFont="1" applyBorder="1" applyAlignment="1">
      <alignment horizontal="center" vertical="center"/>
    </xf>
    <xf numFmtId="0" fontId="9" fillId="0" borderId="55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30" fillId="0" borderId="33" xfId="1" applyFont="1" applyBorder="1" applyAlignment="1">
      <alignment horizontal="center" vertical="center"/>
    </xf>
    <xf numFmtId="0" fontId="30" fillId="0" borderId="31" xfId="1" applyFont="1" applyBorder="1" applyAlignment="1">
      <alignment horizontal="center" vertical="center"/>
    </xf>
    <xf numFmtId="0" fontId="35" fillId="0" borderId="31" xfId="1" applyFont="1" applyBorder="1" applyAlignment="1">
      <alignment horizontal="center" vertical="center"/>
    </xf>
    <xf numFmtId="0" fontId="35" fillId="0" borderId="32" xfId="1" applyFont="1" applyBorder="1" applyAlignment="1">
      <alignment horizontal="center" vertical="center"/>
    </xf>
    <xf numFmtId="0" fontId="30" fillId="0" borderId="32" xfId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4" borderId="64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9" fillId="14" borderId="5" xfId="0" applyFont="1" applyFill="1" applyBorder="1" applyAlignment="1">
      <alignment horizontal="center"/>
    </xf>
    <xf numFmtId="0" fontId="19" fillId="14" borderId="2" xfId="0" applyFont="1" applyFill="1" applyBorder="1" applyAlignment="1">
      <alignment horizontal="center"/>
    </xf>
    <xf numFmtId="0" fontId="19" fillId="14" borderId="4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center"/>
    </xf>
    <xf numFmtId="0" fontId="19" fillId="14" borderId="3" xfId="0" applyFont="1" applyFill="1" applyBorder="1" applyAlignment="1">
      <alignment horizontal="center"/>
    </xf>
    <xf numFmtId="1" fontId="19" fillId="14" borderId="1" xfId="0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19" fillId="21" borderId="2" xfId="0" applyFont="1" applyFill="1" applyBorder="1" applyAlignment="1">
      <alignment vertical="center" wrapText="1"/>
    </xf>
    <xf numFmtId="0" fontId="19" fillId="21" borderId="4" xfId="0" applyFont="1" applyFill="1" applyBorder="1" applyAlignment="1">
      <alignment vertical="center" wrapText="1"/>
    </xf>
    <xf numFmtId="0" fontId="19" fillId="21" borderId="3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</cellXfs>
  <cellStyles count="42">
    <cellStyle name="Comma 2" xfId="4" xr:uid="{AE1D15C7-B693-47C7-89BE-09094E93CD8E}"/>
    <cellStyle name="Comma 2 2" xfId="12" xr:uid="{12034F36-D256-42AF-B866-7B232468BFFF}"/>
    <cellStyle name="Comma 2 2 2" xfId="16" xr:uid="{EBF0C091-4036-4290-B486-429E3E7D104E}"/>
    <cellStyle name="Comma 2 2 2 2" xfId="24" xr:uid="{5969A770-7E00-490D-A2AC-E8649AD8EDF7}"/>
    <cellStyle name="Comma 2 2 2 2 2" xfId="41" xr:uid="{4BFDF2CE-4716-49F6-A239-E9F3C400B568}"/>
    <cellStyle name="Comma 2 2 2 3" xfId="33" xr:uid="{ADF54FF4-B597-4FAF-8C36-76AA32D9AE7E}"/>
    <cellStyle name="Comma 2 2 3" xfId="20" xr:uid="{3BE22733-2AFC-4B14-A49A-4004B0D15E5E}"/>
    <cellStyle name="Comma 2 2 3 2" xfId="37" xr:uid="{7445BF86-733B-4E29-9278-9E77BF60729D}"/>
    <cellStyle name="Comma 2 2 4" xfId="29" xr:uid="{2361F258-E8BA-490D-A3F3-D105B44215CF}"/>
    <cellStyle name="Comma 2 3" xfId="14" xr:uid="{455BD4D8-3DB6-4135-A684-421E55CF465C}"/>
    <cellStyle name="Comma 2 3 2" xfId="22" xr:uid="{CEB1BB31-9E05-4C23-B664-F06806114AB1}"/>
    <cellStyle name="Comma 2 3 2 2" xfId="39" xr:uid="{CB970A83-DEDD-4344-99BE-4F962B3AE10F}"/>
    <cellStyle name="Comma 2 3 3" xfId="31" xr:uid="{772EBE16-91AE-4B4A-AD5A-9655C44FE953}"/>
    <cellStyle name="Comma 2 4" xfId="18" xr:uid="{82276E65-92AA-4892-8415-C71E0CB3C2DB}"/>
    <cellStyle name="Comma 2 4 2" xfId="35" xr:uid="{690B6BB7-4BA5-4F43-91BE-EFC2C394A61A}"/>
    <cellStyle name="Comma 2 5" xfId="10" xr:uid="{72D2A882-A21F-45C9-BDBD-A09318392203}"/>
    <cellStyle name="Comma 2 6" xfId="27" xr:uid="{9F4E58B7-56A4-4A01-B311-966911EB986E}"/>
    <cellStyle name="Comma 3" xfId="11" xr:uid="{DB2D6A2C-3167-492A-AB0C-EFDBF072696A}"/>
    <cellStyle name="Comma 3 2" xfId="15" xr:uid="{74557129-3060-4701-9118-CE98CFDAF3BA}"/>
    <cellStyle name="Comma 3 2 2" xfId="23" xr:uid="{A6745582-A230-4B9C-A490-1CAF79AD6FEC}"/>
    <cellStyle name="Comma 3 2 2 2" xfId="40" xr:uid="{6468F9E5-4F5A-4DE4-BE31-153511C97EF5}"/>
    <cellStyle name="Comma 3 2 3" xfId="32" xr:uid="{0B043656-CCCE-412F-8064-00461C50A825}"/>
    <cellStyle name="Comma 3 3" xfId="19" xr:uid="{6CA2DF1B-00FE-4DBC-B002-4BDDEB98CDB1}"/>
    <cellStyle name="Comma 3 3 2" xfId="36" xr:uid="{89E75A1D-EA76-4A13-A2C6-38C7B6537497}"/>
    <cellStyle name="Comma 3 4" xfId="28" xr:uid="{7697893A-C996-4B34-88F2-A0323AFD0A3C}"/>
    <cellStyle name="Comma 4" xfId="13" xr:uid="{F10E3EBF-FF3A-41D0-AD5F-F8B729213CA8}"/>
    <cellStyle name="Comma 4 2" xfId="21" xr:uid="{D7C7EAF1-B248-4235-BCC8-744BA1023D19}"/>
    <cellStyle name="Comma 4 2 2" xfId="38" xr:uid="{9A64B460-64EB-497B-8550-C706ECBE2DAE}"/>
    <cellStyle name="Comma 4 3" xfId="30" xr:uid="{44154190-EE65-477D-82F3-82D62529BFD6}"/>
    <cellStyle name="Comma 5" xfId="17" xr:uid="{25FB7336-9BC3-48B8-9A4B-8EE530848E25}"/>
    <cellStyle name="Comma 5 2" xfId="34" xr:uid="{983F5C7C-C09D-4D3F-9992-E0F09613D7CE}"/>
    <cellStyle name="Comma 6" xfId="9" xr:uid="{079478C6-51E7-4948-8349-36E63209A830}"/>
    <cellStyle name="Comma 7" xfId="26" xr:uid="{302EC938-975D-4444-B9C0-3A6D4303B55B}"/>
    <cellStyle name="flooded" xfId="8" xr:uid="{EC4A63AF-01B9-45C6-84DD-E207DDF60F82}"/>
    <cellStyle name="Normal" xfId="0" builtinId="0"/>
    <cellStyle name="Normal 10 2" xfId="2" xr:uid="{28F82ED1-C6D5-43B4-956B-137B885BE704}"/>
    <cellStyle name="Normal 11" xfId="1" xr:uid="{3F51B78A-C212-4107-98B6-D858D354DE2F}"/>
    <cellStyle name="Normal 2" xfId="6" xr:uid="{1166D958-D605-4048-BDF8-C43E9C869F91}"/>
    <cellStyle name="Normal 2 2" xfId="5" xr:uid="{F765F5ED-B8BA-4939-BFEE-BF86DE35E183}"/>
    <cellStyle name="Normal 3" xfId="7" xr:uid="{D9754DA4-9AFA-46A9-B536-18C05DDF9AB5}"/>
    <cellStyle name="Normal 6" xfId="3" xr:uid="{6B91D7A2-CD3D-4A6C-BA4E-B9C8879469D2}"/>
    <cellStyle name="Normal 8" xfId="25" xr:uid="{99C8A016-C4BA-4502-9206-C01D5504D9FC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OVERALL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OVERALL!$D$3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OVERALL!$D$4</c:f>
              <c:numCache>
                <c:formatCode>General</c:formatCode>
                <c:ptCount val="1"/>
                <c:pt idx="0">
                  <c:v>962.07999999999981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0-4057-8639-3AF1F07C101D}"/>
            </c:ext>
          </c:extLst>
        </c:ser>
        <c:ser>
          <c:idx val="1"/>
          <c:order val="1"/>
          <c:tx>
            <c:strRef>
              <c:f>OVERALL!$E$3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OVERALL!$E$4</c:f>
              <c:numCache>
                <c:formatCode>General</c:formatCode>
                <c:ptCount val="1"/>
                <c:pt idx="0">
                  <c:v>569.57000000000005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0-4057-8639-3AF1F07C101D}"/>
            </c:ext>
          </c:extLst>
        </c:ser>
        <c:ser>
          <c:idx val="2"/>
          <c:order val="2"/>
          <c:tx>
            <c:strRef>
              <c:f>OVERALL!$F$3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OVERALL!$F$4</c:f>
              <c:numCache>
                <c:formatCode>General</c:formatCode>
                <c:ptCount val="1"/>
                <c:pt idx="0">
                  <c:v>136.71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0-4057-8639-3AF1F07C10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OVERALL!$C$3</c:f>
              <c:strCache>
                <c:ptCount val="1"/>
                <c:pt idx="0">
                  <c:v>Budget 2025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OVERALL!$C$4</c:f>
              <c:numCache>
                <c:formatCode>#,##0</c:formatCode>
                <c:ptCount val="1"/>
                <c:pt idx="0">
                  <c:v>1481.5800000000002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80-4057-8639-3AF1F07C101D}"/>
            </c:ext>
          </c:extLst>
        </c:ser>
        <c:ser>
          <c:idx val="4"/>
          <c:order val="4"/>
          <c:tx>
            <c:strRef>
              <c:f>OVERALL!$G$3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OVERALL!$A$4</c:f>
              <c:strCache>
                <c:ptCount val="1"/>
                <c:pt idx="0">
                  <c:v>All Blocks</c:v>
                </c:pt>
              </c:strCache>
            </c:strRef>
          </c:cat>
          <c:val>
            <c:numRef>
              <c:f>OVERALL!$G$4</c:f>
              <c:numCache>
                <c:formatCode>General</c:formatCode>
                <c:ptCount val="1"/>
                <c:pt idx="0">
                  <c:v>1668.36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80-4057-8639-3AF1F07C1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37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OVERALL PERFORMANCE - BY HARVESTER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BY GANG'!$D$3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GANG'!$D$4:$D$9</c:f>
              <c:numCache>
                <c:formatCode>0.00</c:formatCode>
                <c:ptCount val="6"/>
                <c:pt idx="0">
                  <c:v>146.76000000000002</c:v>
                </c:pt>
                <c:pt idx="1">
                  <c:v>219.51</c:v>
                </c:pt>
                <c:pt idx="2">
                  <c:v>44.260000000000005</c:v>
                </c:pt>
                <c:pt idx="3">
                  <c:v>197.07999999999998</c:v>
                </c:pt>
                <c:pt idx="4">
                  <c:v>254.44999999999996</c:v>
                </c:pt>
                <c:pt idx="5">
                  <c:v>100.02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3-40DD-9392-E3012101C9C7}"/>
            </c:ext>
          </c:extLst>
        </c:ser>
        <c:ser>
          <c:idx val="1"/>
          <c:order val="1"/>
          <c:tx>
            <c:strRef>
              <c:f>'OVERALL BY GANG'!$E$3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GANG'!$E$4:$E$9</c:f>
              <c:numCache>
                <c:formatCode>0.00</c:formatCode>
                <c:ptCount val="6"/>
                <c:pt idx="0">
                  <c:v>63.45</c:v>
                </c:pt>
                <c:pt idx="1">
                  <c:v>135.79999999999998</c:v>
                </c:pt>
                <c:pt idx="2">
                  <c:v>106.02999999999999</c:v>
                </c:pt>
                <c:pt idx="3">
                  <c:v>68.679999999999993</c:v>
                </c:pt>
                <c:pt idx="4">
                  <c:v>134.25</c:v>
                </c:pt>
                <c:pt idx="5">
                  <c:v>61.360000000000007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3-40DD-9392-E3012101C9C7}"/>
            </c:ext>
          </c:extLst>
        </c:ser>
        <c:ser>
          <c:idx val="2"/>
          <c:order val="2"/>
          <c:tx>
            <c:strRef>
              <c:f>'OVERALL BY GANG'!$F$3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GANG'!$F$10</c:f>
              <c:numCache>
                <c:formatCode>0.00</c:formatCode>
                <c:ptCount val="1"/>
                <c:pt idx="0">
                  <c:v>136.71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3-40DD-9392-E3012101C9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'OVERALL BY GANG'!$C$3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GANG'!$C$4:$C$9</c:f>
              <c:numCache>
                <c:formatCode>0.00</c:formatCode>
                <c:ptCount val="6"/>
                <c:pt idx="0">
                  <c:v>190.06</c:v>
                </c:pt>
                <c:pt idx="1">
                  <c:v>466.2</c:v>
                </c:pt>
                <c:pt idx="2">
                  <c:v>119.86</c:v>
                </c:pt>
                <c:pt idx="3">
                  <c:v>291.64</c:v>
                </c:pt>
                <c:pt idx="4">
                  <c:v>339.92</c:v>
                </c:pt>
                <c:pt idx="5">
                  <c:v>73.900000000000006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93-40DD-9392-E3012101C9C7}"/>
            </c:ext>
          </c:extLst>
        </c:ser>
        <c:ser>
          <c:idx val="4"/>
          <c:order val="4"/>
          <c:tx>
            <c:strRef>
              <c:f>'OVERALL BY GANG'!$G$3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BY GANG'!$A$4:$A$9</c:f>
              <c:strCache>
                <c:ptCount val="6"/>
                <c:pt idx="0">
                  <c:v>YUVENTUS UN GANG</c:v>
                </c:pt>
                <c:pt idx="1">
                  <c:v>DARSO GANG</c:v>
                </c:pt>
                <c:pt idx="2">
                  <c:v>ERDI GANG - to be taken by YUDI</c:v>
                </c:pt>
                <c:pt idx="3">
                  <c:v>SOFIO MODENTUS MISSA GANG - previously SERAN</c:v>
                </c:pt>
                <c:pt idx="4">
                  <c:v>NU AZANI GANG</c:v>
                </c:pt>
                <c:pt idx="5">
                  <c:v>WENDERLINUS GANG </c:v>
                </c:pt>
              </c:strCache>
            </c:strRef>
          </c:cat>
          <c:val>
            <c:numRef>
              <c:f>'OVERALL BY GANG'!$G$4:$G$9</c:f>
              <c:numCache>
                <c:formatCode>General</c:formatCode>
                <c:ptCount val="6"/>
                <c:pt idx="0">
                  <c:v>212.82000000000005</c:v>
                </c:pt>
                <c:pt idx="1">
                  <c:v>474.38999999999993</c:v>
                </c:pt>
                <c:pt idx="2">
                  <c:v>150.29</c:v>
                </c:pt>
                <c:pt idx="3">
                  <c:v>268.27</c:v>
                </c:pt>
                <c:pt idx="4">
                  <c:v>398.05999999999995</c:v>
                </c:pt>
                <c:pt idx="5">
                  <c:v>164.53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93-40DD-9392-E3012101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HARVESTER GANG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MIKHAEL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'YUVENTUS UN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GANG'!$D$7:$D$9</c:f>
              <c:numCache>
                <c:formatCode>General</c:formatCode>
                <c:ptCount val="3"/>
                <c:pt idx="0">
                  <c:v>44.13</c:v>
                </c:pt>
                <c:pt idx="1">
                  <c:v>60.980000000000004</c:v>
                </c:pt>
                <c:pt idx="2">
                  <c:v>41.65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3-4DD4-8080-514D1789C30D}"/>
            </c:ext>
          </c:extLst>
        </c:ser>
        <c:ser>
          <c:idx val="1"/>
          <c:order val="1"/>
          <c:tx>
            <c:strRef>
              <c:f>'YUVENTUS UN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GANG'!$E$7:$E$9</c:f>
              <c:numCache>
                <c:formatCode>General</c:formatCode>
                <c:ptCount val="3"/>
                <c:pt idx="0">
                  <c:v>20.149999999999999</c:v>
                </c:pt>
                <c:pt idx="1">
                  <c:v>25.28</c:v>
                </c:pt>
                <c:pt idx="2">
                  <c:v>18.02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3-4DD4-8080-514D1789C30D}"/>
            </c:ext>
          </c:extLst>
        </c:ser>
        <c:ser>
          <c:idx val="2"/>
          <c:order val="2"/>
          <c:tx>
            <c:strRef>
              <c:f>'YUVENTUS UN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GANG'!$F$7:$F$9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3-4DD4-8080-514D1789C3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'YUVENTUS UN GANG'!$C$6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'YUVENTUS UN GANG'!$A$7:$A$9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14</c:v>
                </c:pt>
              </c:numCache>
            </c:numRef>
          </c:cat>
          <c:val>
            <c:numRef>
              <c:f>'YUVENTUS UN GANG'!$C$7:$C$9</c:f>
              <c:numCache>
                <c:formatCode>General</c:formatCode>
                <c:ptCount val="3"/>
                <c:pt idx="0">
                  <c:v>61.54</c:v>
                </c:pt>
                <c:pt idx="1">
                  <c:v>78.72</c:v>
                </c:pt>
                <c:pt idx="2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3-4DD4-8080-514D1789C30D}"/>
            </c:ext>
          </c:extLst>
        </c:ser>
        <c:ser>
          <c:idx val="4"/>
          <c:order val="4"/>
          <c:tx>
            <c:strRef>
              <c:f>'YUVENTUS UN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'YUVENTUS UN GANG'!$G$7:$G$9</c:f>
              <c:numCache>
                <c:formatCode>General</c:formatCode>
                <c:ptCount val="3"/>
                <c:pt idx="0">
                  <c:v>64.28</c:v>
                </c:pt>
                <c:pt idx="1">
                  <c:v>86.26</c:v>
                </c:pt>
                <c:pt idx="2">
                  <c:v>62.28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9-47D3-B919-3A4C9D49D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DARSO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'DARSO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GANG'!$D$7:$D$13</c:f>
              <c:numCache>
                <c:formatCode>General</c:formatCode>
                <c:ptCount val="7"/>
                <c:pt idx="0">
                  <c:v>33.380000000000003</c:v>
                </c:pt>
                <c:pt idx="1">
                  <c:v>36.950000000000003</c:v>
                </c:pt>
                <c:pt idx="2">
                  <c:v>25.86</c:v>
                </c:pt>
                <c:pt idx="3">
                  <c:v>19.59</c:v>
                </c:pt>
                <c:pt idx="4">
                  <c:v>29.87</c:v>
                </c:pt>
                <c:pt idx="5">
                  <c:v>32.61</c:v>
                </c:pt>
                <c:pt idx="6">
                  <c:v>41.25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0-4DC5-A278-ECB63AF931E1}"/>
            </c:ext>
          </c:extLst>
        </c:ser>
        <c:ser>
          <c:idx val="1"/>
          <c:order val="1"/>
          <c:tx>
            <c:strRef>
              <c:f>'DARSO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GANG'!$E$7:$E$13</c:f>
              <c:numCache>
                <c:formatCode>General</c:formatCode>
                <c:ptCount val="7"/>
                <c:pt idx="0">
                  <c:v>10.51</c:v>
                </c:pt>
                <c:pt idx="1">
                  <c:v>21.07</c:v>
                </c:pt>
                <c:pt idx="2">
                  <c:v>13.43</c:v>
                </c:pt>
                <c:pt idx="3">
                  <c:v>14.64</c:v>
                </c:pt>
                <c:pt idx="4">
                  <c:v>19.36</c:v>
                </c:pt>
                <c:pt idx="5">
                  <c:v>37.53</c:v>
                </c:pt>
                <c:pt idx="6">
                  <c:v>19.259999999999998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0-4DC5-A278-ECB63AF931E1}"/>
            </c:ext>
          </c:extLst>
        </c:ser>
        <c:ser>
          <c:idx val="2"/>
          <c:order val="2"/>
          <c:tx>
            <c:strRef>
              <c:f>'DARSO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GANG'!$F$7:$F$13</c:f>
              <c:numCache>
                <c:formatCode>General</c:formatCode>
                <c:ptCount val="7"/>
                <c:pt idx="0">
                  <c:v>20.07</c:v>
                </c:pt>
                <c:pt idx="1">
                  <c:v>22.21</c:v>
                </c:pt>
                <c:pt idx="2">
                  <c:v>18.86</c:v>
                </c:pt>
                <c:pt idx="3">
                  <c:v>10.050000000000001</c:v>
                </c:pt>
                <c:pt idx="4">
                  <c:v>0</c:v>
                </c:pt>
                <c:pt idx="5">
                  <c:v>23.66</c:v>
                </c:pt>
                <c:pt idx="6">
                  <c:v>24.229999999999997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0-4DC5-A278-ECB63AF93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'DARSO GANG'!$C$6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GANG'!$C$7:$C$13</c:f>
              <c:numCache>
                <c:formatCode>General</c:formatCode>
                <c:ptCount val="7"/>
                <c:pt idx="0">
                  <c:v>56.339999999999996</c:v>
                </c:pt>
                <c:pt idx="1">
                  <c:v>60.48</c:v>
                </c:pt>
                <c:pt idx="2">
                  <c:v>57.419999999999995</c:v>
                </c:pt>
                <c:pt idx="3">
                  <c:v>60.48</c:v>
                </c:pt>
                <c:pt idx="4">
                  <c:v>74.16</c:v>
                </c:pt>
                <c:pt idx="5">
                  <c:v>94.56</c:v>
                </c:pt>
                <c:pt idx="6">
                  <c:v>62.76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0-4DC5-A278-ECB63AF931E1}"/>
            </c:ext>
          </c:extLst>
        </c:ser>
        <c:ser>
          <c:idx val="4"/>
          <c:order val="4"/>
          <c:tx>
            <c:strRef>
              <c:f>'DARSO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'DARSO GANG'!$A$7:$A$13</c:f>
              <c:numCache>
                <c:formatCode>General</c:formatCode>
                <c:ptCount val="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</c:numCache>
            </c:numRef>
          </c:cat>
          <c:val>
            <c:numRef>
              <c:f>'DARSO GANG'!$G$7:$G$13</c:f>
              <c:numCache>
                <c:formatCode>General</c:formatCode>
                <c:ptCount val="7"/>
                <c:pt idx="0">
                  <c:v>63.96</c:v>
                </c:pt>
                <c:pt idx="1">
                  <c:v>80.23</c:v>
                </c:pt>
                <c:pt idx="2">
                  <c:v>58.15</c:v>
                </c:pt>
                <c:pt idx="3">
                  <c:v>44.28</c:v>
                </c:pt>
                <c:pt idx="4">
                  <c:v>49.230000000000004</c:v>
                </c:pt>
                <c:pt idx="5">
                  <c:v>93.8</c:v>
                </c:pt>
                <c:pt idx="6">
                  <c:v>84.74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0-4DC5-A278-ECB63AF931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9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ERDI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'YUDI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GANG'!$D$7:$D$9</c:f>
              <c:numCache>
                <c:formatCode>General</c:formatCode>
                <c:ptCount val="3"/>
                <c:pt idx="0">
                  <c:v>3.25</c:v>
                </c:pt>
                <c:pt idx="1">
                  <c:v>34.840000000000003</c:v>
                </c:pt>
                <c:pt idx="2">
                  <c:v>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F-45D1-8DE5-7EBFBE1DAE6F}"/>
            </c:ext>
          </c:extLst>
        </c:ser>
        <c:ser>
          <c:idx val="1"/>
          <c:order val="1"/>
          <c:tx>
            <c:strRef>
              <c:f>'YUDI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GANG'!$E$7:$E$9</c:f>
              <c:numCache>
                <c:formatCode>General</c:formatCode>
                <c:ptCount val="3"/>
                <c:pt idx="0">
                  <c:v>86.719999999999985</c:v>
                </c:pt>
                <c:pt idx="1">
                  <c:v>15.729999999999999</c:v>
                </c:pt>
                <c:pt idx="2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F-45D1-8DE5-7EBFBE1DAE6F}"/>
            </c:ext>
          </c:extLst>
        </c:ser>
        <c:ser>
          <c:idx val="2"/>
          <c:order val="2"/>
          <c:tx>
            <c:strRef>
              <c:f>'YUDI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GANG'!$F$7:$F$9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F-45D1-8DE5-7EBFBE1DA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'YUDI GANG'!$C$6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GANG'!$C$7:$C$9</c:f>
              <c:numCache>
                <c:formatCode>General</c:formatCode>
                <c:ptCount val="3"/>
                <c:pt idx="0">
                  <c:v>68.06</c:v>
                </c:pt>
                <c:pt idx="1">
                  <c:v>48.239999999999995</c:v>
                </c:pt>
                <c:pt idx="2">
                  <c:v>3.5599999999999996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DF-45D1-8DE5-7EBFBE1DAE6F}"/>
            </c:ext>
          </c:extLst>
        </c:ser>
        <c:ser>
          <c:idx val="4"/>
          <c:order val="4"/>
          <c:tx>
            <c:strRef>
              <c:f>'YUDI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'YUDI GANG'!$A$7:$A$9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29</c:v>
                </c:pt>
              </c:numCache>
            </c:numRef>
          </c:cat>
          <c:val>
            <c:numRef>
              <c:f>'YUDI GANG'!$G$7:$G$9</c:f>
              <c:numCache>
                <c:formatCode>General</c:formatCode>
                <c:ptCount val="3"/>
                <c:pt idx="0">
                  <c:v>89.969999999999985</c:v>
                </c:pt>
                <c:pt idx="1">
                  <c:v>50.57</c:v>
                </c:pt>
                <c:pt idx="2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DF-45D1-8DE5-7EBFBE1DAE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7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SERAN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'SOFIO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GANG'!$D$7:$D$12</c:f>
              <c:numCache>
                <c:formatCode>General</c:formatCode>
                <c:ptCount val="6"/>
                <c:pt idx="0">
                  <c:v>56.01</c:v>
                </c:pt>
                <c:pt idx="1">
                  <c:v>15.7</c:v>
                </c:pt>
                <c:pt idx="2">
                  <c:v>40.300000000000004</c:v>
                </c:pt>
                <c:pt idx="3">
                  <c:v>24.72</c:v>
                </c:pt>
                <c:pt idx="4">
                  <c:v>17.37</c:v>
                </c:pt>
                <c:pt idx="5">
                  <c:v>42.98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E-4B34-9951-6713D4A66AD4}"/>
            </c:ext>
          </c:extLst>
        </c:ser>
        <c:ser>
          <c:idx val="1"/>
          <c:order val="1"/>
          <c:tx>
            <c:strRef>
              <c:f>'SOFIO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GANG'!$E$7:$E$12</c:f>
              <c:numCache>
                <c:formatCode>General</c:formatCode>
                <c:ptCount val="6"/>
                <c:pt idx="0">
                  <c:v>14.9</c:v>
                </c:pt>
                <c:pt idx="1">
                  <c:v>20.68</c:v>
                </c:pt>
                <c:pt idx="2">
                  <c:v>15.989999999999998</c:v>
                </c:pt>
                <c:pt idx="3">
                  <c:v>0</c:v>
                </c:pt>
                <c:pt idx="4">
                  <c:v>3.79</c:v>
                </c:pt>
                <c:pt idx="5">
                  <c:v>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E-4B34-9951-6713D4A66AD4}"/>
            </c:ext>
          </c:extLst>
        </c:ser>
        <c:ser>
          <c:idx val="2"/>
          <c:order val="2"/>
          <c:tx>
            <c:strRef>
              <c:f>'SOFIO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GANG'!$F$7:$F$12</c:f>
              <c:numCache>
                <c:formatCode>General</c:formatCode>
                <c:ptCount val="6"/>
                <c:pt idx="0">
                  <c:v>0</c:v>
                </c:pt>
                <c:pt idx="1">
                  <c:v>2.5099999999999998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E-4B34-9951-6713D4A66A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'SOFIO GANG'!$C$6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GANG'!$C$7:$C$12</c:f>
              <c:numCache>
                <c:formatCode>General</c:formatCode>
                <c:ptCount val="6"/>
                <c:pt idx="0">
                  <c:v>81.459999999999994</c:v>
                </c:pt>
                <c:pt idx="1">
                  <c:v>57.48</c:v>
                </c:pt>
                <c:pt idx="2">
                  <c:v>66.84</c:v>
                </c:pt>
                <c:pt idx="3">
                  <c:v>22.86</c:v>
                </c:pt>
                <c:pt idx="4">
                  <c:v>17.34</c:v>
                </c:pt>
                <c:pt idx="5">
                  <c:v>45.66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E-4B34-9951-6713D4A66AD4}"/>
            </c:ext>
          </c:extLst>
        </c:ser>
        <c:ser>
          <c:idx val="4"/>
          <c:order val="4"/>
          <c:tx>
            <c:strRef>
              <c:f>'SOFIO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'SOFIO GANG'!$A$7:$A$13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'SOFIO GANG'!$G$7:$G$12</c:f>
              <c:numCache>
                <c:formatCode>General</c:formatCode>
                <c:ptCount val="6"/>
                <c:pt idx="0">
                  <c:v>70.91</c:v>
                </c:pt>
                <c:pt idx="1">
                  <c:v>38.889999999999993</c:v>
                </c:pt>
                <c:pt idx="2">
                  <c:v>56.290000000000006</c:v>
                </c:pt>
                <c:pt idx="3">
                  <c:v>24.72</c:v>
                </c:pt>
                <c:pt idx="4">
                  <c:v>21.16</c:v>
                </c:pt>
                <c:pt idx="5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9E-4B34-9951-6713D4A66A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NU AZANI GANG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 AZANI GANG'!$D$6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GANG'!$D$7:$D$12</c:f>
              <c:numCache>
                <c:formatCode>General</c:formatCode>
                <c:ptCount val="6"/>
                <c:pt idx="0">
                  <c:v>43.65</c:v>
                </c:pt>
                <c:pt idx="1">
                  <c:v>28.68</c:v>
                </c:pt>
                <c:pt idx="2">
                  <c:v>62.379999999999995</c:v>
                </c:pt>
                <c:pt idx="3">
                  <c:v>17.559999999999999</c:v>
                </c:pt>
                <c:pt idx="4">
                  <c:v>59.519999999999996</c:v>
                </c:pt>
                <c:pt idx="5">
                  <c:v>42.66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E-4A85-9E42-C74344522A75}"/>
            </c:ext>
          </c:extLst>
        </c:ser>
        <c:ser>
          <c:idx val="1"/>
          <c:order val="1"/>
          <c:tx>
            <c:strRef>
              <c:f>'NU AZANI GANG'!$E$6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GANG'!$E$7:$E$12</c:f>
              <c:numCache>
                <c:formatCode>General</c:formatCode>
                <c:ptCount val="6"/>
                <c:pt idx="0">
                  <c:v>36.49</c:v>
                </c:pt>
                <c:pt idx="1">
                  <c:v>17.309999999999999</c:v>
                </c:pt>
                <c:pt idx="2">
                  <c:v>22.2</c:v>
                </c:pt>
                <c:pt idx="3">
                  <c:v>10.92</c:v>
                </c:pt>
                <c:pt idx="4">
                  <c:v>29.65</c:v>
                </c:pt>
                <c:pt idx="5">
                  <c:v>17.68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E-4A85-9E42-C74344522A75}"/>
            </c:ext>
          </c:extLst>
        </c:ser>
        <c:ser>
          <c:idx val="2"/>
          <c:order val="2"/>
          <c:tx>
            <c:strRef>
              <c:f>'NU AZANI GANG'!$F$6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GANG'!$F$7:$F$12</c:f>
              <c:numCache>
                <c:formatCode>General</c:formatCode>
                <c:ptCount val="6"/>
                <c:pt idx="0">
                  <c:v>9.36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E-4A85-9E42-C74344522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'NU AZANI GANG'!$C$6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GANG'!$C$7:$C$12</c:f>
              <c:numCache>
                <c:formatCode>General</c:formatCode>
                <c:ptCount val="6"/>
                <c:pt idx="0">
                  <c:v>70.3</c:v>
                </c:pt>
                <c:pt idx="1">
                  <c:v>39.479999999999997</c:v>
                </c:pt>
                <c:pt idx="2">
                  <c:v>81.88</c:v>
                </c:pt>
                <c:pt idx="3">
                  <c:v>20.58</c:v>
                </c:pt>
                <c:pt idx="4">
                  <c:v>76.319999999999993</c:v>
                </c:pt>
                <c:pt idx="5">
                  <c:v>51.36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E-4A85-9E42-C74344522A75}"/>
            </c:ext>
          </c:extLst>
        </c:ser>
        <c:ser>
          <c:idx val="4"/>
          <c:order val="4"/>
          <c:tx>
            <c:strRef>
              <c:f>'NU AZANI GANG'!$G$6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'NU AZANI GANG'!$A$7:$A$13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</c:numCache>
            </c:numRef>
          </c:cat>
          <c:val>
            <c:numRef>
              <c:f>'NU AZANI GANG'!$G$7:$G$12</c:f>
              <c:numCache>
                <c:formatCode>General</c:formatCode>
                <c:ptCount val="6"/>
                <c:pt idx="0">
                  <c:v>89.5</c:v>
                </c:pt>
                <c:pt idx="1">
                  <c:v>45.989999999999995</c:v>
                </c:pt>
                <c:pt idx="2">
                  <c:v>84.58</c:v>
                </c:pt>
                <c:pt idx="3">
                  <c:v>28.479999999999997</c:v>
                </c:pt>
                <c:pt idx="4">
                  <c:v>89.169999999999987</c:v>
                </c:pt>
                <c:pt idx="5">
                  <c:v>60.339999999999996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E-4A85-9E42-C74344522A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 sz="1800" b="1" i="0" u="none" strike="noStrike" kern="1200" baseline="0">
                <a:solidFill>
                  <a:sysClr val="windowText" lastClr="000000"/>
                </a:solidFill>
              </a:rPr>
              <a:t>WENDERLINUS GANG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'WENDERLINUS GANG '!$D$6</c:f>
              <c:strCache>
                <c:ptCount val="1"/>
                <c:pt idx="0">
                  <c:v>1st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'!$D$7:$D$11</c:f>
              <c:numCache>
                <c:formatCode>General</c:formatCode>
                <c:ptCount val="5"/>
                <c:pt idx="0">
                  <c:v>16.68</c:v>
                </c:pt>
                <c:pt idx="1">
                  <c:v>14.24</c:v>
                </c:pt>
                <c:pt idx="2">
                  <c:v>8.31</c:v>
                </c:pt>
                <c:pt idx="3">
                  <c:v>16.89</c:v>
                </c:pt>
                <c:pt idx="4">
                  <c:v>11.82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2-4C21-8DAB-153FBC0DB9B2}"/>
            </c:ext>
          </c:extLst>
        </c:ser>
        <c:ser>
          <c:idx val="1"/>
          <c:order val="1"/>
          <c:tx>
            <c:strRef>
              <c:f>'WENDERLINUS GANG '!$E$6</c:f>
              <c:strCache>
                <c:ptCount val="1"/>
                <c:pt idx="0">
                  <c:v>2nd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'!$E$7:$E$11</c:f>
              <c:numCache>
                <c:formatCode>General</c:formatCode>
                <c:ptCount val="5"/>
                <c:pt idx="0">
                  <c:v>5.99</c:v>
                </c:pt>
                <c:pt idx="1">
                  <c:v>10.84</c:v>
                </c:pt>
                <c:pt idx="2">
                  <c:v>8.74</c:v>
                </c:pt>
                <c:pt idx="3">
                  <c:v>12.379999999999999</c:v>
                </c:pt>
                <c:pt idx="4">
                  <c:v>9.1300000000000008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2-4C21-8DAB-153FBC0DB9B2}"/>
            </c:ext>
          </c:extLst>
        </c:ser>
        <c:ser>
          <c:idx val="2"/>
          <c:order val="2"/>
          <c:tx>
            <c:strRef>
              <c:f>'WENDERLINUS GANG '!$F$6</c:f>
              <c:strCache>
                <c:ptCount val="1"/>
                <c:pt idx="0">
                  <c:v>3rd Round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'!$F$7:$F$11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2-4C21-8DAB-153FBC0DB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'WENDERLINUS GANG '!$C$6</c:f>
              <c:strCache>
                <c:ptCount val="1"/>
                <c:pt idx="0">
                  <c:v>Budget 2026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'!$C$7:$C$11</c:f>
              <c:numCache>
                <c:formatCode>General</c:formatCode>
                <c:ptCount val="5"/>
                <c:pt idx="0">
                  <c:v>8.06</c:v>
                </c:pt>
                <c:pt idx="1">
                  <c:v>5.9799999999999995</c:v>
                </c:pt>
                <c:pt idx="2">
                  <c:v>5.0999999999999996</c:v>
                </c:pt>
                <c:pt idx="3">
                  <c:v>15.719999999999999</c:v>
                </c:pt>
                <c:pt idx="4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2-4C21-8DAB-153FBC0DB9B2}"/>
            </c:ext>
          </c:extLst>
        </c:ser>
        <c:ser>
          <c:idx val="4"/>
          <c:order val="4"/>
          <c:tx>
            <c:strRef>
              <c:f>'WENDERLINUS GANG '!$G$6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11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'WENDERLINUS GANG '!$A$7:$A$12</c:f>
              <c:strCache>
                <c:ptCount val="6"/>
                <c:pt idx="0">
                  <c:v>25</c:v>
                </c:pt>
                <c:pt idx="1">
                  <c:v>26A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</c:strCache>
            </c:strRef>
          </c:cat>
          <c:val>
            <c:numRef>
              <c:f>'WENDERLINUS GANG '!$G$7:$G$11</c:f>
              <c:numCache>
                <c:formatCode>General</c:formatCode>
                <c:ptCount val="5"/>
                <c:pt idx="0">
                  <c:v>22.67</c:v>
                </c:pt>
                <c:pt idx="1">
                  <c:v>25.08</c:v>
                </c:pt>
                <c:pt idx="2">
                  <c:v>17.05</c:v>
                </c:pt>
                <c:pt idx="3">
                  <c:v>29.27</c:v>
                </c:pt>
                <c:pt idx="4">
                  <c:v>20.950000000000003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2-4C21-8DAB-153FBC0DB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 sz="1000" b="1" i="0" u="none" strike="noStrike" kern="1200" baseline="0">
                    <a:solidFill>
                      <a:sysClr val="windowText" lastClr="000000"/>
                    </a:solidFill>
                  </a:rPr>
                  <a:t>Block Harvested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Harvest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FFB INTERVAL 2025 VS 2024 FOR THE MONTH OF OCTOBER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'FFB interval 2025 vs 2026'!$G$4</c:f>
              <c:strCache>
                <c:ptCount val="1"/>
                <c:pt idx="0">
                  <c:v>2024 
1st &amp; 2nd round interval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2025 vs 2026'!$C$5:$C$37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Ref>
              <c:f>'FFB interval 2025 vs 2026'!$G$5:$G$37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431E-475D-A5A9-EBC85F086894}"/>
            </c:ext>
          </c:extLst>
        </c:ser>
        <c:ser>
          <c:idx val="1"/>
          <c:order val="1"/>
          <c:tx>
            <c:strRef>
              <c:f>'FFB interval 2025 vs 2026'!$T$4</c:f>
              <c:strCache>
                <c:ptCount val="1"/>
                <c:pt idx="0">
                  <c:v>2025 
1st &amp; 2nd round interval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2025 vs 2026'!$C$5:$C$37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Ref>
              <c:f>'FFB interval 2025 vs 2026'!$T$5:$T$37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431E-475D-A5A9-EBC85F086894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'FFB interval 2025 vs 2026'!$C$5:$C$37</c:f>
              <c:strCache>
                <c:ptCount val="33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26A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31</c:v>
                </c:pt>
                <c:pt idx="28">
                  <c:v>33</c:v>
                </c:pt>
                <c:pt idx="29">
                  <c:v>39</c:v>
                </c:pt>
                <c:pt idx="30">
                  <c:v>2</c:v>
                </c:pt>
                <c:pt idx="31">
                  <c:v>11</c:v>
                </c:pt>
                <c:pt idx="32">
                  <c:v>29</c:v>
                </c:pt>
              </c:strCache>
              <c:extLst/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1E-475D-A5A9-EBC85F086894}"/>
            </c:ext>
          </c:extLst>
        </c:ser>
        <c:ser>
          <c:idx val="4"/>
          <c:order val="4"/>
          <c:tx>
            <c:strRef>
              <c:f>'FFB interval 2025 vs 2026'!$K$4</c:f>
              <c:strCache>
                <c:ptCount val="1"/>
                <c:pt idx="0">
                  <c:v>2024 
2nd &amp; 3rd round interval</c:v>
                </c:pt>
              </c:strCache>
            </c:strRef>
          </c:tx>
          <c:spPr>
            <a:ln w="28575">
              <a:noFill/>
            </a:ln>
          </c:spPr>
          <c:invertIfNegative val="0"/>
          <c:dPt>
            <c:idx val="1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431E-475D-A5A9-EBC85F086894}"/>
              </c:ext>
            </c:extLst>
          </c:dPt>
          <c:cat>
            <c:strLit>
              <c:ptCount val="33"/>
              <c:pt idx="0">
                <c:v>1</c:v>
              </c:pt>
              <c:pt idx="1">
                <c:v>3</c:v>
              </c:pt>
              <c:pt idx="2">
                <c:v>14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23</c:v>
              </c:pt>
              <c:pt idx="8">
                <c:v>24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19</c:v>
              </c:pt>
              <c:pt idx="13">
                <c:v>20</c:v>
              </c:pt>
              <c:pt idx="14">
                <c:v>21</c:v>
              </c:pt>
              <c:pt idx="15">
                <c:v>22</c:v>
              </c:pt>
              <c:pt idx="16">
                <c:v>8</c:v>
              </c:pt>
              <c:pt idx="17">
                <c:v>9</c:v>
              </c:pt>
              <c:pt idx="18">
                <c:v>12</c:v>
              </c:pt>
              <c:pt idx="19">
                <c:v>10</c:v>
              </c:pt>
              <c:pt idx="20">
                <c:v>13</c:v>
              </c:pt>
              <c:pt idx="21">
                <c:v>18</c:v>
              </c:pt>
              <c:pt idx="22">
                <c:v>25</c:v>
              </c:pt>
              <c:pt idx="23">
                <c:v>26A</c:v>
              </c:pt>
              <c:pt idx="24">
                <c:v>27</c:v>
              </c:pt>
              <c:pt idx="25">
                <c:v>28</c:v>
              </c:pt>
              <c:pt idx="26">
                <c:v>30</c:v>
              </c:pt>
              <c:pt idx="27">
                <c:v>31</c:v>
              </c:pt>
              <c:pt idx="28">
                <c:v>33</c:v>
              </c:pt>
              <c:pt idx="29">
                <c:v>39</c:v>
              </c:pt>
              <c:pt idx="30">
                <c:v>2</c:v>
              </c:pt>
              <c:pt idx="31">
                <c:v>11</c:v>
              </c:pt>
              <c:pt idx="32">
                <c:v>29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'FFB interval 2025 vs 2026'!$K$5:$K$37</c:f>
              <c:numCache>
                <c:formatCode>#,##0.00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431E-475D-A5A9-EBC85F08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quare"/>
            <c:size val="10"/>
            <c:spPr>
              <a:ln w="9525"/>
            </c:spPr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31E-475D-A5A9-EBC85F0868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BLOCKS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At val="0"/>
        <c:auto val="1"/>
        <c:lblAlgn val="ctr"/>
        <c:lblOffset val="100"/>
        <c:noMultiLvlLbl val="0"/>
      </c:catAx>
      <c:valAx>
        <c:axId val="100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INTERVAL</a:t>
                </a:r>
                <a:r>
                  <a:rPr lang="en-MY" baseline="0"/>
                  <a:t> IN DAYS</a:t>
                </a:r>
                <a:endParaRPr lang="en-MY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  <c:majorUnit val="5"/>
      </c:valAx>
    </c:plotArea>
    <c:legend>
      <c:legendPos val="b"/>
      <c:legendEntry>
        <c:idx val="2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4</xdr:row>
      <xdr:rowOff>190499</xdr:rowOff>
    </xdr:from>
    <xdr:ext cx="4171950" cy="3038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F565B-4DEB-4CB9-88D9-D0F5D9F7B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10</xdr:row>
      <xdr:rowOff>190498</xdr:rowOff>
    </xdr:from>
    <xdr:ext cx="9239250" cy="377190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6B490-0F10-47E5-94FE-F87465647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10</xdr:row>
      <xdr:rowOff>180974</xdr:rowOff>
    </xdr:from>
    <xdr:ext cx="4276725" cy="30575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15</xdr:row>
      <xdr:rowOff>0</xdr:rowOff>
    </xdr:from>
    <xdr:ext cx="4219575" cy="308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42CD1-63AD-475C-A76C-7C361BB7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180975</xdr:rowOff>
    </xdr:from>
    <xdr:ext cx="4200525" cy="3333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F796E-016F-4A25-BE22-11C973ACA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19050</xdr:rowOff>
    </xdr:from>
    <xdr:ext cx="4219575" cy="344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122FB-99CC-4D3C-B393-CA45F61A1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19050</xdr:rowOff>
    </xdr:from>
    <xdr:ext cx="4219575" cy="344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9862D-6050-4BE3-9E44-11ED10870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16</xdr:row>
      <xdr:rowOff>9525</xdr:rowOff>
    </xdr:from>
    <xdr:ext cx="4210050" cy="3638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FB03D-1441-4A50-82F1-42A56AEE1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55</xdr:row>
      <xdr:rowOff>114298</xdr:rowOff>
    </xdr:from>
    <xdr:ext cx="16983074" cy="11125201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810065-C145-4846-A48C-562B6E888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cc Dept" id="{4A25EA57-383C-49B8-8605-DA4B247E54E1}" userId="db3deaf7f0b9c0f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" dT="2026-02-02T02:10:24.93" personId="{4A25EA57-383C-49B8-8605-DA4B247E54E1}" id="{86110E83-EE7D-4C05-BBD4-65B9B05CF4AF}">
    <text xml:space="preserve">Move the indicator by addition of one every month
</text>
  </threadedComment>
  <threadedComment ref="N51" dT="2026-02-02T02:10:24.93" personId="{4A25EA57-383C-49B8-8605-DA4B247E54E1}" id="{7F7581E2-C8A9-4328-B669-D7FD1FCD2911}">
    <text xml:space="preserve">Move the indicator by addition of one every month
</text>
  </threadedComment>
  <threadedComment ref="G107" dT="2026-02-02T02:58:53.93" personId="{4A25EA57-383C-49B8-8605-DA4B247E54E1}" id="{54A1894D-E2B3-4F57-BE62-DE9662FEB35A}">
    <text xml:space="preserve">To add on each month for past year’s FFB record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5-07-09T01:44:10.31" personId="{4A25EA57-383C-49B8-8605-DA4B247E54E1}" id="{DE2298AD-78FA-4C0A-86B9-4C37DB0C0435}">
    <text>MIKHAEL &amp; SERAN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CF7C-2C53-455E-8B21-0325A8C6BDBE}">
  <sheetPr>
    <pageSetUpPr fitToPage="1"/>
  </sheetPr>
  <dimension ref="A1:AW55"/>
  <sheetViews>
    <sheetView topLeftCell="A3" zoomScaleNormal="100" zoomScaleSheetLayoutView="100" workbookViewId="0">
      <selection activeCell="AW24" sqref="AW24"/>
    </sheetView>
  </sheetViews>
  <sheetFormatPr defaultRowHeight="15" outlineLevelRow="1" x14ac:dyDescent="0.25"/>
  <cols>
    <col min="1" max="2" width="7.140625" customWidth="1"/>
    <col min="3" max="3" width="10.85546875" customWidth="1"/>
    <col min="4" max="4" width="11" customWidth="1"/>
    <col min="5" max="5" width="11" style="8" customWidth="1"/>
    <col min="6" max="8" width="11" customWidth="1"/>
    <col min="11" max="11" width="0.7109375" customWidth="1"/>
    <col min="12" max="13" width="14.7109375" hidden="1" customWidth="1"/>
    <col min="14" max="15" width="14.7109375" style="434" hidden="1" customWidth="1"/>
    <col min="16" max="16" width="9.7109375" hidden="1" customWidth="1"/>
    <col min="17" max="20" width="9.140625" hidden="1" customWidth="1"/>
    <col min="21" max="25" width="9.140625" style="7" hidden="1" customWidth="1"/>
    <col min="26" max="39" width="9.140625" hidden="1" customWidth="1"/>
    <col min="40" max="40" width="0" hidden="1" customWidth="1"/>
  </cols>
  <sheetData>
    <row r="1" spans="1:42" s="5" customFormat="1" x14ac:dyDescent="0.25">
      <c r="A1" s="5" t="s">
        <v>225</v>
      </c>
      <c r="E1" s="168"/>
      <c r="N1" s="469"/>
      <c r="O1" s="469"/>
      <c r="U1" s="7"/>
      <c r="V1" s="7"/>
      <c r="W1" s="7"/>
      <c r="X1" s="7"/>
      <c r="Y1" s="7"/>
    </row>
    <row r="2" spans="1:42" s="7" customFormat="1" x14ac:dyDescent="0.25">
      <c r="A2" s="430"/>
      <c r="B2" s="430"/>
      <c r="E2" s="6"/>
      <c r="N2" s="428"/>
      <c r="O2" s="428"/>
    </row>
    <row r="3" spans="1:42" s="7" customFormat="1" ht="15.75" thickBot="1" x14ac:dyDescent="0.3">
      <c r="A3" s="430"/>
      <c r="B3" s="430"/>
      <c r="P3" s="435"/>
    </row>
    <row r="4" spans="1:42" s="7" customFormat="1" ht="45" x14ac:dyDescent="0.25">
      <c r="A4" s="430"/>
      <c r="B4" s="430"/>
      <c r="D4" s="829" t="s">
        <v>205</v>
      </c>
      <c r="E4" s="830" t="s">
        <v>227</v>
      </c>
      <c r="F4" s="829" t="s">
        <v>205</v>
      </c>
      <c r="G4" s="830" t="s">
        <v>227</v>
      </c>
      <c r="H4" s="826" t="s">
        <v>226</v>
      </c>
      <c r="I4" s="916" t="s">
        <v>142</v>
      </c>
      <c r="J4" s="917"/>
      <c r="K4" s="435"/>
      <c r="P4" s="435"/>
    </row>
    <row r="5" spans="1:42" s="460" customFormat="1" ht="30.75" thickBot="1" x14ac:dyDescent="0.3">
      <c r="A5" s="818"/>
      <c r="B5" s="478" t="s">
        <v>224</v>
      </c>
      <c r="C5" s="476" t="s">
        <v>75</v>
      </c>
      <c r="D5" s="921">
        <v>2026</v>
      </c>
      <c r="E5" s="922"/>
      <c r="F5" s="921">
        <v>2025</v>
      </c>
      <c r="G5" s="922"/>
      <c r="H5" s="827" t="s">
        <v>261</v>
      </c>
      <c r="I5" s="479">
        <v>2026</v>
      </c>
      <c r="J5" s="477">
        <v>2025</v>
      </c>
      <c r="U5" s="7"/>
      <c r="V5" s="7"/>
      <c r="W5" s="7"/>
      <c r="X5" s="7"/>
      <c r="Y5" s="7"/>
      <c r="Z5" s="918" t="s">
        <v>155</v>
      </c>
      <c r="AA5" s="919"/>
      <c r="AB5" s="919"/>
      <c r="AC5" s="919"/>
      <c r="AD5" s="919"/>
      <c r="AE5" s="919"/>
      <c r="AF5" s="919"/>
      <c r="AG5" s="919"/>
      <c r="AH5" s="919"/>
      <c r="AI5" s="919"/>
      <c r="AJ5" s="919"/>
      <c r="AK5" s="920"/>
    </row>
    <row r="6" spans="1:42" s="7" customFormat="1" ht="15.75" thickBot="1" x14ac:dyDescent="0.3">
      <c r="A6" s="818"/>
      <c r="B6" s="819">
        <f>B7</f>
        <v>2010</v>
      </c>
      <c r="C6" s="482">
        <f t="shared" ref="C6:E6" si="0">SUM(C7:C18)</f>
        <v>615.5100000000001</v>
      </c>
      <c r="D6" s="753">
        <f>SUM(D7:D18)</f>
        <v>11520</v>
      </c>
      <c r="E6" s="487">
        <f t="shared" si="0"/>
        <v>723.12</v>
      </c>
      <c r="F6" s="753">
        <f>SUM(F7:F18)</f>
        <v>12143</v>
      </c>
      <c r="G6" s="487">
        <f>SUM(G7:G18)</f>
        <v>9294.2999999999993</v>
      </c>
      <c r="H6" s="823">
        <f t="shared" ref="H6:H18" si="1">G6-E6</f>
        <v>8571.1799999999985</v>
      </c>
      <c r="I6" s="753">
        <f t="shared" ref="I6:I18" si="2">E6/C6</f>
        <v>1.174830628259492</v>
      </c>
      <c r="J6" s="487">
        <f t="shared" ref="J6:J18" si="3">G6/C6</f>
        <v>15.100160842228393</v>
      </c>
      <c r="K6" s="822"/>
      <c r="Z6" s="72" t="s">
        <v>143</v>
      </c>
      <c r="AA6" s="72" t="s">
        <v>144</v>
      </c>
      <c r="AB6" s="72" t="s">
        <v>145</v>
      </c>
      <c r="AC6" s="72" t="s">
        <v>146</v>
      </c>
      <c r="AD6" s="72" t="s">
        <v>147</v>
      </c>
      <c r="AE6" s="72" t="s">
        <v>148</v>
      </c>
      <c r="AF6" s="72" t="s">
        <v>149</v>
      </c>
      <c r="AG6" s="72" t="s">
        <v>150</v>
      </c>
      <c r="AH6" s="72" t="s">
        <v>151</v>
      </c>
      <c r="AI6" s="72" t="s">
        <v>152</v>
      </c>
      <c r="AJ6" s="72" t="s">
        <v>153</v>
      </c>
      <c r="AK6" s="72" t="s">
        <v>154</v>
      </c>
      <c r="AP6" s="822"/>
    </row>
    <row r="7" spans="1:42" outlineLevel="1" x14ac:dyDescent="0.25">
      <c r="A7" s="73">
        <v>1</v>
      </c>
      <c r="B7" s="816">
        <f>VLOOKUP(A7,coupe,3,FALSE)</f>
        <v>2010</v>
      </c>
      <c r="C7" s="475">
        <f>VLOOKUP(A7,YUVENTUS,2,FALSE)</f>
        <v>53.09</v>
      </c>
      <c r="D7" s="755">
        <f t="shared" ref="D7:D18" si="4">VLOOKUP(A7,budget2026,19,FALSE)</f>
        <v>1009</v>
      </c>
      <c r="E7" s="756">
        <f t="shared" ref="E7:E18" si="5">VLOOKUP(A7,year2022to23,374,FALSE)</f>
        <v>64.28</v>
      </c>
      <c r="F7" s="755">
        <f t="shared" ref="F7:F18" si="6">VLOOKUP(A7,coupe,4,FALSE)</f>
        <v>1064</v>
      </c>
      <c r="G7" s="756">
        <f t="shared" ref="G7:G18" si="7">VLOOKUP(A7,year2022to23,313,FALSE)</f>
        <v>909.79</v>
      </c>
      <c r="H7" s="828">
        <f t="shared" si="1"/>
        <v>845.51</v>
      </c>
      <c r="I7" s="755">
        <f t="shared" si="2"/>
        <v>1.210774157091731</v>
      </c>
      <c r="J7" s="756">
        <f t="shared" si="3"/>
        <v>17.136748916933506</v>
      </c>
      <c r="K7" s="460"/>
      <c r="Z7" s="1">
        <f t="shared" ref="Z7:Z18" si="8">VLOOKUP(A7,ffbbudgettwofive,7,FALSE)</f>
        <v>53.2</v>
      </c>
      <c r="AA7" s="1">
        <f t="shared" ref="AA7:AA18" si="9">VLOOKUP(A7,ffbbudgettwofive,8,FALSE)</f>
        <v>42.56</v>
      </c>
      <c r="AB7" s="1">
        <f t="shared" ref="AB7:AB18" si="10">VLOOKUP(A7,ffbbudgettwofive,9,FALSE)</f>
        <v>74.48</v>
      </c>
      <c r="AC7" s="1">
        <f t="shared" ref="AC7:AC18" si="11">VLOOKUP(A7,ffbbudgettwofive,10,FALSE)</f>
        <v>74.48</v>
      </c>
      <c r="AD7" s="1">
        <f t="shared" ref="AD7:AD18" si="12">VLOOKUP(A7,ffbbudgettwofive,11,FALSE)</f>
        <v>74.48</v>
      </c>
      <c r="AE7" s="1">
        <f t="shared" ref="AE7:AE18" si="13">VLOOKUP(A7,ffbbudgettwofive,12,FALSE)</f>
        <v>74.48</v>
      </c>
      <c r="AF7" s="1">
        <f t="shared" ref="AF7:AF18" si="14">VLOOKUP(A7,ffbbudgettwofive,13,FALSE)</f>
        <v>85</v>
      </c>
      <c r="AG7" s="1">
        <f t="shared" ref="AG7:AG18" si="15">VLOOKUP(A7,ffbbudgettwofive,14,FALSE)</f>
        <v>106</v>
      </c>
      <c r="AH7" s="1">
        <f t="shared" ref="AH7:AH18" si="16">VLOOKUP(A7,ffbbudgettwofive,15,FALSE)</f>
        <v>106</v>
      </c>
      <c r="AI7" s="1">
        <f t="shared" ref="AI7:AI18" si="17">VLOOKUP(A7,ffbbudgettwofive,16,FALSE)</f>
        <v>149</v>
      </c>
      <c r="AJ7" s="1">
        <f t="shared" ref="AJ7:AJ18" si="18">VLOOKUP(A7,ffbbudgettwofive,17,FALSE)</f>
        <v>117</v>
      </c>
      <c r="AK7" s="1">
        <f t="shared" ref="AK7:AK18" si="19">VLOOKUP(A7,ffbbudgettwofive,18,FALSE)</f>
        <v>106</v>
      </c>
      <c r="AP7" s="460"/>
    </row>
    <row r="8" spans="1:42" outlineLevel="1" x14ac:dyDescent="0.25">
      <c r="A8" s="73">
        <v>2</v>
      </c>
      <c r="B8" s="816">
        <f t="shared" ref="B8:B18" si="20">VLOOKUP(A8,coupe,3,FALSE)</f>
        <v>2010</v>
      </c>
      <c r="C8" s="470">
        <f>VLOOKUP(A8,ERDI,2,FALSE)</f>
        <v>60.27</v>
      </c>
      <c r="D8" s="629">
        <f t="shared" si="4"/>
        <v>1151</v>
      </c>
      <c r="E8" s="630">
        <f t="shared" si="5"/>
        <v>89.969999999999985</v>
      </c>
      <c r="F8" s="629">
        <f t="shared" si="6"/>
        <v>1208</v>
      </c>
      <c r="G8" s="630">
        <f t="shared" si="7"/>
        <v>889.56999999999994</v>
      </c>
      <c r="H8" s="432">
        <f t="shared" si="1"/>
        <v>799.59999999999991</v>
      </c>
      <c r="I8" s="629">
        <f t="shared" si="2"/>
        <v>1.4927824788451962</v>
      </c>
      <c r="J8" s="630">
        <f t="shared" si="3"/>
        <v>14.759747801559646</v>
      </c>
      <c r="K8" s="460"/>
      <c r="Z8" s="1">
        <f t="shared" si="8"/>
        <v>60.400000000000006</v>
      </c>
      <c r="AA8" s="1">
        <f t="shared" si="9"/>
        <v>48.32</v>
      </c>
      <c r="AB8" s="1">
        <f t="shared" si="10"/>
        <v>84.56</v>
      </c>
      <c r="AC8" s="1">
        <f t="shared" si="11"/>
        <v>84.56</v>
      </c>
      <c r="AD8" s="1">
        <f t="shared" si="12"/>
        <v>84.56</v>
      </c>
      <c r="AE8" s="1">
        <f t="shared" si="13"/>
        <v>84.56</v>
      </c>
      <c r="AF8" s="1">
        <f t="shared" si="14"/>
        <v>97</v>
      </c>
      <c r="AG8" s="1">
        <f t="shared" si="15"/>
        <v>121</v>
      </c>
      <c r="AH8" s="1">
        <f t="shared" si="16"/>
        <v>121</v>
      </c>
      <c r="AI8" s="1">
        <f t="shared" si="17"/>
        <v>169</v>
      </c>
      <c r="AJ8" s="1">
        <f t="shared" si="18"/>
        <v>133</v>
      </c>
      <c r="AK8" s="1">
        <f t="shared" si="19"/>
        <v>121</v>
      </c>
      <c r="AP8" s="460"/>
    </row>
    <row r="9" spans="1:42" outlineLevel="1" x14ac:dyDescent="0.25">
      <c r="A9" s="481">
        <v>3</v>
      </c>
      <c r="B9" s="816">
        <f t="shared" si="20"/>
        <v>2010</v>
      </c>
      <c r="C9" s="475">
        <f>VLOOKUP(A9,YUVENTUS,2,FALSE)</f>
        <v>69.040000000000006</v>
      </c>
      <c r="D9" s="629">
        <f t="shared" si="4"/>
        <v>1312</v>
      </c>
      <c r="E9" s="630">
        <f t="shared" si="5"/>
        <v>86.26</v>
      </c>
      <c r="F9" s="629">
        <f t="shared" si="6"/>
        <v>1384</v>
      </c>
      <c r="G9" s="630">
        <f t="shared" si="7"/>
        <v>1085.75</v>
      </c>
      <c r="H9" s="432">
        <f t="shared" si="1"/>
        <v>999.49</v>
      </c>
      <c r="I9" s="629">
        <f t="shared" si="2"/>
        <v>1.2494206257242177</v>
      </c>
      <c r="J9" s="630">
        <f t="shared" si="3"/>
        <v>15.726390498261877</v>
      </c>
      <c r="K9" s="460"/>
      <c r="Z9" s="1">
        <f t="shared" si="8"/>
        <v>69.2</v>
      </c>
      <c r="AA9" s="1">
        <f t="shared" si="9"/>
        <v>55.36</v>
      </c>
      <c r="AB9" s="1">
        <f t="shared" si="10"/>
        <v>96.88000000000001</v>
      </c>
      <c r="AC9" s="1">
        <f t="shared" si="11"/>
        <v>96.88000000000001</v>
      </c>
      <c r="AD9" s="1">
        <f t="shared" si="12"/>
        <v>96.88000000000001</v>
      </c>
      <c r="AE9" s="1">
        <f t="shared" si="13"/>
        <v>96.88000000000001</v>
      </c>
      <c r="AF9" s="1">
        <f t="shared" si="14"/>
        <v>111</v>
      </c>
      <c r="AG9" s="1">
        <f t="shared" si="15"/>
        <v>138</v>
      </c>
      <c r="AH9" s="1">
        <f t="shared" si="16"/>
        <v>138</v>
      </c>
      <c r="AI9" s="1">
        <f t="shared" si="17"/>
        <v>194</v>
      </c>
      <c r="AJ9" s="1">
        <f t="shared" si="18"/>
        <v>152</v>
      </c>
      <c r="AK9" s="1">
        <f t="shared" si="19"/>
        <v>138</v>
      </c>
      <c r="AP9" s="460"/>
    </row>
    <row r="10" spans="1:42" outlineLevel="1" x14ac:dyDescent="0.25">
      <c r="A10" s="1">
        <v>4</v>
      </c>
      <c r="B10" s="816">
        <f t="shared" si="20"/>
        <v>2010</v>
      </c>
      <c r="C10" s="470">
        <f>VLOOKUP(A10,SERAN,2,FALSE)</f>
        <v>70.510000000000005</v>
      </c>
      <c r="D10" s="629">
        <f t="shared" si="4"/>
        <v>1341</v>
      </c>
      <c r="E10" s="630">
        <f t="shared" si="5"/>
        <v>70.91</v>
      </c>
      <c r="F10" s="629">
        <f t="shared" si="6"/>
        <v>1412</v>
      </c>
      <c r="G10" s="630">
        <f t="shared" si="7"/>
        <v>1063.57</v>
      </c>
      <c r="H10" s="432">
        <f t="shared" si="1"/>
        <v>992.66</v>
      </c>
      <c r="I10" s="629">
        <f t="shared" si="2"/>
        <v>1.0056729541908949</v>
      </c>
      <c r="J10" s="630">
        <f t="shared" si="3"/>
        <v>15.083959722025243</v>
      </c>
      <c r="K10" s="460"/>
      <c r="Z10" s="1">
        <f t="shared" si="8"/>
        <v>70.600000000000009</v>
      </c>
      <c r="AA10" s="1">
        <f t="shared" si="9"/>
        <v>56.480000000000004</v>
      </c>
      <c r="AB10" s="1">
        <f t="shared" si="10"/>
        <v>98.84</v>
      </c>
      <c r="AC10" s="1">
        <f t="shared" si="11"/>
        <v>98.84</v>
      </c>
      <c r="AD10" s="1">
        <f t="shared" si="12"/>
        <v>98.84</v>
      </c>
      <c r="AE10" s="1">
        <f t="shared" si="13"/>
        <v>98.84</v>
      </c>
      <c r="AF10" s="1">
        <f t="shared" si="14"/>
        <v>113</v>
      </c>
      <c r="AG10" s="1">
        <f t="shared" si="15"/>
        <v>141</v>
      </c>
      <c r="AH10" s="1">
        <f t="shared" si="16"/>
        <v>141</v>
      </c>
      <c r="AI10" s="1">
        <f t="shared" si="17"/>
        <v>198</v>
      </c>
      <c r="AJ10" s="1">
        <f t="shared" si="18"/>
        <v>155</v>
      </c>
      <c r="AK10" s="1">
        <f t="shared" si="19"/>
        <v>141</v>
      </c>
      <c r="AP10" s="460"/>
    </row>
    <row r="11" spans="1:42" outlineLevel="1" x14ac:dyDescent="0.25">
      <c r="A11" s="459">
        <v>5</v>
      </c>
      <c r="B11" s="816">
        <f t="shared" si="20"/>
        <v>2010</v>
      </c>
      <c r="C11" s="475">
        <f>VLOOKUP(A11,SERAN,2,FALSE)</f>
        <v>50.4</v>
      </c>
      <c r="D11" s="629">
        <f t="shared" si="4"/>
        <v>958</v>
      </c>
      <c r="E11" s="630">
        <f t="shared" si="5"/>
        <v>38.889999999999993</v>
      </c>
      <c r="F11" s="629">
        <f t="shared" si="6"/>
        <v>1008</v>
      </c>
      <c r="G11" s="630">
        <f t="shared" si="7"/>
        <v>835.29</v>
      </c>
      <c r="H11" s="432">
        <f t="shared" si="1"/>
        <v>796.4</v>
      </c>
      <c r="I11" s="629">
        <f t="shared" si="2"/>
        <v>0.77162698412698405</v>
      </c>
      <c r="J11" s="630">
        <f t="shared" si="3"/>
        <v>16.573214285714286</v>
      </c>
      <c r="K11" s="460"/>
      <c r="Z11" s="1">
        <f t="shared" si="8"/>
        <v>50.400000000000006</v>
      </c>
      <c r="AA11" s="1">
        <f t="shared" si="9"/>
        <v>40.32</v>
      </c>
      <c r="AB11" s="1">
        <f t="shared" si="10"/>
        <v>70.56</v>
      </c>
      <c r="AC11" s="1">
        <f t="shared" si="11"/>
        <v>70.56</v>
      </c>
      <c r="AD11" s="1">
        <f t="shared" si="12"/>
        <v>70.56</v>
      </c>
      <c r="AE11" s="1">
        <f t="shared" si="13"/>
        <v>70.56</v>
      </c>
      <c r="AF11" s="1">
        <f t="shared" si="14"/>
        <v>81</v>
      </c>
      <c r="AG11" s="1">
        <f t="shared" si="15"/>
        <v>101</v>
      </c>
      <c r="AH11" s="1">
        <f t="shared" si="16"/>
        <v>101</v>
      </c>
      <c r="AI11" s="1">
        <f t="shared" si="17"/>
        <v>141</v>
      </c>
      <c r="AJ11" s="1">
        <f t="shared" si="18"/>
        <v>111</v>
      </c>
      <c r="AK11" s="1">
        <f t="shared" si="19"/>
        <v>101</v>
      </c>
      <c r="AP11" s="460"/>
    </row>
    <row r="12" spans="1:42" outlineLevel="1" x14ac:dyDescent="0.25">
      <c r="A12" s="1">
        <v>6</v>
      </c>
      <c r="B12" s="816">
        <f t="shared" si="20"/>
        <v>2010</v>
      </c>
      <c r="C12" s="470">
        <f>VLOOKUP(A12,SERAN,2,FALSE)</f>
        <v>58.6</v>
      </c>
      <c r="D12" s="629">
        <f t="shared" si="4"/>
        <v>1114</v>
      </c>
      <c r="E12" s="630">
        <f t="shared" si="5"/>
        <v>56.290000000000006</v>
      </c>
      <c r="F12" s="629">
        <f t="shared" si="6"/>
        <v>1172</v>
      </c>
      <c r="G12" s="630">
        <f t="shared" si="7"/>
        <v>961.24000000000012</v>
      </c>
      <c r="H12" s="432">
        <f t="shared" si="1"/>
        <v>904.95000000000016</v>
      </c>
      <c r="I12" s="629">
        <f t="shared" si="2"/>
        <v>0.96058020477815709</v>
      </c>
      <c r="J12" s="630">
        <f t="shared" si="3"/>
        <v>16.403412969283277</v>
      </c>
      <c r="K12" s="460"/>
      <c r="Z12" s="1">
        <f t="shared" si="8"/>
        <v>58.6</v>
      </c>
      <c r="AA12" s="1">
        <f t="shared" si="9"/>
        <v>46.88</v>
      </c>
      <c r="AB12" s="1">
        <f t="shared" si="10"/>
        <v>82.04</v>
      </c>
      <c r="AC12" s="1">
        <f t="shared" si="11"/>
        <v>82.04</v>
      </c>
      <c r="AD12" s="1">
        <f t="shared" si="12"/>
        <v>82.04</v>
      </c>
      <c r="AE12" s="1">
        <f t="shared" si="13"/>
        <v>82.04</v>
      </c>
      <c r="AF12" s="1">
        <f t="shared" si="14"/>
        <v>94</v>
      </c>
      <c r="AG12" s="1">
        <f t="shared" si="15"/>
        <v>117</v>
      </c>
      <c r="AH12" s="1">
        <f t="shared" si="16"/>
        <v>117</v>
      </c>
      <c r="AI12" s="1">
        <f t="shared" si="17"/>
        <v>164</v>
      </c>
      <c r="AJ12" s="1">
        <f t="shared" si="18"/>
        <v>129</v>
      </c>
      <c r="AK12" s="1">
        <f t="shared" si="19"/>
        <v>117</v>
      </c>
      <c r="AP12" s="460"/>
    </row>
    <row r="13" spans="1:42" outlineLevel="1" x14ac:dyDescent="0.25">
      <c r="A13" s="1">
        <v>7</v>
      </c>
      <c r="B13" s="816">
        <f t="shared" si="20"/>
        <v>2010</v>
      </c>
      <c r="C13" s="470">
        <f>VLOOKUP(A13,SERAN,2,FALSE)</f>
        <v>23.6</v>
      </c>
      <c r="D13" s="629">
        <f t="shared" si="4"/>
        <v>381</v>
      </c>
      <c r="E13" s="630">
        <f t="shared" si="5"/>
        <v>24.72</v>
      </c>
      <c r="F13" s="629">
        <f t="shared" si="6"/>
        <v>401</v>
      </c>
      <c r="G13" s="630">
        <f t="shared" si="7"/>
        <v>334.61</v>
      </c>
      <c r="H13" s="432">
        <f t="shared" si="1"/>
        <v>309.89</v>
      </c>
      <c r="I13" s="629">
        <f t="shared" si="2"/>
        <v>1.047457627118644</v>
      </c>
      <c r="J13" s="630">
        <f t="shared" si="3"/>
        <v>14.178389830508474</v>
      </c>
      <c r="K13" s="460"/>
      <c r="Z13" s="1">
        <f t="shared" si="8"/>
        <v>20.05</v>
      </c>
      <c r="AA13" s="1">
        <f t="shared" si="9"/>
        <v>16.04</v>
      </c>
      <c r="AB13" s="1">
        <f t="shared" si="10"/>
        <v>28.070000000000004</v>
      </c>
      <c r="AC13" s="1">
        <f t="shared" si="11"/>
        <v>28.070000000000004</v>
      </c>
      <c r="AD13" s="1">
        <f t="shared" si="12"/>
        <v>28.070000000000004</v>
      </c>
      <c r="AE13" s="1">
        <f t="shared" si="13"/>
        <v>28.070000000000004</v>
      </c>
      <c r="AF13" s="1">
        <f t="shared" si="14"/>
        <v>32</v>
      </c>
      <c r="AG13" s="1">
        <f t="shared" si="15"/>
        <v>40</v>
      </c>
      <c r="AH13" s="1">
        <f t="shared" si="16"/>
        <v>40</v>
      </c>
      <c r="AI13" s="1">
        <f t="shared" si="17"/>
        <v>56</v>
      </c>
      <c r="AJ13" s="1">
        <f t="shared" si="18"/>
        <v>44</v>
      </c>
      <c r="AK13" s="1">
        <f t="shared" si="19"/>
        <v>40</v>
      </c>
      <c r="AP13" s="460"/>
    </row>
    <row r="14" spans="1:42" outlineLevel="1" x14ac:dyDescent="0.25">
      <c r="A14" s="1">
        <v>8</v>
      </c>
      <c r="B14" s="816">
        <f t="shared" si="20"/>
        <v>2010</v>
      </c>
      <c r="C14" s="470">
        <f>VLOOKUP(A14,NURAZANI,2,FALSE)</f>
        <v>61.6</v>
      </c>
      <c r="D14" s="629">
        <f t="shared" si="4"/>
        <v>1155</v>
      </c>
      <c r="E14" s="630">
        <f t="shared" si="5"/>
        <v>89.5</v>
      </c>
      <c r="F14" s="629">
        <f t="shared" si="6"/>
        <v>1232</v>
      </c>
      <c r="G14" s="630">
        <f t="shared" si="7"/>
        <v>906.12000000000012</v>
      </c>
      <c r="H14" s="432">
        <f t="shared" si="1"/>
        <v>816.62000000000012</v>
      </c>
      <c r="I14" s="629">
        <f t="shared" si="2"/>
        <v>1.4529220779220779</v>
      </c>
      <c r="J14" s="630">
        <f t="shared" si="3"/>
        <v>14.709740259740261</v>
      </c>
      <c r="K14" s="460"/>
      <c r="Z14" s="1">
        <f t="shared" si="8"/>
        <v>61.6</v>
      </c>
      <c r="AA14" s="1">
        <f t="shared" si="9"/>
        <v>49.28</v>
      </c>
      <c r="AB14" s="1">
        <f t="shared" si="10"/>
        <v>86.240000000000009</v>
      </c>
      <c r="AC14" s="1">
        <f t="shared" si="11"/>
        <v>86.240000000000009</v>
      </c>
      <c r="AD14" s="1">
        <f t="shared" si="12"/>
        <v>86.240000000000009</v>
      </c>
      <c r="AE14" s="1">
        <f t="shared" si="13"/>
        <v>86.240000000000009</v>
      </c>
      <c r="AF14" s="1">
        <f t="shared" si="14"/>
        <v>99</v>
      </c>
      <c r="AG14" s="1">
        <f t="shared" si="15"/>
        <v>123</v>
      </c>
      <c r="AH14" s="1">
        <f t="shared" si="16"/>
        <v>123</v>
      </c>
      <c r="AI14" s="1">
        <f t="shared" si="17"/>
        <v>172</v>
      </c>
      <c r="AJ14" s="1">
        <f t="shared" si="18"/>
        <v>136</v>
      </c>
      <c r="AK14" s="1">
        <f t="shared" si="19"/>
        <v>123</v>
      </c>
      <c r="AP14" s="460"/>
    </row>
    <row r="15" spans="1:42" outlineLevel="1" x14ac:dyDescent="0.25">
      <c r="A15" s="1">
        <v>9</v>
      </c>
      <c r="B15" s="816">
        <f t="shared" si="20"/>
        <v>2010</v>
      </c>
      <c r="C15" s="470">
        <f>VLOOKUP(A15,NURAZANI,2,FALSE)</f>
        <v>38.299999999999997</v>
      </c>
      <c r="D15" s="629">
        <f t="shared" si="4"/>
        <v>658</v>
      </c>
      <c r="E15" s="630">
        <f t="shared" si="5"/>
        <v>45.989999999999995</v>
      </c>
      <c r="F15" s="629">
        <f t="shared" si="6"/>
        <v>689</v>
      </c>
      <c r="G15" s="630">
        <f t="shared" si="7"/>
        <v>486.12</v>
      </c>
      <c r="H15" s="432">
        <f t="shared" si="1"/>
        <v>440.13</v>
      </c>
      <c r="I15" s="629">
        <f t="shared" si="2"/>
        <v>1.2007832898172324</v>
      </c>
      <c r="J15" s="630">
        <f t="shared" si="3"/>
        <v>12.692428198433422</v>
      </c>
      <c r="K15" s="460"/>
      <c r="Z15" s="1">
        <f t="shared" si="8"/>
        <v>34.450000000000003</v>
      </c>
      <c r="AA15" s="1">
        <f t="shared" si="9"/>
        <v>27.560000000000002</v>
      </c>
      <c r="AB15" s="1">
        <f t="shared" si="10"/>
        <v>48.230000000000004</v>
      </c>
      <c r="AC15" s="1">
        <f t="shared" si="11"/>
        <v>48.230000000000004</v>
      </c>
      <c r="AD15" s="1">
        <f t="shared" si="12"/>
        <v>48.230000000000004</v>
      </c>
      <c r="AE15" s="1">
        <f t="shared" si="13"/>
        <v>48.230000000000004</v>
      </c>
      <c r="AF15" s="1">
        <f t="shared" si="14"/>
        <v>55</v>
      </c>
      <c r="AG15" s="1">
        <f t="shared" si="15"/>
        <v>69</v>
      </c>
      <c r="AH15" s="1">
        <f t="shared" si="16"/>
        <v>69</v>
      </c>
      <c r="AI15" s="1">
        <f t="shared" si="17"/>
        <v>97</v>
      </c>
      <c r="AJ15" s="1">
        <f t="shared" si="18"/>
        <v>76</v>
      </c>
      <c r="AK15" s="1">
        <f t="shared" si="19"/>
        <v>69</v>
      </c>
      <c r="AP15" s="460"/>
    </row>
    <row r="16" spans="1:42" outlineLevel="1" x14ac:dyDescent="0.25">
      <c r="A16" s="481">
        <v>11</v>
      </c>
      <c r="B16" s="816">
        <f t="shared" si="20"/>
        <v>2010</v>
      </c>
      <c r="C16" s="475">
        <f>VLOOKUP(A16,ERDI,2,FALSE)</f>
        <v>44.5</v>
      </c>
      <c r="D16" s="629">
        <f t="shared" si="4"/>
        <v>804</v>
      </c>
      <c r="E16" s="630">
        <f t="shared" si="5"/>
        <v>50.57</v>
      </c>
      <c r="F16" s="629">
        <f t="shared" si="6"/>
        <v>846</v>
      </c>
      <c r="G16" s="630">
        <f t="shared" si="7"/>
        <v>529.89</v>
      </c>
      <c r="H16" s="432">
        <f t="shared" si="1"/>
        <v>479.32</v>
      </c>
      <c r="I16" s="629">
        <f t="shared" si="2"/>
        <v>1.1364044943820224</v>
      </c>
      <c r="J16" s="630">
        <f t="shared" si="3"/>
        <v>11.907640449438201</v>
      </c>
      <c r="K16" s="460"/>
      <c r="Z16" s="1">
        <f t="shared" si="8"/>
        <v>42.300000000000004</v>
      </c>
      <c r="AA16" s="1">
        <f t="shared" si="9"/>
        <v>33.840000000000003</v>
      </c>
      <c r="AB16" s="1">
        <f t="shared" si="10"/>
        <v>59.220000000000006</v>
      </c>
      <c r="AC16" s="1">
        <f t="shared" si="11"/>
        <v>59.220000000000006</v>
      </c>
      <c r="AD16" s="1">
        <f t="shared" si="12"/>
        <v>59.220000000000006</v>
      </c>
      <c r="AE16" s="1">
        <f t="shared" si="13"/>
        <v>59.220000000000006</v>
      </c>
      <c r="AF16" s="1">
        <f t="shared" si="14"/>
        <v>68</v>
      </c>
      <c r="AG16" s="1">
        <f t="shared" si="15"/>
        <v>85</v>
      </c>
      <c r="AH16" s="1">
        <f t="shared" si="16"/>
        <v>85</v>
      </c>
      <c r="AI16" s="1">
        <f t="shared" si="17"/>
        <v>118</v>
      </c>
      <c r="AJ16" s="1">
        <f t="shared" si="18"/>
        <v>93</v>
      </c>
      <c r="AK16" s="1">
        <f t="shared" si="19"/>
        <v>85</v>
      </c>
      <c r="AP16" s="460"/>
    </row>
    <row r="17" spans="1:49" outlineLevel="1" x14ac:dyDescent="0.25">
      <c r="A17" s="1">
        <v>12</v>
      </c>
      <c r="B17" s="816">
        <f t="shared" si="20"/>
        <v>2010</v>
      </c>
      <c r="C17" s="470">
        <f>VLOOKUP(A17,NURAZANI,2,FALSE)</f>
        <v>71</v>
      </c>
      <c r="D17" s="629">
        <f t="shared" si="4"/>
        <v>1348</v>
      </c>
      <c r="E17" s="630">
        <f t="shared" si="5"/>
        <v>84.58</v>
      </c>
      <c r="F17" s="629">
        <f t="shared" si="6"/>
        <v>1420</v>
      </c>
      <c r="G17" s="630">
        <f t="shared" si="7"/>
        <v>1000.7399999999999</v>
      </c>
      <c r="H17" s="432">
        <f t="shared" si="1"/>
        <v>916.15999999999985</v>
      </c>
      <c r="I17" s="629">
        <f t="shared" si="2"/>
        <v>1.1912676056338027</v>
      </c>
      <c r="J17" s="630">
        <f t="shared" si="3"/>
        <v>14.094929577464788</v>
      </c>
      <c r="K17" s="460"/>
      <c r="Z17" s="1">
        <f t="shared" si="8"/>
        <v>71</v>
      </c>
      <c r="AA17" s="1">
        <f t="shared" si="9"/>
        <v>56.800000000000004</v>
      </c>
      <c r="AB17" s="1">
        <f t="shared" si="10"/>
        <v>99.4</v>
      </c>
      <c r="AC17" s="1">
        <f t="shared" si="11"/>
        <v>99.4</v>
      </c>
      <c r="AD17" s="1">
        <f t="shared" si="12"/>
        <v>99.4</v>
      </c>
      <c r="AE17" s="1">
        <f t="shared" si="13"/>
        <v>99.4</v>
      </c>
      <c r="AF17" s="1">
        <f t="shared" si="14"/>
        <v>114</v>
      </c>
      <c r="AG17" s="1">
        <f t="shared" si="15"/>
        <v>142</v>
      </c>
      <c r="AH17" s="1">
        <f t="shared" si="16"/>
        <v>142</v>
      </c>
      <c r="AI17" s="1">
        <f t="shared" si="17"/>
        <v>199</v>
      </c>
      <c r="AJ17" s="1">
        <f t="shared" si="18"/>
        <v>156</v>
      </c>
      <c r="AK17" s="1">
        <f t="shared" si="19"/>
        <v>142</v>
      </c>
      <c r="AP17" s="460"/>
    </row>
    <row r="18" spans="1:49" outlineLevel="1" x14ac:dyDescent="0.25">
      <c r="A18" s="1">
        <v>23</v>
      </c>
      <c r="B18" s="825">
        <f t="shared" si="20"/>
        <v>2010</v>
      </c>
      <c r="C18" s="470">
        <f>VLOOKUP(A18,SERAN,2,FALSE)</f>
        <v>14.6</v>
      </c>
      <c r="D18" s="629">
        <f t="shared" si="4"/>
        <v>289</v>
      </c>
      <c r="E18" s="630">
        <f t="shared" si="5"/>
        <v>21.16</v>
      </c>
      <c r="F18" s="629">
        <f t="shared" si="6"/>
        <v>307</v>
      </c>
      <c r="G18" s="630">
        <f t="shared" si="7"/>
        <v>291.61</v>
      </c>
      <c r="H18" s="432">
        <f t="shared" si="1"/>
        <v>270.45</v>
      </c>
      <c r="I18" s="629">
        <f t="shared" si="2"/>
        <v>1.4493150684931508</v>
      </c>
      <c r="J18" s="630">
        <f t="shared" si="3"/>
        <v>19.973287671232878</v>
      </c>
      <c r="K18" s="460"/>
      <c r="Z18" s="824">
        <f t="shared" si="8"/>
        <v>15.350000000000001</v>
      </c>
      <c r="AA18" s="824">
        <f t="shared" si="9"/>
        <v>12.280000000000001</v>
      </c>
      <c r="AB18" s="824">
        <f t="shared" si="10"/>
        <v>21.490000000000002</v>
      </c>
      <c r="AC18" s="824">
        <f t="shared" si="11"/>
        <v>21.490000000000002</v>
      </c>
      <c r="AD18" s="824">
        <f t="shared" si="12"/>
        <v>21.490000000000002</v>
      </c>
      <c r="AE18" s="824">
        <f t="shared" si="13"/>
        <v>21.490000000000002</v>
      </c>
      <c r="AF18" s="824">
        <f t="shared" si="14"/>
        <v>25</v>
      </c>
      <c r="AG18" s="824">
        <f t="shared" si="15"/>
        <v>31</v>
      </c>
      <c r="AH18" s="824">
        <f t="shared" si="16"/>
        <v>31</v>
      </c>
      <c r="AI18" s="824">
        <f t="shared" si="17"/>
        <v>43</v>
      </c>
      <c r="AJ18" s="824">
        <f t="shared" si="18"/>
        <v>34</v>
      </c>
      <c r="AK18" s="824">
        <f t="shared" si="19"/>
        <v>31</v>
      </c>
      <c r="AP18" s="460"/>
    </row>
    <row r="19" spans="1:49" ht="15.75" outlineLevel="1" thickBot="1" x14ac:dyDescent="0.3">
      <c r="A19" s="504"/>
      <c r="B19" s="504"/>
      <c r="C19" s="505"/>
      <c r="G19" s="8"/>
      <c r="J19" s="8"/>
      <c r="K19" s="460"/>
      <c r="AP19" s="460"/>
    </row>
    <row r="20" spans="1:49" s="7" customFormat="1" ht="15.75" thickBot="1" x14ac:dyDescent="0.3">
      <c r="A20" s="818"/>
      <c r="B20" s="819">
        <f>B21</f>
        <v>2011</v>
      </c>
      <c r="C20" s="754">
        <f>SUM(C21:C27)</f>
        <v>309.66000000000003</v>
      </c>
      <c r="D20" s="753">
        <f t="shared" ref="D20" si="21">SUM(D21:D27)</f>
        <v>6205</v>
      </c>
      <c r="E20" s="487">
        <f>SUM(E21:E27)</f>
        <v>442.60999999999996</v>
      </c>
      <c r="F20" s="753">
        <f>SUM(F21:F27)</f>
        <v>6528</v>
      </c>
      <c r="G20" s="487">
        <f>SUM(G21:G27)</f>
        <v>5287.5</v>
      </c>
      <c r="H20" s="823">
        <f t="shared" ref="H20:H27" si="22">G20-E20</f>
        <v>4844.8900000000003</v>
      </c>
      <c r="I20" s="753">
        <f t="shared" ref="I20:I27" si="23">E20/C20</f>
        <v>1.4293418588128912</v>
      </c>
      <c r="J20" s="487">
        <f t="shared" ref="J20:J27" si="24">G20/C20</f>
        <v>17.075179228831619</v>
      </c>
      <c r="K20" s="822"/>
      <c r="Z20" s="600" t="s">
        <v>143</v>
      </c>
      <c r="AA20" s="600" t="s">
        <v>144</v>
      </c>
      <c r="AB20" s="600" t="s">
        <v>145</v>
      </c>
      <c r="AC20" s="600" t="s">
        <v>146</v>
      </c>
      <c r="AD20" s="600" t="s">
        <v>147</v>
      </c>
      <c r="AE20" s="600" t="s">
        <v>148</v>
      </c>
      <c r="AF20" s="600" t="s">
        <v>149</v>
      </c>
      <c r="AG20" s="600" t="s">
        <v>150</v>
      </c>
      <c r="AH20" s="600" t="s">
        <v>151</v>
      </c>
      <c r="AI20" s="600" t="s">
        <v>152</v>
      </c>
      <c r="AJ20" s="600" t="s">
        <v>153</v>
      </c>
      <c r="AK20" s="600" t="s">
        <v>154</v>
      </c>
      <c r="AP20" s="822"/>
    </row>
    <row r="21" spans="1:49" outlineLevel="1" x14ac:dyDescent="0.25">
      <c r="A21" s="1">
        <v>10</v>
      </c>
      <c r="B21" s="816">
        <f t="shared" ref="B21:B27" si="25">VLOOKUP(A21,coupe,3,FALSE)</f>
        <v>2011</v>
      </c>
      <c r="C21" s="475">
        <f>VLOOKUP(A21,NURAZANI,2,FALSE)</f>
        <v>19.100000000000001</v>
      </c>
      <c r="D21" s="755">
        <f t="shared" ref="D21:D27" si="26">VLOOKUP(A21,budget2026,19,FALSE)</f>
        <v>343</v>
      </c>
      <c r="E21" s="756">
        <f t="shared" ref="E21:E27" si="27">VLOOKUP(A21,year2022to23,374,FALSE)</f>
        <v>28.479999999999997</v>
      </c>
      <c r="F21" s="755">
        <f t="shared" ref="F21:F27" si="28">VLOOKUP(A21,coupe,4,FALSE)</f>
        <v>363</v>
      </c>
      <c r="G21" s="756">
        <f t="shared" ref="G21:G27" si="29">VLOOKUP(A21,year2022to23,313,FALSE)</f>
        <v>259.04000000000002</v>
      </c>
      <c r="H21" s="828">
        <f t="shared" si="22"/>
        <v>230.56000000000003</v>
      </c>
      <c r="I21" s="755">
        <f t="shared" si="23"/>
        <v>1.4910994764397902</v>
      </c>
      <c r="J21" s="756">
        <f t="shared" si="24"/>
        <v>13.562303664921465</v>
      </c>
      <c r="K21" s="460"/>
      <c r="Z21" s="1">
        <f t="shared" ref="Z21:Z27" si="30">VLOOKUP(A21,ffbbudgettwofive,7,FALSE)</f>
        <v>18.150000000000002</v>
      </c>
      <c r="AA21" s="1">
        <f t="shared" ref="AA21:AA27" si="31">VLOOKUP(A21,ffbbudgettwofive,8,FALSE)</f>
        <v>14.52</v>
      </c>
      <c r="AB21" s="1">
        <f t="shared" ref="AB21:AB27" si="32">VLOOKUP(A21,ffbbudgettwofive,9,FALSE)</f>
        <v>25.410000000000004</v>
      </c>
      <c r="AC21" s="1">
        <f t="shared" ref="AC21:AC27" si="33">VLOOKUP(A21,ffbbudgettwofive,10,FALSE)</f>
        <v>25.410000000000004</v>
      </c>
      <c r="AD21" s="1">
        <f t="shared" ref="AD21:AD27" si="34">VLOOKUP(A21,ffbbudgettwofive,11,FALSE)</f>
        <v>25.410000000000004</v>
      </c>
      <c r="AE21" s="1">
        <f t="shared" ref="AE21:AE27" si="35">VLOOKUP(A21,ffbbudgettwofive,12,FALSE)</f>
        <v>25.410000000000004</v>
      </c>
      <c r="AF21" s="1">
        <f t="shared" ref="AF21:AF27" si="36">VLOOKUP(A21,ffbbudgettwofive,13,FALSE)</f>
        <v>29</v>
      </c>
      <c r="AG21" s="1">
        <f t="shared" ref="AG21:AG27" si="37">VLOOKUP(A21,ffbbudgettwofive,14,FALSE)</f>
        <v>36</v>
      </c>
      <c r="AH21" s="1">
        <f t="shared" ref="AH21:AH27" si="38">VLOOKUP(A21,ffbbudgettwofive,15,FALSE)</f>
        <v>36</v>
      </c>
      <c r="AI21" s="1">
        <f t="shared" ref="AI21:AI27" si="39">VLOOKUP(A21,ffbbudgettwofive,16,FALSE)</f>
        <v>51</v>
      </c>
      <c r="AJ21" s="1">
        <f t="shared" ref="AJ21:AJ27" si="40">VLOOKUP(A21,ffbbudgettwofive,17,FALSE)</f>
        <v>40</v>
      </c>
      <c r="AK21" s="1">
        <f t="shared" ref="AK21:AK27" si="41">VLOOKUP(A21,ffbbudgettwofive,18,FALSE)</f>
        <v>36</v>
      </c>
      <c r="AP21" s="460"/>
    </row>
    <row r="22" spans="1:49" outlineLevel="1" x14ac:dyDescent="0.25">
      <c r="A22" s="459">
        <v>13</v>
      </c>
      <c r="B22" s="816">
        <f t="shared" si="25"/>
        <v>2011</v>
      </c>
      <c r="C22" s="475">
        <f>VLOOKUP(A22,NURAZANI,2,FALSE)</f>
        <v>60.8</v>
      </c>
      <c r="D22" s="755">
        <f t="shared" si="26"/>
        <v>1272</v>
      </c>
      <c r="E22" s="756">
        <f t="shared" si="27"/>
        <v>89.169999999999987</v>
      </c>
      <c r="F22" s="755">
        <f t="shared" si="28"/>
        <v>1338</v>
      </c>
      <c r="G22" s="756">
        <f t="shared" si="29"/>
        <v>1038.9000000000001</v>
      </c>
      <c r="H22" s="432">
        <f t="shared" si="22"/>
        <v>949.73000000000013</v>
      </c>
      <c r="I22" s="755">
        <f t="shared" si="23"/>
        <v>1.466611842105263</v>
      </c>
      <c r="J22" s="756">
        <f t="shared" si="24"/>
        <v>17.087171052631582</v>
      </c>
      <c r="K22" s="460"/>
      <c r="Z22" s="1">
        <f t="shared" si="30"/>
        <v>66.900000000000006</v>
      </c>
      <c r="AA22" s="1">
        <f t="shared" si="31"/>
        <v>53.52</v>
      </c>
      <c r="AB22" s="1">
        <f t="shared" si="32"/>
        <v>93.660000000000011</v>
      </c>
      <c r="AC22" s="1">
        <f t="shared" si="33"/>
        <v>93.660000000000011</v>
      </c>
      <c r="AD22" s="1">
        <f t="shared" si="34"/>
        <v>93.660000000000011</v>
      </c>
      <c r="AE22" s="1">
        <f t="shared" si="35"/>
        <v>93.660000000000011</v>
      </c>
      <c r="AF22" s="1">
        <f t="shared" si="36"/>
        <v>107</v>
      </c>
      <c r="AG22" s="1">
        <f t="shared" si="37"/>
        <v>134</v>
      </c>
      <c r="AH22" s="1">
        <f t="shared" si="38"/>
        <v>134</v>
      </c>
      <c r="AI22" s="1">
        <f t="shared" si="39"/>
        <v>187</v>
      </c>
      <c r="AJ22" s="1">
        <f t="shared" si="40"/>
        <v>147</v>
      </c>
      <c r="AK22" s="1">
        <f t="shared" si="41"/>
        <v>134</v>
      </c>
      <c r="AP22" s="460"/>
      <c r="AS22" s="7"/>
      <c r="AT22" s="7"/>
      <c r="AU22" s="7"/>
      <c r="AV22" s="7"/>
    </row>
    <row r="23" spans="1:49" outlineLevel="1" x14ac:dyDescent="0.25">
      <c r="A23" s="73">
        <v>14</v>
      </c>
      <c r="B23" s="816">
        <f t="shared" si="25"/>
        <v>2011</v>
      </c>
      <c r="C23" s="470">
        <f>VLOOKUP(A23,YUVENTUS,2,FALSE)</f>
        <v>41.6</v>
      </c>
      <c r="D23" s="755">
        <f t="shared" si="26"/>
        <v>830</v>
      </c>
      <c r="E23" s="756">
        <f t="shared" si="27"/>
        <v>62.28</v>
      </c>
      <c r="F23" s="755">
        <f t="shared" si="28"/>
        <v>874</v>
      </c>
      <c r="G23" s="756">
        <f t="shared" si="29"/>
        <v>714.03</v>
      </c>
      <c r="H23" s="432">
        <f t="shared" si="22"/>
        <v>651.75</v>
      </c>
      <c r="I23" s="755">
        <f t="shared" si="23"/>
        <v>1.4971153846153846</v>
      </c>
      <c r="J23" s="756">
        <f t="shared" si="24"/>
        <v>17.164182692307691</v>
      </c>
      <c r="K23" s="460"/>
      <c r="Z23" s="1">
        <f t="shared" si="30"/>
        <v>43.7</v>
      </c>
      <c r="AA23" s="1">
        <f t="shared" si="31"/>
        <v>34.96</v>
      </c>
      <c r="AB23" s="1">
        <f t="shared" si="32"/>
        <v>61.180000000000007</v>
      </c>
      <c r="AC23" s="1">
        <f t="shared" si="33"/>
        <v>61.180000000000007</v>
      </c>
      <c r="AD23" s="1">
        <f t="shared" si="34"/>
        <v>61.180000000000007</v>
      </c>
      <c r="AE23" s="1">
        <f t="shared" si="35"/>
        <v>61.180000000000007</v>
      </c>
      <c r="AF23" s="1">
        <f t="shared" si="36"/>
        <v>70</v>
      </c>
      <c r="AG23" s="1">
        <f t="shared" si="37"/>
        <v>87</v>
      </c>
      <c r="AH23" s="1">
        <f t="shared" si="38"/>
        <v>87</v>
      </c>
      <c r="AI23" s="1">
        <f t="shared" si="39"/>
        <v>122</v>
      </c>
      <c r="AJ23" s="1">
        <f t="shared" si="40"/>
        <v>96</v>
      </c>
      <c r="AK23" s="1">
        <f t="shared" si="41"/>
        <v>87</v>
      </c>
      <c r="AP23" s="460"/>
    </row>
    <row r="24" spans="1:49" outlineLevel="1" x14ac:dyDescent="0.25">
      <c r="A24" s="1">
        <v>15</v>
      </c>
      <c r="B24" s="816">
        <f t="shared" si="25"/>
        <v>2011</v>
      </c>
      <c r="C24" s="470">
        <f>VLOOKUP(A24,DARSO,2,FALSE)</f>
        <v>49.17</v>
      </c>
      <c r="D24" s="755">
        <f t="shared" si="26"/>
        <v>939</v>
      </c>
      <c r="E24" s="756">
        <f t="shared" si="27"/>
        <v>63.96</v>
      </c>
      <c r="F24" s="755">
        <f t="shared" si="28"/>
        <v>986</v>
      </c>
      <c r="G24" s="756">
        <f t="shared" si="29"/>
        <v>776.8900000000001</v>
      </c>
      <c r="H24" s="432">
        <f t="shared" si="22"/>
        <v>712.93000000000006</v>
      </c>
      <c r="I24" s="755">
        <f t="shared" si="23"/>
        <v>1.3007931665649786</v>
      </c>
      <c r="J24" s="756">
        <f t="shared" si="24"/>
        <v>15.800081350416923</v>
      </c>
      <c r="K24" s="460"/>
      <c r="Z24" s="1">
        <f t="shared" si="30"/>
        <v>49.300000000000004</v>
      </c>
      <c r="AA24" s="1">
        <f t="shared" si="31"/>
        <v>39.44</v>
      </c>
      <c r="AB24" s="1">
        <f t="shared" si="32"/>
        <v>69.02000000000001</v>
      </c>
      <c r="AC24" s="1">
        <f t="shared" si="33"/>
        <v>69.02000000000001</v>
      </c>
      <c r="AD24" s="1">
        <f t="shared" si="34"/>
        <v>69.02000000000001</v>
      </c>
      <c r="AE24" s="1">
        <f t="shared" si="35"/>
        <v>69.02000000000001</v>
      </c>
      <c r="AF24" s="1">
        <f t="shared" si="36"/>
        <v>79</v>
      </c>
      <c r="AG24" s="1">
        <f t="shared" si="37"/>
        <v>99</v>
      </c>
      <c r="AH24" s="1">
        <f t="shared" si="38"/>
        <v>99</v>
      </c>
      <c r="AI24" s="1">
        <f t="shared" si="39"/>
        <v>138</v>
      </c>
      <c r="AJ24" s="1">
        <f t="shared" si="40"/>
        <v>108</v>
      </c>
      <c r="AK24" s="1">
        <f t="shared" si="41"/>
        <v>99</v>
      </c>
      <c r="AP24" s="460"/>
    </row>
    <row r="25" spans="1:49" outlineLevel="1" x14ac:dyDescent="0.25">
      <c r="A25" s="1">
        <v>16</v>
      </c>
      <c r="B25" s="816">
        <f t="shared" si="25"/>
        <v>2011</v>
      </c>
      <c r="C25" s="470">
        <f>VLOOKUP(A25,DARSO,2,FALSE)</f>
        <v>52.61</v>
      </c>
      <c r="D25" s="755">
        <f t="shared" si="26"/>
        <v>1008</v>
      </c>
      <c r="E25" s="756">
        <f t="shared" si="27"/>
        <v>80.23</v>
      </c>
      <c r="F25" s="755">
        <f t="shared" si="28"/>
        <v>1064</v>
      </c>
      <c r="G25" s="756">
        <f t="shared" si="29"/>
        <v>900.68</v>
      </c>
      <c r="H25" s="432">
        <f t="shared" si="22"/>
        <v>820.44999999999993</v>
      </c>
      <c r="I25" s="755">
        <f t="shared" si="23"/>
        <v>1.5249952480517013</v>
      </c>
      <c r="J25" s="756">
        <f t="shared" si="24"/>
        <v>17.119939175061774</v>
      </c>
      <c r="K25" s="460"/>
      <c r="Z25" s="1">
        <f t="shared" si="30"/>
        <v>53.2</v>
      </c>
      <c r="AA25" s="1">
        <f t="shared" si="31"/>
        <v>42.56</v>
      </c>
      <c r="AB25" s="1">
        <f t="shared" si="32"/>
        <v>74.48</v>
      </c>
      <c r="AC25" s="1">
        <f t="shared" si="33"/>
        <v>74.48</v>
      </c>
      <c r="AD25" s="1">
        <f t="shared" si="34"/>
        <v>74.48</v>
      </c>
      <c r="AE25" s="1">
        <f t="shared" si="35"/>
        <v>74.48</v>
      </c>
      <c r="AF25" s="1">
        <f t="shared" si="36"/>
        <v>85</v>
      </c>
      <c r="AG25" s="1">
        <f t="shared" si="37"/>
        <v>106</v>
      </c>
      <c r="AH25" s="1">
        <f t="shared" si="38"/>
        <v>106</v>
      </c>
      <c r="AI25" s="1">
        <f t="shared" si="39"/>
        <v>149</v>
      </c>
      <c r="AJ25" s="1">
        <f t="shared" si="40"/>
        <v>117</v>
      </c>
      <c r="AK25" s="1">
        <f t="shared" si="41"/>
        <v>106</v>
      </c>
      <c r="AP25" s="460"/>
    </row>
    <row r="26" spans="1:49" outlineLevel="1" x14ac:dyDescent="0.25">
      <c r="A26" s="1">
        <v>17</v>
      </c>
      <c r="B26" s="816">
        <f t="shared" si="25"/>
        <v>2011</v>
      </c>
      <c r="C26" s="470">
        <f>VLOOKUP(A26,DARSO,2,FALSE)</f>
        <v>45.58</v>
      </c>
      <c r="D26" s="755">
        <f t="shared" si="26"/>
        <v>957</v>
      </c>
      <c r="E26" s="756">
        <f t="shared" si="27"/>
        <v>58.15</v>
      </c>
      <c r="F26" s="755">
        <f t="shared" si="28"/>
        <v>1005</v>
      </c>
      <c r="G26" s="756">
        <f t="shared" si="29"/>
        <v>797.25</v>
      </c>
      <c r="H26" s="432">
        <f t="shared" si="22"/>
        <v>739.1</v>
      </c>
      <c r="I26" s="755">
        <f t="shared" si="23"/>
        <v>1.2757788503729706</v>
      </c>
      <c r="J26" s="756">
        <f t="shared" si="24"/>
        <v>17.491224221149629</v>
      </c>
      <c r="K26" s="460"/>
      <c r="Z26" s="1">
        <f t="shared" si="30"/>
        <v>50.25</v>
      </c>
      <c r="AA26" s="1">
        <f t="shared" si="31"/>
        <v>40.200000000000003</v>
      </c>
      <c r="AB26" s="1">
        <f t="shared" si="32"/>
        <v>70.350000000000009</v>
      </c>
      <c r="AC26" s="1">
        <f t="shared" si="33"/>
        <v>70.350000000000009</v>
      </c>
      <c r="AD26" s="1">
        <f t="shared" si="34"/>
        <v>70.350000000000009</v>
      </c>
      <c r="AE26" s="1">
        <f t="shared" si="35"/>
        <v>70.350000000000009</v>
      </c>
      <c r="AF26" s="1">
        <f t="shared" si="36"/>
        <v>80</v>
      </c>
      <c r="AG26" s="1">
        <f t="shared" si="37"/>
        <v>101</v>
      </c>
      <c r="AH26" s="1">
        <f t="shared" si="38"/>
        <v>101</v>
      </c>
      <c r="AI26" s="1">
        <f t="shared" si="39"/>
        <v>141</v>
      </c>
      <c r="AJ26" s="1">
        <f t="shared" si="40"/>
        <v>111</v>
      </c>
      <c r="AK26" s="1">
        <f t="shared" si="41"/>
        <v>101</v>
      </c>
      <c r="AP26" s="460"/>
    </row>
    <row r="27" spans="1:49" outlineLevel="1" x14ac:dyDescent="0.25">
      <c r="A27" s="1">
        <v>18</v>
      </c>
      <c r="B27" s="816">
        <f t="shared" si="25"/>
        <v>2011</v>
      </c>
      <c r="C27" s="470">
        <f>VLOOKUP(A27,NURAZANI,2,FALSE)</f>
        <v>40.799999999999997</v>
      </c>
      <c r="D27" s="755">
        <f t="shared" si="26"/>
        <v>856</v>
      </c>
      <c r="E27" s="756">
        <f t="shared" si="27"/>
        <v>60.339999999999996</v>
      </c>
      <c r="F27" s="755">
        <f t="shared" si="28"/>
        <v>898</v>
      </c>
      <c r="G27" s="756">
        <f t="shared" si="29"/>
        <v>800.71</v>
      </c>
      <c r="H27" s="432">
        <f t="shared" si="22"/>
        <v>740.37</v>
      </c>
      <c r="I27" s="755">
        <f t="shared" si="23"/>
        <v>1.4789215686274511</v>
      </c>
      <c r="J27" s="756">
        <f t="shared" si="24"/>
        <v>19.625245098039219</v>
      </c>
      <c r="K27" s="460"/>
      <c r="Z27" s="1">
        <f t="shared" si="30"/>
        <v>44.900000000000006</v>
      </c>
      <c r="AA27" s="1">
        <f t="shared" si="31"/>
        <v>35.92</v>
      </c>
      <c r="AB27" s="1">
        <f t="shared" si="32"/>
        <v>62.860000000000007</v>
      </c>
      <c r="AC27" s="1">
        <f t="shared" si="33"/>
        <v>62.860000000000007</v>
      </c>
      <c r="AD27" s="1">
        <f t="shared" si="34"/>
        <v>62.860000000000007</v>
      </c>
      <c r="AE27" s="1">
        <f t="shared" si="35"/>
        <v>62.860000000000007</v>
      </c>
      <c r="AF27" s="1">
        <f t="shared" si="36"/>
        <v>72</v>
      </c>
      <c r="AG27" s="1">
        <f t="shared" si="37"/>
        <v>90</v>
      </c>
      <c r="AH27" s="1">
        <f t="shared" si="38"/>
        <v>90</v>
      </c>
      <c r="AI27" s="1">
        <f t="shared" si="39"/>
        <v>126</v>
      </c>
      <c r="AJ27" s="1">
        <f t="shared" si="40"/>
        <v>99</v>
      </c>
      <c r="AK27" s="1">
        <f t="shared" si="41"/>
        <v>90</v>
      </c>
      <c r="AP27" s="460"/>
    </row>
    <row r="28" spans="1:49" ht="15.75" outlineLevel="1" thickBot="1" x14ac:dyDescent="0.3">
      <c r="A28" s="504"/>
      <c r="B28" s="504"/>
      <c r="C28" s="505"/>
      <c r="G28" s="8"/>
      <c r="J28" s="8"/>
      <c r="K28" s="460"/>
      <c r="AP28" s="460"/>
    </row>
    <row r="29" spans="1:49" s="7" customFormat="1" ht="15.75" thickBot="1" x14ac:dyDescent="0.3">
      <c r="A29" s="818"/>
      <c r="B29" s="819">
        <f>B30</f>
        <v>2012</v>
      </c>
      <c r="C29" s="754">
        <f>SUM(C30:C34)</f>
        <v>280.92</v>
      </c>
      <c r="D29" s="753">
        <f t="shared" ref="D29" si="42">SUM(D30:D34)</f>
        <v>5627</v>
      </c>
      <c r="E29" s="487">
        <f>SUM(E30:E34)</f>
        <v>328.35</v>
      </c>
      <c r="F29" s="753">
        <f>SUM(F30:F34)</f>
        <v>5931</v>
      </c>
      <c r="G29" s="487">
        <f>SUM(G30:G34)</f>
        <v>4872.33</v>
      </c>
      <c r="H29" s="823">
        <f t="shared" ref="H29:H34" si="43">G29-E29</f>
        <v>4543.9799999999996</v>
      </c>
      <c r="I29" s="753">
        <f t="shared" ref="I29:I34" si="44">E29/C29</f>
        <v>1.1688381033746262</v>
      </c>
      <c r="J29" s="487">
        <f t="shared" ref="J29:J34" si="45">G29/C29</f>
        <v>17.34419051687313</v>
      </c>
      <c r="K29" s="822"/>
      <c r="Z29" s="7" t="s">
        <v>143</v>
      </c>
      <c r="AA29" s="7" t="s">
        <v>144</v>
      </c>
      <c r="AB29" s="7" t="s">
        <v>145</v>
      </c>
      <c r="AC29" s="7" t="s">
        <v>146</v>
      </c>
      <c r="AD29" s="7" t="s">
        <v>147</v>
      </c>
      <c r="AE29" s="7" t="s">
        <v>148</v>
      </c>
      <c r="AF29" s="7" t="s">
        <v>149</v>
      </c>
      <c r="AG29" s="7" t="s">
        <v>150</v>
      </c>
      <c r="AH29" s="7" t="s">
        <v>151</v>
      </c>
      <c r="AI29" s="7" t="s">
        <v>152</v>
      </c>
      <c r="AJ29" s="7" t="s">
        <v>153</v>
      </c>
      <c r="AK29" s="7" t="s">
        <v>154</v>
      </c>
      <c r="AP29" s="822"/>
    </row>
    <row r="30" spans="1:49" outlineLevel="1" x14ac:dyDescent="0.25">
      <c r="A30" s="1">
        <v>19</v>
      </c>
      <c r="B30" s="816">
        <f>VLOOKUP(A30,coupe,3,FALSE)</f>
        <v>2012</v>
      </c>
      <c r="C30" s="475">
        <f>VLOOKUP(A30,DARSO,2,FALSE)</f>
        <v>50.6</v>
      </c>
      <c r="D30" s="755">
        <f>VLOOKUP(A30,budget2026,19,FALSE)</f>
        <v>1008</v>
      </c>
      <c r="E30" s="756">
        <f>VLOOKUP(A30,year2022to23,374,FALSE)</f>
        <v>44.28</v>
      </c>
      <c r="F30" s="755">
        <f>VLOOKUP(A30,coupe,4,FALSE)</f>
        <v>1063</v>
      </c>
      <c r="G30" s="756">
        <f>VLOOKUP(A30,year2022to23,313,FALSE)</f>
        <v>866</v>
      </c>
      <c r="H30" s="828">
        <f t="shared" si="43"/>
        <v>821.72</v>
      </c>
      <c r="I30" s="755">
        <f t="shared" si="44"/>
        <v>0.87509881422924896</v>
      </c>
      <c r="J30" s="756">
        <f t="shared" si="45"/>
        <v>17.114624505928852</v>
      </c>
      <c r="K30" s="460"/>
      <c r="Z30" s="1">
        <f>VLOOKUP(A30,ffbbudgettwofive,7,FALSE)</f>
        <v>53.150000000000006</v>
      </c>
      <c r="AA30" s="1">
        <f>VLOOKUP(A30,ffbbudgettwofive,8,FALSE)</f>
        <v>42.52</v>
      </c>
      <c r="AB30" s="1">
        <f>VLOOKUP(A30,ffbbudgettwofive,9,FALSE)</f>
        <v>74.410000000000011</v>
      </c>
      <c r="AC30" s="1">
        <f>VLOOKUP(A30,ffbbudgettwofive,10,FALSE)</f>
        <v>74.410000000000011</v>
      </c>
      <c r="AD30" s="1">
        <f>VLOOKUP(A30,ffbbudgettwofive,11,FALSE)</f>
        <v>74.410000000000011</v>
      </c>
      <c r="AE30" s="1">
        <f>VLOOKUP(A30,ffbbudgettwofive,12,FALSE)</f>
        <v>74.410000000000011</v>
      </c>
      <c r="AF30" s="1">
        <f>VLOOKUP(A30,ffbbudgettwofive,13,FALSE)</f>
        <v>85</v>
      </c>
      <c r="AG30" s="1">
        <f>VLOOKUP(A30,ffbbudgettwofive,14,FALSE)</f>
        <v>106</v>
      </c>
      <c r="AH30" s="1">
        <f>VLOOKUP(A30,ffbbudgettwofive,15,FALSE)</f>
        <v>106</v>
      </c>
      <c r="AI30" s="1">
        <f>VLOOKUP(A30,ffbbudgettwofive,16,FALSE)</f>
        <v>149</v>
      </c>
      <c r="AJ30" s="1">
        <f>VLOOKUP(A30,ffbbudgettwofive,17,FALSE)</f>
        <v>117</v>
      </c>
      <c r="AK30" s="1">
        <f>VLOOKUP(A30,ffbbudgettwofive,18,FALSE)</f>
        <v>106</v>
      </c>
      <c r="AP30" s="460"/>
    </row>
    <row r="31" spans="1:49" outlineLevel="1" x14ac:dyDescent="0.25">
      <c r="A31" s="1">
        <v>20</v>
      </c>
      <c r="B31" s="816">
        <f>VLOOKUP(A31,coupe,3,FALSE)</f>
        <v>2012</v>
      </c>
      <c r="C31" s="470">
        <f>VLOOKUP(A31,DARSO,2,FALSE)</f>
        <v>61.98</v>
      </c>
      <c r="D31" s="755">
        <f>VLOOKUP(A31,budget2026,19,FALSE)</f>
        <v>1236</v>
      </c>
      <c r="E31" s="756">
        <f>VLOOKUP(A31,year2022to23,374,FALSE)</f>
        <v>49.230000000000004</v>
      </c>
      <c r="F31" s="755">
        <f>VLOOKUP(A31,coupe,4,FALSE)</f>
        <v>1304</v>
      </c>
      <c r="G31" s="756">
        <f>VLOOKUP(A31,year2022to23,313,FALSE)</f>
        <v>1028.6000000000001</v>
      </c>
      <c r="H31" s="432">
        <f t="shared" si="43"/>
        <v>979.37000000000012</v>
      </c>
      <c r="I31" s="755">
        <f t="shared" si="44"/>
        <v>0.79428848015488873</v>
      </c>
      <c r="J31" s="756">
        <f t="shared" si="45"/>
        <v>16.595676024524042</v>
      </c>
      <c r="K31" s="460"/>
      <c r="Z31" s="1">
        <f>VLOOKUP(A31,ffbbudgettwofive,7,FALSE)</f>
        <v>65.2</v>
      </c>
      <c r="AA31" s="1">
        <f>VLOOKUP(A31,ffbbudgettwofive,8,FALSE)</f>
        <v>52.160000000000004</v>
      </c>
      <c r="AB31" s="1">
        <f>VLOOKUP(A31,ffbbudgettwofive,9,FALSE)</f>
        <v>91.280000000000015</v>
      </c>
      <c r="AC31" s="1">
        <f>VLOOKUP(A31,ffbbudgettwofive,10,FALSE)</f>
        <v>91.280000000000015</v>
      </c>
      <c r="AD31" s="1">
        <f>VLOOKUP(A31,ffbbudgettwofive,11,FALSE)</f>
        <v>91.280000000000015</v>
      </c>
      <c r="AE31" s="1">
        <f>VLOOKUP(A31,ffbbudgettwofive,12,FALSE)</f>
        <v>91.280000000000015</v>
      </c>
      <c r="AF31" s="1">
        <f>VLOOKUP(A31,ffbbudgettwofive,13,FALSE)</f>
        <v>104</v>
      </c>
      <c r="AG31" s="1">
        <f>VLOOKUP(A31,ffbbudgettwofive,14,FALSE)</f>
        <v>130</v>
      </c>
      <c r="AH31" s="1">
        <f>VLOOKUP(A31,ffbbudgettwofive,15,FALSE)</f>
        <v>130</v>
      </c>
      <c r="AI31" s="1">
        <f>VLOOKUP(A31,ffbbudgettwofive,16,FALSE)</f>
        <v>183</v>
      </c>
      <c r="AJ31" s="1">
        <f>VLOOKUP(A31,ffbbudgettwofive,17,FALSE)</f>
        <v>143</v>
      </c>
      <c r="AK31" s="1">
        <f>VLOOKUP(A31,ffbbudgettwofive,18,FALSE)</f>
        <v>130</v>
      </c>
      <c r="AP31" s="460"/>
      <c r="AW31" s="7"/>
    </row>
    <row r="32" spans="1:49" outlineLevel="1" x14ac:dyDescent="0.25">
      <c r="A32" s="1">
        <v>21</v>
      </c>
      <c r="B32" s="816">
        <f>VLOOKUP(A32,coupe,3,FALSE)</f>
        <v>2012</v>
      </c>
      <c r="C32" s="470">
        <f>VLOOKUP(A32,DARSO,2,FALSE)</f>
        <v>71.59</v>
      </c>
      <c r="D32" s="755">
        <f>VLOOKUP(A32,budget2026,19,FALSE)</f>
        <v>1576</v>
      </c>
      <c r="E32" s="756">
        <f>VLOOKUP(A32,year2022to23,374,FALSE)</f>
        <v>93.8</v>
      </c>
      <c r="F32" s="755">
        <f>VLOOKUP(A32,coupe,4,FALSE)</f>
        <v>1661</v>
      </c>
      <c r="G32" s="756">
        <f>VLOOKUP(A32,year2022to23,313,FALSE)</f>
        <v>1324.41</v>
      </c>
      <c r="H32" s="432">
        <f t="shared" si="43"/>
        <v>1230.6100000000001</v>
      </c>
      <c r="I32" s="755">
        <f t="shared" si="44"/>
        <v>1.3102388601760022</v>
      </c>
      <c r="J32" s="756">
        <f t="shared" si="45"/>
        <v>18.499930157843274</v>
      </c>
      <c r="K32" s="460"/>
      <c r="Z32" s="1">
        <f>VLOOKUP(A32,ffbbudgettwofive,7,FALSE)</f>
        <v>83.050000000000011</v>
      </c>
      <c r="AA32" s="1">
        <f>VLOOKUP(A32,ffbbudgettwofive,8,FALSE)</f>
        <v>66.44</v>
      </c>
      <c r="AB32" s="1">
        <f>VLOOKUP(A32,ffbbudgettwofive,9,FALSE)</f>
        <v>116.27000000000001</v>
      </c>
      <c r="AC32" s="1">
        <f>VLOOKUP(A32,ffbbudgettwofive,10,FALSE)</f>
        <v>116.27000000000001</v>
      </c>
      <c r="AD32" s="1">
        <f>VLOOKUP(A32,ffbbudgettwofive,11,FALSE)</f>
        <v>116.27000000000001</v>
      </c>
      <c r="AE32" s="1">
        <f>VLOOKUP(A32,ffbbudgettwofive,12,FALSE)</f>
        <v>116.27000000000001</v>
      </c>
      <c r="AF32" s="1">
        <f>VLOOKUP(A32,ffbbudgettwofive,13,FALSE)</f>
        <v>133</v>
      </c>
      <c r="AG32" s="1">
        <f>VLOOKUP(A32,ffbbudgettwofive,14,FALSE)</f>
        <v>166</v>
      </c>
      <c r="AH32" s="1">
        <f>VLOOKUP(A32,ffbbudgettwofive,15,FALSE)</f>
        <v>166</v>
      </c>
      <c r="AI32" s="1">
        <f>VLOOKUP(A32,ffbbudgettwofive,16,FALSE)</f>
        <v>232</v>
      </c>
      <c r="AJ32" s="1">
        <f>VLOOKUP(A32,ffbbudgettwofive,17,FALSE)</f>
        <v>183</v>
      </c>
      <c r="AK32" s="1">
        <f>VLOOKUP(A32,ffbbudgettwofive,18,FALSE)</f>
        <v>166</v>
      </c>
      <c r="AP32" s="460"/>
    </row>
    <row r="33" spans="1:49" outlineLevel="1" x14ac:dyDescent="0.25">
      <c r="A33" s="1">
        <v>22</v>
      </c>
      <c r="B33" s="816">
        <f>VLOOKUP(A33,coupe,3,FALSE)</f>
        <v>2012</v>
      </c>
      <c r="C33" s="470">
        <f>VLOOKUP(A33,DARSO,2,FALSE)</f>
        <v>52.08</v>
      </c>
      <c r="D33" s="755">
        <f>VLOOKUP(A33,budget2026,19,FALSE)</f>
        <v>1046</v>
      </c>
      <c r="E33" s="756">
        <f>VLOOKUP(A33,year2022to23,374,FALSE)</f>
        <v>84.74</v>
      </c>
      <c r="F33" s="755">
        <f>VLOOKUP(A33,coupe,4,FALSE)</f>
        <v>1098</v>
      </c>
      <c r="G33" s="756">
        <f>VLOOKUP(A33,year2022to23,313,FALSE)</f>
        <v>845.84</v>
      </c>
      <c r="H33" s="432">
        <f t="shared" si="43"/>
        <v>761.1</v>
      </c>
      <c r="I33" s="755">
        <f t="shared" si="44"/>
        <v>1.6271121351766513</v>
      </c>
      <c r="J33" s="756">
        <f t="shared" si="45"/>
        <v>16.241167434715823</v>
      </c>
      <c r="K33" s="460"/>
      <c r="Z33" s="1">
        <f>VLOOKUP(A33,ffbbudgettwofive,7,FALSE)</f>
        <v>54.900000000000006</v>
      </c>
      <c r="AA33" s="1">
        <f>VLOOKUP(A33,ffbbudgettwofive,8,FALSE)</f>
        <v>43.92</v>
      </c>
      <c r="AB33" s="1">
        <f>VLOOKUP(A33,ffbbudgettwofive,9,FALSE)</f>
        <v>76.860000000000014</v>
      </c>
      <c r="AC33" s="1">
        <f>VLOOKUP(A33,ffbbudgettwofive,10,FALSE)</f>
        <v>76.860000000000014</v>
      </c>
      <c r="AD33" s="1">
        <f>VLOOKUP(A33,ffbbudgettwofive,11,FALSE)</f>
        <v>76.860000000000014</v>
      </c>
      <c r="AE33" s="1">
        <f>VLOOKUP(A33,ffbbudgettwofive,12,FALSE)</f>
        <v>76.860000000000014</v>
      </c>
      <c r="AF33" s="1">
        <f>VLOOKUP(A33,ffbbudgettwofive,13,FALSE)</f>
        <v>88</v>
      </c>
      <c r="AG33" s="1">
        <f>VLOOKUP(A33,ffbbudgettwofive,14,FALSE)</f>
        <v>110</v>
      </c>
      <c r="AH33" s="1">
        <f>VLOOKUP(A33,ffbbudgettwofive,15,FALSE)</f>
        <v>110</v>
      </c>
      <c r="AI33" s="1">
        <f>VLOOKUP(A33,ffbbudgettwofive,16,FALSE)</f>
        <v>154</v>
      </c>
      <c r="AJ33" s="1">
        <f>VLOOKUP(A33,ffbbudgettwofive,17,FALSE)</f>
        <v>121</v>
      </c>
      <c r="AK33" s="1">
        <f>VLOOKUP(A33,ffbbudgettwofive,18,FALSE)</f>
        <v>110</v>
      </c>
      <c r="AP33" s="460"/>
      <c r="AS33" s="7"/>
      <c r="AT33" s="7"/>
      <c r="AU33" s="7"/>
      <c r="AV33" s="7"/>
    </row>
    <row r="34" spans="1:49" outlineLevel="1" x14ac:dyDescent="0.25">
      <c r="A34" s="1">
        <v>24</v>
      </c>
      <c r="B34" s="816">
        <f>VLOOKUP(A34,coupe,3,FALSE)</f>
        <v>2012</v>
      </c>
      <c r="C34" s="470">
        <f>VLOOKUP(A34,SERAN,2,FALSE)</f>
        <v>44.67</v>
      </c>
      <c r="D34" s="755">
        <f>VLOOKUP(A34,budget2026,19,FALSE)</f>
        <v>761</v>
      </c>
      <c r="E34" s="756">
        <f>VLOOKUP(A34,year2022to23,374,FALSE)</f>
        <v>56.3</v>
      </c>
      <c r="F34" s="755">
        <f>VLOOKUP(A34,coupe,4,FALSE)</f>
        <v>805</v>
      </c>
      <c r="G34" s="756">
        <f>VLOOKUP(A34,year2022to23,313,FALSE)</f>
        <v>807.48</v>
      </c>
      <c r="H34" s="432">
        <f t="shared" si="43"/>
        <v>751.18000000000006</v>
      </c>
      <c r="I34" s="755">
        <f t="shared" si="44"/>
        <v>1.2603537049473919</v>
      </c>
      <c r="J34" s="756">
        <f t="shared" si="45"/>
        <v>18.07656145063801</v>
      </c>
      <c r="K34" s="460"/>
      <c r="Z34" s="1">
        <f>VLOOKUP(A34,ffbbudgettwofive,7,FALSE)</f>
        <v>40.25</v>
      </c>
      <c r="AA34" s="1">
        <f>VLOOKUP(A34,ffbbudgettwofive,8,FALSE)</f>
        <v>32.200000000000003</v>
      </c>
      <c r="AB34" s="1">
        <f>VLOOKUP(A34,ffbbudgettwofive,9,FALSE)</f>
        <v>56.350000000000009</v>
      </c>
      <c r="AC34" s="1">
        <f>VLOOKUP(A34,ffbbudgettwofive,10,FALSE)</f>
        <v>56.350000000000009</v>
      </c>
      <c r="AD34" s="1">
        <f>VLOOKUP(A34,ffbbudgettwofive,11,FALSE)</f>
        <v>56.350000000000009</v>
      </c>
      <c r="AE34" s="1">
        <f>VLOOKUP(A34,ffbbudgettwofive,12,FALSE)</f>
        <v>56.350000000000009</v>
      </c>
      <c r="AF34" s="1">
        <f>VLOOKUP(A34,ffbbudgettwofive,13,FALSE)</f>
        <v>64</v>
      </c>
      <c r="AG34" s="1">
        <f>VLOOKUP(A34,ffbbudgettwofive,14,FALSE)</f>
        <v>81</v>
      </c>
      <c r="AH34" s="1">
        <f>VLOOKUP(A34,ffbbudgettwofive,15,FALSE)</f>
        <v>81</v>
      </c>
      <c r="AI34" s="1">
        <f>VLOOKUP(A34,ffbbudgettwofive,16,FALSE)</f>
        <v>113</v>
      </c>
      <c r="AJ34" s="1">
        <f>VLOOKUP(A34,ffbbudgettwofive,17,FALSE)</f>
        <v>89</v>
      </c>
      <c r="AK34" s="1">
        <f>VLOOKUP(A34,ffbbudgettwofive,18,FALSE)</f>
        <v>81</v>
      </c>
      <c r="AP34" s="460"/>
    </row>
    <row r="35" spans="1:49" ht="15.75" outlineLevel="1" thickBot="1" x14ac:dyDescent="0.3">
      <c r="A35" s="504"/>
      <c r="B35" s="504"/>
      <c r="C35" s="505"/>
      <c r="G35" s="8"/>
      <c r="J35" s="8"/>
      <c r="K35" s="460"/>
      <c r="AP35" s="460"/>
    </row>
    <row r="36" spans="1:49" s="7" customFormat="1" ht="15.75" thickBot="1" x14ac:dyDescent="0.3">
      <c r="A36" s="818"/>
      <c r="B36" s="819">
        <f>B37</f>
        <v>2015</v>
      </c>
      <c r="C36" s="754">
        <f>SUM(C37:C43)</f>
        <v>174.6</v>
      </c>
      <c r="D36" s="753">
        <f t="shared" ref="D36" si="46">SUM(D37:D43)</f>
        <v>937</v>
      </c>
      <c r="E36" s="487">
        <f>SUM(E37:E43)</f>
        <v>145.78</v>
      </c>
      <c r="F36" s="753">
        <f>SUM(F37:F43)</f>
        <v>843</v>
      </c>
      <c r="G36" s="487">
        <f>SUM(G37:G43)</f>
        <v>1688.28</v>
      </c>
      <c r="H36" s="823">
        <f t="shared" ref="H36:H43" si="47">G36-E36</f>
        <v>1542.5</v>
      </c>
      <c r="I36" s="753">
        <f t="shared" ref="I36:I43" si="48">E36/C36</f>
        <v>0.83493699885452466</v>
      </c>
      <c r="J36" s="487">
        <f t="shared" ref="J36:J43" si="49">G36/C36</f>
        <v>9.6694158075601369</v>
      </c>
      <c r="K36" s="460"/>
      <c r="Z36" s="7" t="s">
        <v>143</v>
      </c>
      <c r="AA36" s="7" t="s">
        <v>144</v>
      </c>
      <c r="AB36" s="7" t="s">
        <v>145</v>
      </c>
      <c r="AC36" s="7" t="s">
        <v>146</v>
      </c>
      <c r="AD36" s="7" t="s">
        <v>147</v>
      </c>
      <c r="AE36" s="7" t="s">
        <v>148</v>
      </c>
      <c r="AF36" s="7" t="s">
        <v>149</v>
      </c>
      <c r="AG36" s="7" t="s">
        <v>150</v>
      </c>
      <c r="AH36" s="7" t="s">
        <v>151</v>
      </c>
      <c r="AI36" s="7" t="s">
        <v>152</v>
      </c>
      <c r="AJ36" s="7" t="s">
        <v>153</v>
      </c>
      <c r="AK36" s="7" t="s">
        <v>154</v>
      </c>
      <c r="AP36" s="460"/>
      <c r="AS36"/>
      <c r="AT36"/>
      <c r="AU36"/>
      <c r="AV36"/>
      <c r="AW36"/>
    </row>
    <row r="37" spans="1:49" outlineLevel="1" x14ac:dyDescent="0.25">
      <c r="A37" s="1">
        <v>25</v>
      </c>
      <c r="B37" s="816">
        <f t="shared" ref="B37:B43" si="50">VLOOKUP(A37,coupe,3,FALSE)</f>
        <v>2015</v>
      </c>
      <c r="C37" s="470">
        <f>VLOOKUP(A37,WENDERLINUS,2,FALSE)</f>
        <v>38.200000000000003</v>
      </c>
      <c r="D37" s="755">
        <f t="shared" ref="D37:D43" si="51">VLOOKUP(A37,budget2026,19,FALSE)</f>
        <v>151</v>
      </c>
      <c r="E37" s="756">
        <f t="shared" ref="E37:E43" si="52">VLOOKUP(A37,year2022to23,374,FALSE)</f>
        <v>22.67</v>
      </c>
      <c r="F37" s="755">
        <f t="shared" ref="F37:F43" si="53">VLOOKUP(A37,coupe,4,FALSE)</f>
        <v>134</v>
      </c>
      <c r="G37" s="756">
        <f t="shared" ref="G37:G43" si="54">VLOOKUP(A37,year2022to23,313,FALSE)</f>
        <v>330.30999999999995</v>
      </c>
      <c r="H37" s="828">
        <f t="shared" si="47"/>
        <v>307.63999999999993</v>
      </c>
      <c r="I37" s="755">
        <f t="shared" si="48"/>
        <v>0.59345549738219894</v>
      </c>
      <c r="J37" s="756">
        <f t="shared" si="49"/>
        <v>8.6468586387434527</v>
      </c>
      <c r="K37" s="460"/>
      <c r="Z37" s="1">
        <f t="shared" ref="Z37:Z43" si="55">VLOOKUP(A37,ffbbudgettwofive,7,FALSE)</f>
        <v>6.7</v>
      </c>
      <c r="AA37" s="1">
        <f t="shared" ref="AA37:AA43" si="56">VLOOKUP(A37,ffbbudgettwofive,8,FALSE)</f>
        <v>5.36</v>
      </c>
      <c r="AB37" s="1">
        <f t="shared" ref="AB37:AB43" si="57">VLOOKUP(A37,ffbbudgettwofive,9,FALSE)</f>
        <v>9.3800000000000008</v>
      </c>
      <c r="AC37" s="1">
        <f t="shared" ref="AC37:AC43" si="58">VLOOKUP(A37,ffbbudgettwofive,10,FALSE)</f>
        <v>9.3800000000000008</v>
      </c>
      <c r="AD37" s="1">
        <f t="shared" ref="AD37:AD43" si="59">VLOOKUP(A37,ffbbudgettwofive,11,FALSE)</f>
        <v>9.3800000000000008</v>
      </c>
      <c r="AE37" s="1">
        <f t="shared" ref="AE37:AE43" si="60">VLOOKUP(A37,ffbbudgettwofive,12,FALSE)</f>
        <v>9.3800000000000008</v>
      </c>
      <c r="AF37" s="1">
        <f t="shared" ref="AF37:AF43" si="61">VLOOKUP(A37,ffbbudgettwofive,13,FALSE)</f>
        <v>11</v>
      </c>
      <c r="AG37" s="1">
        <f t="shared" ref="AG37:AG43" si="62">VLOOKUP(A37,ffbbudgettwofive,14,FALSE)</f>
        <v>13</v>
      </c>
      <c r="AH37" s="1">
        <f t="shared" ref="AH37:AH43" si="63">VLOOKUP(A37,ffbbudgettwofive,15,FALSE)</f>
        <v>13</v>
      </c>
      <c r="AI37" s="1">
        <f t="shared" ref="AI37:AI43" si="64">VLOOKUP(A37,ffbbudgettwofive,16,FALSE)</f>
        <v>19</v>
      </c>
      <c r="AJ37" s="1">
        <f t="shared" ref="AJ37:AJ43" si="65">VLOOKUP(A37,ffbbudgettwofive,17,FALSE)</f>
        <v>15</v>
      </c>
      <c r="AK37" s="1">
        <f t="shared" ref="AK37:AK43" si="66">VLOOKUP(A37,ffbbudgettwofive,18,FALSE)</f>
        <v>13</v>
      </c>
      <c r="AP37" s="460"/>
    </row>
    <row r="38" spans="1:49" outlineLevel="1" x14ac:dyDescent="0.25">
      <c r="A38" s="4" t="s">
        <v>7</v>
      </c>
      <c r="B38" s="816">
        <f t="shared" si="50"/>
        <v>2015</v>
      </c>
      <c r="C38" s="470">
        <f>VLOOKUP(A38,WENDERLINUS,2,FALSE)</f>
        <v>22.7</v>
      </c>
      <c r="D38" s="755">
        <f t="shared" si="51"/>
        <v>133</v>
      </c>
      <c r="E38" s="756">
        <f t="shared" si="52"/>
        <v>25.08</v>
      </c>
      <c r="F38" s="755">
        <f t="shared" si="53"/>
        <v>108</v>
      </c>
      <c r="G38" s="756">
        <f t="shared" si="54"/>
        <v>281.24</v>
      </c>
      <c r="H38" s="432">
        <f t="shared" si="47"/>
        <v>256.16000000000003</v>
      </c>
      <c r="I38" s="755">
        <f t="shared" si="48"/>
        <v>1.1048458149779736</v>
      </c>
      <c r="J38" s="756">
        <f t="shared" si="49"/>
        <v>12.38942731277533</v>
      </c>
      <c r="K38" s="460"/>
      <c r="Z38" s="1">
        <f t="shared" si="55"/>
        <v>5.4</v>
      </c>
      <c r="AA38" s="1">
        <f t="shared" si="56"/>
        <v>4.32</v>
      </c>
      <c r="AB38" s="1">
        <f t="shared" si="57"/>
        <v>7.5600000000000005</v>
      </c>
      <c r="AC38" s="1">
        <f t="shared" si="58"/>
        <v>7.5600000000000005</v>
      </c>
      <c r="AD38" s="1">
        <f t="shared" si="59"/>
        <v>7.5600000000000005</v>
      </c>
      <c r="AE38" s="1">
        <f t="shared" si="60"/>
        <v>7.5600000000000005</v>
      </c>
      <c r="AF38" s="1">
        <f t="shared" si="61"/>
        <v>9</v>
      </c>
      <c r="AG38" s="1">
        <f t="shared" si="62"/>
        <v>11</v>
      </c>
      <c r="AH38" s="1">
        <f t="shared" si="63"/>
        <v>11</v>
      </c>
      <c r="AI38" s="1">
        <f t="shared" si="64"/>
        <v>15</v>
      </c>
      <c r="AJ38" s="1">
        <f t="shared" si="65"/>
        <v>12</v>
      </c>
      <c r="AK38" s="1">
        <f t="shared" si="66"/>
        <v>11</v>
      </c>
      <c r="AP38" s="460"/>
      <c r="AW38" s="7"/>
    </row>
    <row r="39" spans="1:49" outlineLevel="1" x14ac:dyDescent="0.25">
      <c r="A39" s="459">
        <v>27</v>
      </c>
      <c r="B39" s="816">
        <f t="shared" si="50"/>
        <v>2015</v>
      </c>
      <c r="C39" s="475">
        <f>VLOOKUP(A39,WENDERLINUS,2,FALSE)</f>
        <v>14.3</v>
      </c>
      <c r="D39" s="755">
        <f t="shared" si="51"/>
        <v>85</v>
      </c>
      <c r="E39" s="756">
        <f t="shared" si="52"/>
        <v>17.05</v>
      </c>
      <c r="F39" s="755">
        <f t="shared" si="53"/>
        <v>86</v>
      </c>
      <c r="G39" s="756">
        <f t="shared" si="54"/>
        <v>191.64000000000001</v>
      </c>
      <c r="H39" s="432">
        <f t="shared" si="47"/>
        <v>174.59</v>
      </c>
      <c r="I39" s="755">
        <f t="shared" si="48"/>
        <v>1.1923076923076923</v>
      </c>
      <c r="J39" s="756">
        <f t="shared" si="49"/>
        <v>13.401398601398602</v>
      </c>
      <c r="K39" s="460"/>
      <c r="Z39" s="1">
        <f t="shared" si="55"/>
        <v>4.3</v>
      </c>
      <c r="AA39" s="1">
        <f t="shared" si="56"/>
        <v>3.44</v>
      </c>
      <c r="AB39" s="1">
        <f t="shared" si="57"/>
        <v>6.0200000000000005</v>
      </c>
      <c r="AC39" s="1">
        <f t="shared" si="58"/>
        <v>6.0200000000000005</v>
      </c>
      <c r="AD39" s="1">
        <f t="shared" si="59"/>
        <v>6.0200000000000005</v>
      </c>
      <c r="AE39" s="1">
        <f t="shared" si="60"/>
        <v>6.0200000000000005</v>
      </c>
      <c r="AF39" s="1">
        <f t="shared" si="61"/>
        <v>7</v>
      </c>
      <c r="AG39" s="1">
        <f t="shared" si="62"/>
        <v>9</v>
      </c>
      <c r="AH39" s="1">
        <f t="shared" si="63"/>
        <v>9</v>
      </c>
      <c r="AI39" s="1">
        <f t="shared" si="64"/>
        <v>12</v>
      </c>
      <c r="AJ39" s="1">
        <f t="shared" si="65"/>
        <v>9</v>
      </c>
      <c r="AK39" s="1">
        <f t="shared" si="66"/>
        <v>9</v>
      </c>
      <c r="AP39" s="460"/>
    </row>
    <row r="40" spans="1:49" outlineLevel="1" x14ac:dyDescent="0.25">
      <c r="A40" s="1">
        <v>28</v>
      </c>
      <c r="B40" s="816">
        <f t="shared" si="50"/>
        <v>2015</v>
      </c>
      <c r="C40" s="470">
        <f>VLOOKUP(A40,WENDERLINUS,2,FALSE)</f>
        <v>21.9</v>
      </c>
      <c r="D40" s="755">
        <f t="shared" si="51"/>
        <v>262</v>
      </c>
      <c r="E40" s="756">
        <f t="shared" si="52"/>
        <v>29.27</v>
      </c>
      <c r="F40" s="755">
        <f t="shared" si="53"/>
        <v>256</v>
      </c>
      <c r="G40" s="756">
        <f t="shared" si="54"/>
        <v>331.57000000000005</v>
      </c>
      <c r="H40" s="432">
        <f t="shared" si="47"/>
        <v>302.30000000000007</v>
      </c>
      <c r="I40" s="755">
        <f t="shared" si="48"/>
        <v>1.3365296803652968</v>
      </c>
      <c r="J40" s="756">
        <f t="shared" si="49"/>
        <v>15.140182648401829</v>
      </c>
      <c r="K40" s="460"/>
      <c r="Z40" s="1">
        <f t="shared" si="55"/>
        <v>12.8</v>
      </c>
      <c r="AA40" s="1">
        <f t="shared" si="56"/>
        <v>10.24</v>
      </c>
      <c r="AB40" s="1">
        <f t="shared" si="57"/>
        <v>17.920000000000002</v>
      </c>
      <c r="AC40" s="1">
        <f t="shared" si="58"/>
        <v>17.920000000000002</v>
      </c>
      <c r="AD40" s="1">
        <f t="shared" si="59"/>
        <v>17.920000000000002</v>
      </c>
      <c r="AE40" s="1">
        <f t="shared" si="60"/>
        <v>17.920000000000002</v>
      </c>
      <c r="AF40" s="1">
        <f t="shared" si="61"/>
        <v>21</v>
      </c>
      <c r="AG40" s="1">
        <f t="shared" si="62"/>
        <v>26</v>
      </c>
      <c r="AH40" s="1">
        <f t="shared" si="63"/>
        <v>26</v>
      </c>
      <c r="AI40" s="1">
        <f t="shared" si="64"/>
        <v>36</v>
      </c>
      <c r="AJ40" s="1">
        <f t="shared" si="65"/>
        <v>28</v>
      </c>
      <c r="AK40" s="1">
        <f t="shared" si="66"/>
        <v>26</v>
      </c>
      <c r="AP40" s="460"/>
      <c r="AS40" s="7"/>
      <c r="AT40" s="7"/>
      <c r="AU40" s="7"/>
      <c r="AV40" s="7"/>
    </row>
    <row r="41" spans="1:49" outlineLevel="1" x14ac:dyDescent="0.25">
      <c r="A41" s="73">
        <v>29</v>
      </c>
      <c r="B41" s="816">
        <f t="shared" si="50"/>
        <v>2015</v>
      </c>
      <c r="C41" s="470">
        <f>VLOOKUP(A41,ERDI,2,FALSE)</f>
        <v>19.2</v>
      </c>
      <c r="D41" s="755">
        <f t="shared" si="51"/>
        <v>76</v>
      </c>
      <c r="E41" s="756">
        <f t="shared" si="52"/>
        <v>9.75</v>
      </c>
      <c r="F41" s="755">
        <f t="shared" si="53"/>
        <v>69</v>
      </c>
      <c r="G41" s="756">
        <f t="shared" si="54"/>
        <v>97.54</v>
      </c>
      <c r="H41" s="432">
        <f t="shared" si="47"/>
        <v>87.79</v>
      </c>
      <c r="I41" s="755">
        <f t="shared" si="48"/>
        <v>0.5078125</v>
      </c>
      <c r="J41" s="756">
        <f t="shared" si="49"/>
        <v>5.0802083333333341</v>
      </c>
      <c r="K41" s="460"/>
      <c r="Z41" s="1">
        <f t="shared" si="55"/>
        <v>3.45</v>
      </c>
      <c r="AA41" s="1">
        <f t="shared" si="56"/>
        <v>2.7600000000000002</v>
      </c>
      <c r="AB41" s="1">
        <f t="shared" si="57"/>
        <v>4.83</v>
      </c>
      <c r="AC41" s="1">
        <f t="shared" si="58"/>
        <v>4.83</v>
      </c>
      <c r="AD41" s="1">
        <f t="shared" si="59"/>
        <v>4.83</v>
      </c>
      <c r="AE41" s="1">
        <f t="shared" si="60"/>
        <v>4.83</v>
      </c>
      <c r="AF41" s="1">
        <f t="shared" si="61"/>
        <v>6</v>
      </c>
      <c r="AG41" s="1">
        <f t="shared" si="62"/>
        <v>7</v>
      </c>
      <c r="AH41" s="1">
        <f t="shared" si="63"/>
        <v>7</v>
      </c>
      <c r="AI41" s="1">
        <f t="shared" si="64"/>
        <v>10</v>
      </c>
      <c r="AJ41" s="1">
        <f t="shared" si="65"/>
        <v>8</v>
      </c>
      <c r="AK41" s="1">
        <f t="shared" si="66"/>
        <v>7</v>
      </c>
      <c r="AP41" s="460"/>
    </row>
    <row r="42" spans="1:49" outlineLevel="1" x14ac:dyDescent="0.25">
      <c r="A42" s="1">
        <v>30</v>
      </c>
      <c r="B42" s="816">
        <f t="shared" si="50"/>
        <v>2015</v>
      </c>
      <c r="C42" s="470">
        <f>VLOOKUP(A42,WENDERLINUS,2,FALSE)</f>
        <v>24.3</v>
      </c>
      <c r="D42" s="755">
        <f t="shared" si="51"/>
        <v>95</v>
      </c>
      <c r="E42" s="756">
        <f t="shared" si="52"/>
        <v>20.950000000000003</v>
      </c>
      <c r="F42" s="755">
        <f t="shared" si="53"/>
        <v>74</v>
      </c>
      <c r="G42" s="756">
        <f t="shared" si="54"/>
        <v>222.79</v>
      </c>
      <c r="H42" s="432">
        <f t="shared" si="47"/>
        <v>201.83999999999997</v>
      </c>
      <c r="I42" s="755">
        <f t="shared" si="48"/>
        <v>0.86213991769547338</v>
      </c>
      <c r="J42" s="756">
        <f t="shared" si="49"/>
        <v>9.1683127572016456</v>
      </c>
      <c r="K42" s="460"/>
      <c r="Z42" s="1">
        <f t="shared" si="55"/>
        <v>3.7</v>
      </c>
      <c r="AA42" s="1">
        <f t="shared" si="56"/>
        <v>2.96</v>
      </c>
      <c r="AB42" s="1">
        <f t="shared" si="57"/>
        <v>5.1800000000000006</v>
      </c>
      <c r="AC42" s="1">
        <f t="shared" si="58"/>
        <v>5.1800000000000006</v>
      </c>
      <c r="AD42" s="1">
        <f t="shared" si="59"/>
        <v>5.1800000000000006</v>
      </c>
      <c r="AE42" s="1">
        <f t="shared" si="60"/>
        <v>5.1800000000000006</v>
      </c>
      <c r="AF42" s="1">
        <f t="shared" si="61"/>
        <v>6</v>
      </c>
      <c r="AG42" s="1">
        <f t="shared" si="62"/>
        <v>7</v>
      </c>
      <c r="AH42" s="1">
        <f t="shared" si="63"/>
        <v>7</v>
      </c>
      <c r="AI42" s="1">
        <f t="shared" si="64"/>
        <v>10</v>
      </c>
      <c r="AJ42" s="1">
        <f t="shared" si="65"/>
        <v>8</v>
      </c>
      <c r="AK42" s="1">
        <f t="shared" si="66"/>
        <v>7</v>
      </c>
      <c r="AP42" s="460"/>
    </row>
    <row r="43" spans="1:49" outlineLevel="1" x14ac:dyDescent="0.25">
      <c r="A43" s="1">
        <v>31</v>
      </c>
      <c r="B43" s="816">
        <f t="shared" si="50"/>
        <v>2015</v>
      </c>
      <c r="C43" s="470">
        <f>VLOOKUP(A43,WENDERLINUS,2,FALSE)</f>
        <v>34</v>
      </c>
      <c r="D43" s="755">
        <f t="shared" si="51"/>
        <v>135</v>
      </c>
      <c r="E43" s="756">
        <f t="shared" si="52"/>
        <v>21.009999999999998</v>
      </c>
      <c r="F43" s="755">
        <f t="shared" si="53"/>
        <v>116</v>
      </c>
      <c r="G43" s="756">
        <f t="shared" si="54"/>
        <v>233.18999999999997</v>
      </c>
      <c r="H43" s="432">
        <f t="shared" si="47"/>
        <v>212.17999999999998</v>
      </c>
      <c r="I43" s="755">
        <f t="shared" si="48"/>
        <v>0.61794117647058822</v>
      </c>
      <c r="J43" s="756">
        <f t="shared" si="49"/>
        <v>6.8585294117647049</v>
      </c>
      <c r="K43" s="460"/>
      <c r="Z43" s="1">
        <f t="shared" si="55"/>
        <v>5.8000000000000007</v>
      </c>
      <c r="AA43" s="1">
        <f t="shared" si="56"/>
        <v>4.6399999999999997</v>
      </c>
      <c r="AB43" s="1">
        <f t="shared" si="57"/>
        <v>8.120000000000001</v>
      </c>
      <c r="AC43" s="1">
        <f t="shared" si="58"/>
        <v>8.120000000000001</v>
      </c>
      <c r="AD43" s="1">
        <f t="shared" si="59"/>
        <v>8.120000000000001</v>
      </c>
      <c r="AE43" s="1">
        <f t="shared" si="60"/>
        <v>8.120000000000001</v>
      </c>
      <c r="AF43" s="1">
        <f t="shared" si="61"/>
        <v>9</v>
      </c>
      <c r="AG43" s="1">
        <f t="shared" si="62"/>
        <v>12</v>
      </c>
      <c r="AH43" s="1">
        <f t="shared" si="63"/>
        <v>12</v>
      </c>
      <c r="AI43" s="1">
        <f t="shared" si="64"/>
        <v>16</v>
      </c>
      <c r="AJ43" s="1">
        <f t="shared" si="65"/>
        <v>13</v>
      </c>
      <c r="AK43" s="1">
        <f t="shared" si="66"/>
        <v>12</v>
      </c>
      <c r="AP43" s="460"/>
    </row>
    <row r="44" spans="1:49" ht="15.75" outlineLevel="1" thickBot="1" x14ac:dyDescent="0.3">
      <c r="A44" s="504"/>
      <c r="B44" s="504"/>
      <c r="C44" s="505"/>
      <c r="G44" s="8"/>
      <c r="J44" s="8"/>
      <c r="K44" s="460"/>
      <c r="AP44" s="460"/>
    </row>
    <row r="45" spans="1:49" s="7" customFormat="1" ht="15.75" thickBot="1" x14ac:dyDescent="0.3">
      <c r="A45" s="818"/>
      <c r="B45" s="820">
        <f>B46</f>
        <v>2016</v>
      </c>
      <c r="C45" s="488">
        <f>SUM(C46:C47)</f>
        <v>32.9</v>
      </c>
      <c r="D45" s="753">
        <f t="shared" ref="D45" si="67">SUM(D46:D47)</f>
        <v>454</v>
      </c>
      <c r="E45" s="487">
        <f>SUM(E46:E47)</f>
        <v>28.5</v>
      </c>
      <c r="F45" s="753">
        <f>SUM(F46:F47)</f>
        <v>458</v>
      </c>
      <c r="G45" s="487">
        <f>SUM(G46:G47)</f>
        <v>517.73</v>
      </c>
      <c r="H45" s="823">
        <f>G45-E45</f>
        <v>489.23</v>
      </c>
      <c r="I45" s="753">
        <f>E45/C45</f>
        <v>0.86626139817629189</v>
      </c>
      <c r="J45" s="487">
        <f>G45/C45</f>
        <v>15.736474164133741</v>
      </c>
      <c r="K45" s="460"/>
      <c r="Z45" s="7" t="s">
        <v>143</v>
      </c>
      <c r="AA45" s="7" t="s">
        <v>144</v>
      </c>
      <c r="AB45" s="7" t="s">
        <v>145</v>
      </c>
      <c r="AC45" s="7" t="s">
        <v>146</v>
      </c>
      <c r="AD45" s="7" t="s">
        <v>147</v>
      </c>
      <c r="AE45" s="7" t="s">
        <v>148</v>
      </c>
      <c r="AF45" s="7" t="s">
        <v>149</v>
      </c>
      <c r="AG45" s="7" t="s">
        <v>150</v>
      </c>
      <c r="AH45" s="7" t="s">
        <v>151</v>
      </c>
      <c r="AI45" s="7" t="s">
        <v>152</v>
      </c>
      <c r="AJ45" s="7" t="s">
        <v>153</v>
      </c>
      <c r="AK45" s="7" t="s">
        <v>154</v>
      </c>
      <c r="AP45" s="460"/>
      <c r="AS45"/>
      <c r="AT45"/>
      <c r="AU45"/>
      <c r="AV45"/>
      <c r="AW45"/>
    </row>
    <row r="46" spans="1:49" outlineLevel="1" x14ac:dyDescent="0.25">
      <c r="A46" s="1">
        <v>33</v>
      </c>
      <c r="B46" s="816">
        <f>VLOOKUP(A46,coupe,3,FALSE)</f>
        <v>2016</v>
      </c>
      <c r="C46" s="470">
        <f>VLOOKUP(A46,WENDERLINUS,2,FALSE)</f>
        <v>28.4</v>
      </c>
      <c r="D46" s="755">
        <f>VLOOKUP(A46,budget2026,19,FALSE)</f>
        <v>427</v>
      </c>
      <c r="E46" s="756">
        <f>VLOOKUP(A46,year2022to23,374,FALSE)</f>
        <v>25.57</v>
      </c>
      <c r="F46" s="755">
        <f>VLOOKUP(A46,coupe,4,FALSE)</f>
        <v>431</v>
      </c>
      <c r="G46" s="756">
        <f>VLOOKUP(A46,year2022to23,313,FALSE)</f>
        <v>478.1</v>
      </c>
      <c r="H46" s="828">
        <f>G46-E46</f>
        <v>452.53000000000003</v>
      </c>
      <c r="I46" s="755">
        <f>E46/C46</f>
        <v>0.90035211267605642</v>
      </c>
      <c r="J46" s="756">
        <f>G46/C46</f>
        <v>16.834507042253524</v>
      </c>
      <c r="K46" s="460"/>
      <c r="Z46" s="1">
        <f>VLOOKUP(A46,ffbbudgettwofive,7,FALSE)</f>
        <v>21.55</v>
      </c>
      <c r="AA46" s="1">
        <f>VLOOKUP(A46,ffbbudgettwofive,8,FALSE)</f>
        <v>17.240000000000002</v>
      </c>
      <c r="AB46" s="1">
        <f>VLOOKUP(A46,ffbbudgettwofive,9,FALSE)</f>
        <v>30.17</v>
      </c>
      <c r="AC46" s="1">
        <f>VLOOKUP(A46,ffbbudgettwofive,10,FALSE)</f>
        <v>30.17</v>
      </c>
      <c r="AD46" s="1">
        <f>VLOOKUP(A46,ffbbudgettwofive,11,FALSE)</f>
        <v>30.17</v>
      </c>
      <c r="AE46" s="1">
        <f>VLOOKUP(A46,ffbbudgettwofive,12,FALSE)</f>
        <v>30.17</v>
      </c>
      <c r="AF46" s="1">
        <f>VLOOKUP(A46,ffbbudgettwofive,13,FALSE)</f>
        <v>34</v>
      </c>
      <c r="AG46" s="1">
        <f>VLOOKUP(A46,ffbbudgettwofive,14,FALSE)</f>
        <v>43</v>
      </c>
      <c r="AH46" s="1">
        <f>VLOOKUP(A46,ffbbudgettwofive,15,FALSE)</f>
        <v>43</v>
      </c>
      <c r="AI46" s="1">
        <f>VLOOKUP(A46,ffbbudgettwofive,16,FALSE)</f>
        <v>60</v>
      </c>
      <c r="AJ46" s="1">
        <f>VLOOKUP(A46,ffbbudgettwofive,17,FALSE)</f>
        <v>47</v>
      </c>
      <c r="AK46" s="1">
        <f>VLOOKUP(A46,ffbbudgettwofive,18,FALSE)</f>
        <v>43</v>
      </c>
      <c r="AP46" s="460"/>
    </row>
    <row r="47" spans="1:49" outlineLevel="1" x14ac:dyDescent="0.25">
      <c r="A47" s="1">
        <v>39</v>
      </c>
      <c r="B47" s="816">
        <f>VLOOKUP(A47,coupe,3,FALSE)</f>
        <v>2016</v>
      </c>
      <c r="C47" s="470">
        <f>VLOOKUP(A47,WENDERLINUS,2,FALSE)</f>
        <v>4.5</v>
      </c>
      <c r="D47" s="755">
        <f>VLOOKUP(A47,budget2026,19,FALSE)</f>
        <v>27</v>
      </c>
      <c r="E47" s="756">
        <f>VLOOKUP(A47,year2022to23,374,FALSE)</f>
        <v>2.93</v>
      </c>
      <c r="F47" s="755">
        <f>VLOOKUP(A47,coupe,4,FALSE)</f>
        <v>27</v>
      </c>
      <c r="G47" s="756">
        <f>VLOOKUP(A47,year2022to23,313,FALSE)</f>
        <v>39.630000000000003</v>
      </c>
      <c r="H47" s="432">
        <f>G47-E47</f>
        <v>36.700000000000003</v>
      </c>
      <c r="I47" s="755">
        <f>E47/C47</f>
        <v>0.6511111111111112</v>
      </c>
      <c r="J47" s="756">
        <f>G47/C47</f>
        <v>8.8066666666666666</v>
      </c>
      <c r="K47" s="460"/>
      <c r="Z47" s="1">
        <f>VLOOKUP(A47,ffbbudgettwofive,7,FALSE)</f>
        <v>0.35000000000000009</v>
      </c>
      <c r="AA47" s="1">
        <f>VLOOKUP(A47,ffbbudgettwofive,8,FALSE)</f>
        <v>8.0000000000000071E-2</v>
      </c>
      <c r="AB47" s="1">
        <f>VLOOKUP(A47,ffbbudgettwofive,9,FALSE)</f>
        <v>1.8900000000000001</v>
      </c>
      <c r="AC47" s="1">
        <f>VLOOKUP(A47,ffbbudgettwofive,10,FALSE)</f>
        <v>1.8900000000000001</v>
      </c>
      <c r="AD47" s="1">
        <f>VLOOKUP(A47,ffbbudgettwofive,11,FALSE)</f>
        <v>1.8900000000000001</v>
      </c>
      <c r="AE47" s="1">
        <f>VLOOKUP(A47,ffbbudgettwofive,12,FALSE)</f>
        <v>1.8900000000000001</v>
      </c>
      <c r="AF47" s="1">
        <f>VLOOKUP(A47,ffbbudgettwofive,13,FALSE)</f>
        <v>2</v>
      </c>
      <c r="AG47" s="1">
        <f>VLOOKUP(A47,ffbbudgettwofive,14,FALSE)</f>
        <v>3</v>
      </c>
      <c r="AH47" s="1">
        <f>VLOOKUP(A47,ffbbudgettwofive,15,FALSE)</f>
        <v>3</v>
      </c>
      <c r="AI47" s="1">
        <f>VLOOKUP(A47,ffbbudgettwofive,16,FALSE)</f>
        <v>4</v>
      </c>
      <c r="AJ47" s="1">
        <f>VLOOKUP(A47,ffbbudgettwofive,17,FALSE)</f>
        <v>3</v>
      </c>
      <c r="AK47" s="1">
        <f>VLOOKUP(A47,ffbbudgettwofive,18,FALSE)</f>
        <v>3</v>
      </c>
      <c r="AP47" s="460"/>
      <c r="AW47" s="7"/>
    </row>
    <row r="48" spans="1:49" ht="15.75" outlineLevel="1" thickBot="1" x14ac:dyDescent="0.3">
      <c r="A48" s="504"/>
      <c r="B48" s="504"/>
      <c r="C48" s="505"/>
      <c r="G48" s="8"/>
      <c r="J48" s="8"/>
      <c r="K48" s="460"/>
      <c r="AP48" s="460"/>
    </row>
    <row r="49" spans="1:49" s="7" customFormat="1" ht="27" thickBot="1" x14ac:dyDescent="0.3">
      <c r="B49" s="817" t="s">
        <v>8</v>
      </c>
      <c r="C49" s="488">
        <f t="shared" ref="C49:H49" si="68">C6+C20+C29+C36+C45</f>
        <v>1413.5900000000001</v>
      </c>
      <c r="D49" s="753">
        <f>D6+D20+D29+D36+D45</f>
        <v>24743</v>
      </c>
      <c r="E49" s="487">
        <f t="shared" si="68"/>
        <v>1668.36</v>
      </c>
      <c r="F49" s="753">
        <f>F6+F20+F29+F36+F45</f>
        <v>25903</v>
      </c>
      <c r="G49" s="487">
        <f>G6+G20+G29+G36+G45</f>
        <v>21660.139999999996</v>
      </c>
      <c r="H49" s="823">
        <f t="shared" si="68"/>
        <v>19991.78</v>
      </c>
      <c r="I49" s="753">
        <f>E49/C49</f>
        <v>1.1802290621750293</v>
      </c>
      <c r="J49" s="487">
        <f>G49/C49</f>
        <v>15.322788078580064</v>
      </c>
      <c r="K49" s="460"/>
      <c r="AP49" s="460"/>
      <c r="AW49"/>
    </row>
    <row r="50" spans="1:49" s="7" customFormat="1" x14ac:dyDescent="0.25">
      <c r="E50" s="6"/>
      <c r="H50" s="821"/>
      <c r="K50" s="822"/>
      <c r="N50" s="428"/>
      <c r="O50" s="428"/>
      <c r="AP50" s="822"/>
    </row>
    <row r="51" spans="1:49" s="7" customFormat="1" x14ac:dyDescent="0.25">
      <c r="E51" s="6"/>
      <c r="H51" s="821"/>
      <c r="K51" s="822"/>
      <c r="N51" s="428"/>
      <c r="O51" s="428"/>
      <c r="AP51" s="822"/>
    </row>
    <row r="52" spans="1:49" x14ac:dyDescent="0.25">
      <c r="A52" t="s">
        <v>223</v>
      </c>
      <c r="K52" s="460"/>
      <c r="AP52" s="460"/>
      <c r="AW52" s="7"/>
    </row>
    <row r="53" spans="1:49" x14ac:dyDescent="0.25">
      <c r="A53" t="s">
        <v>220</v>
      </c>
      <c r="AP53" s="460"/>
    </row>
    <row r="54" spans="1:49" x14ac:dyDescent="0.25">
      <c r="A54" t="s">
        <v>221</v>
      </c>
      <c r="AP54" s="460"/>
      <c r="AS54" s="7"/>
      <c r="AT54" s="7"/>
      <c r="AU54" s="7"/>
      <c r="AV54" s="7"/>
    </row>
    <row r="55" spans="1:49" x14ac:dyDescent="0.25">
      <c r="AP55" s="460"/>
    </row>
  </sheetData>
  <mergeCells count="4">
    <mergeCell ref="I4:J4"/>
    <mergeCell ref="Z5:AK5"/>
    <mergeCell ref="F5:G5"/>
    <mergeCell ref="D5:E5"/>
  </mergeCells>
  <conditionalFormatting sqref="C45 C49">
    <cfRule type="expression" dxfId="50" priority="35">
      <formula>C45&gt;#REF!</formula>
    </cfRule>
    <cfRule type="expression" dxfId="49" priority="36">
      <formula>C45&lt;#REF!</formula>
    </cfRule>
  </conditionalFormatting>
  <conditionalFormatting sqref="D6:D49 F6:F49">
    <cfRule type="expression" dxfId="48" priority="34">
      <formula>D6&lt;#REF!</formula>
    </cfRule>
  </conditionalFormatting>
  <conditionalFormatting sqref="E6:J18">
    <cfRule type="expression" dxfId="47" priority="25">
      <formula>E6&gt;#REF!</formula>
    </cfRule>
    <cfRule type="expression" dxfId="46" priority="26">
      <formula>E6&lt;#REF!</formula>
    </cfRule>
  </conditionalFormatting>
  <conditionalFormatting sqref="E20:J27">
    <cfRule type="expression" dxfId="45" priority="21">
      <formula>E20&gt;#REF!</formula>
    </cfRule>
    <cfRule type="expression" dxfId="44" priority="22">
      <formula>E20&lt;#REF!</formula>
    </cfRule>
  </conditionalFormatting>
  <conditionalFormatting sqref="E29:J34 E36:J43 E45:J47 E49:J49">
    <cfRule type="expression" dxfId="43" priority="13">
      <formula>E29&gt;#REF!</formula>
    </cfRule>
    <cfRule type="expression" dxfId="42" priority="14">
      <formula>E29&lt;#REF!</formula>
    </cfRule>
  </conditionalFormatting>
  <conditionalFormatting sqref="F6:F49 D6:D49">
    <cfRule type="expression" dxfId="41" priority="33">
      <formula>D6&gt;#REF!</formula>
    </cfRule>
  </conditionalFormatting>
  <conditionalFormatting sqref="G6:G18">
    <cfRule type="expression" dxfId="40" priority="27">
      <formula>G6&gt;#REF!</formula>
    </cfRule>
    <cfRule type="expression" dxfId="39" priority="28">
      <formula>G6&lt;#REF!</formula>
    </cfRule>
  </conditionalFormatting>
  <conditionalFormatting sqref="G20:G27">
    <cfRule type="expression" dxfId="38" priority="23">
      <formula>G20&gt;#REF!</formula>
    </cfRule>
    <cfRule type="expression" dxfId="37" priority="24">
      <formula>G20&lt;#REF!</formula>
    </cfRule>
  </conditionalFormatting>
  <conditionalFormatting sqref="G29:G34 G36:G43 G45:G47 G49">
    <cfRule type="expression" dxfId="36" priority="15">
      <formula>G29&gt;#REF!</formula>
    </cfRule>
    <cfRule type="expression" dxfId="35" priority="16">
      <formula>G29&lt;#REF!</formula>
    </cfRule>
  </conditionalFormatting>
  <conditionalFormatting sqref="I6:I49">
    <cfRule type="expression" dxfId="34" priority="7">
      <formula>I6&gt;#REF!</formula>
    </cfRule>
    <cfRule type="expression" dxfId="33" priority="8">
      <formula>I6&lt;#REF!</formula>
    </cfRule>
  </conditionalFormatting>
  <conditionalFormatting sqref="J6:J18">
    <cfRule type="expression" dxfId="32" priority="5">
      <formula>J6&gt;#REF!</formula>
    </cfRule>
    <cfRule type="expression" dxfId="31" priority="6">
      <formula>J6&lt;#REF!</formula>
    </cfRule>
  </conditionalFormatting>
  <conditionalFormatting sqref="J20:J27">
    <cfRule type="expression" dxfId="30" priority="3">
      <formula>J20&gt;#REF!</formula>
    </cfRule>
    <cfRule type="expression" dxfId="29" priority="4">
      <formula>J20&lt;#REF!</formula>
    </cfRule>
  </conditionalFormatting>
  <conditionalFormatting sqref="J29:J34 J36:J43 J45:J47 J49">
    <cfRule type="expression" dxfId="28" priority="1">
      <formula>J29&gt;#REF!</formula>
    </cfRule>
    <cfRule type="expression" dxfId="27" priority="2">
      <formula>J29&lt;#REF!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7B97-C8B7-47CB-B1DC-4F6E6115BCB7}">
  <sheetPr>
    <pageSetUpPr fitToPage="1"/>
  </sheetPr>
  <dimension ref="A1:AP152"/>
  <sheetViews>
    <sheetView topLeftCell="A53" zoomScaleNormal="100" zoomScaleSheetLayoutView="100" workbookViewId="0">
      <selection activeCell="AW24" sqref="AW24"/>
    </sheetView>
  </sheetViews>
  <sheetFormatPr defaultRowHeight="15" outlineLevelRow="1" x14ac:dyDescent="0.25"/>
  <cols>
    <col min="1" max="1" width="14.85546875" customWidth="1"/>
    <col min="2" max="2" width="7.140625" customWidth="1"/>
    <col min="3" max="3" width="10.85546875" style="906" customWidth="1"/>
    <col min="4" max="8" width="10.85546875" customWidth="1"/>
    <col min="9" max="11" width="9.5703125" customWidth="1"/>
    <col min="12" max="12" width="9.140625" style="434"/>
    <col min="14" max="14" width="9.140625" customWidth="1"/>
    <col min="15" max="15" width="0.7109375" customWidth="1"/>
    <col min="16" max="17" width="14.7109375" hidden="1" customWidth="1"/>
    <col min="18" max="19" width="14.7109375" style="434" hidden="1" customWidth="1"/>
    <col min="20" max="20" width="9.7109375" hidden="1" customWidth="1"/>
    <col min="21" max="24" width="9.140625" hidden="1" customWidth="1"/>
    <col min="25" max="29" width="9.140625" style="7" hidden="1" customWidth="1"/>
    <col min="30" max="41" width="9.140625" style="506" hidden="1" customWidth="1"/>
    <col min="42" max="43" width="9.140625" customWidth="1"/>
  </cols>
  <sheetData>
    <row r="1" spans="1:41" s="5" customFormat="1" x14ac:dyDescent="0.25">
      <c r="A1" s="5" t="s">
        <v>163</v>
      </c>
      <c r="C1" s="898"/>
      <c r="L1" s="469"/>
      <c r="R1" s="469"/>
      <c r="S1" s="469"/>
      <c r="Y1" s="7"/>
      <c r="Z1" s="7"/>
      <c r="AA1" s="7"/>
      <c r="AB1" s="7"/>
      <c r="AC1" s="7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  <c r="AO1" s="813"/>
    </row>
    <row r="2" spans="1:41" s="7" customFormat="1" ht="15.75" thickBot="1" x14ac:dyDescent="0.3">
      <c r="A2" s="430">
        <v>46023</v>
      </c>
      <c r="B2" s="430"/>
      <c r="C2" s="899"/>
      <c r="L2" s="428"/>
      <c r="R2" s="428"/>
      <c r="S2" s="428"/>
      <c r="AD2" s="749"/>
      <c r="AE2" s="749"/>
      <c r="AF2" s="749"/>
      <c r="AG2" s="749"/>
      <c r="AH2" s="749"/>
      <c r="AI2" s="749"/>
      <c r="AJ2" s="749"/>
      <c r="AK2" s="749"/>
      <c r="AL2" s="749"/>
      <c r="AM2" s="749"/>
      <c r="AN2" s="749"/>
      <c r="AO2" s="749"/>
    </row>
    <row r="3" spans="1:41" s="7" customFormat="1" ht="15.75" thickBot="1" x14ac:dyDescent="0.3">
      <c r="A3" s="430"/>
      <c r="B3" s="430"/>
      <c r="C3" s="899"/>
      <c r="D3" s="925">
        <v>2026</v>
      </c>
      <c r="E3" s="926"/>
      <c r="F3" s="926"/>
      <c r="G3" s="926"/>
      <c r="H3" s="926"/>
      <c r="I3" s="926"/>
      <c r="J3" s="926"/>
      <c r="K3" s="926"/>
      <c r="L3" s="926"/>
      <c r="M3" s="926"/>
      <c r="N3" s="927"/>
      <c r="T3" s="435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</row>
    <row r="4" spans="1:41" s="7" customFormat="1" x14ac:dyDescent="0.25">
      <c r="A4" s="430"/>
      <c r="B4" s="430"/>
      <c r="C4" s="899"/>
      <c r="D4" s="928" t="s">
        <v>161</v>
      </c>
      <c r="E4" s="929"/>
      <c r="F4" s="929"/>
      <c r="G4" s="929"/>
      <c r="H4" s="930" t="s">
        <v>262</v>
      </c>
      <c r="I4" s="932" t="s">
        <v>140</v>
      </c>
      <c r="J4" s="933"/>
      <c r="K4" s="928" t="s">
        <v>141</v>
      </c>
      <c r="L4" s="934"/>
      <c r="M4" s="928" t="s">
        <v>142</v>
      </c>
      <c r="N4" s="934"/>
      <c r="O4" s="435"/>
      <c r="T4" s="435"/>
      <c r="AD4" s="749"/>
      <c r="AE4" s="749"/>
      <c r="AF4" s="749"/>
      <c r="AG4" s="749"/>
      <c r="AH4" s="749"/>
      <c r="AI4" s="749"/>
      <c r="AJ4" s="749"/>
      <c r="AK4" s="749"/>
      <c r="AL4" s="749"/>
      <c r="AM4" s="749"/>
      <c r="AN4" s="749"/>
      <c r="AO4" s="749"/>
    </row>
    <row r="5" spans="1:41" s="460" customFormat="1" ht="45.75" thickBot="1" x14ac:dyDescent="0.3">
      <c r="A5" s="935" t="s">
        <v>74</v>
      </c>
      <c r="B5" s="936"/>
      <c r="C5" s="900" t="s">
        <v>75</v>
      </c>
      <c r="D5" s="477" t="s">
        <v>135</v>
      </c>
      <c r="E5" s="478" t="s">
        <v>136</v>
      </c>
      <c r="F5" s="478" t="s">
        <v>137</v>
      </c>
      <c r="G5" s="489" t="s">
        <v>138</v>
      </c>
      <c r="H5" s="931"/>
      <c r="I5" s="492" t="s">
        <v>139</v>
      </c>
      <c r="J5" s="479" t="s">
        <v>263</v>
      </c>
      <c r="K5" s="496" t="s">
        <v>139</v>
      </c>
      <c r="L5" s="892" t="s">
        <v>263</v>
      </c>
      <c r="M5" s="502" t="s">
        <v>139</v>
      </c>
      <c r="N5" s="480" t="s">
        <v>263</v>
      </c>
      <c r="Y5" s="7"/>
      <c r="Z5" s="7"/>
      <c r="AA5" s="7"/>
      <c r="AB5" s="7"/>
      <c r="AC5" s="7"/>
      <c r="AD5" s="945"/>
      <c r="AE5" s="945"/>
      <c r="AF5" s="945"/>
      <c r="AG5" s="945"/>
      <c r="AH5" s="945"/>
      <c r="AI5" s="945"/>
      <c r="AJ5" s="945"/>
      <c r="AK5" s="945"/>
      <c r="AL5" s="945"/>
      <c r="AM5" s="945"/>
      <c r="AN5" s="945"/>
      <c r="AO5" s="945"/>
    </row>
    <row r="6" spans="1:41" s="7" customFormat="1" ht="15.75" thickBot="1" x14ac:dyDescent="0.3">
      <c r="A6" s="937" t="s">
        <v>197</v>
      </c>
      <c r="B6" s="938"/>
      <c r="C6" s="901">
        <f>'YUVENTUS UN GANG'!B10</f>
        <v>163.73000000000002</v>
      </c>
      <c r="D6" s="483">
        <f>'YUVENTUS UN GANG'!D10</f>
        <v>146.76000000000002</v>
      </c>
      <c r="E6" s="484">
        <f>'YUVENTUS UN GANG'!E10</f>
        <v>63.45</v>
      </c>
      <c r="F6" s="484">
        <f>'YUVENTUS UN GANG'!F10</f>
        <v>2.61</v>
      </c>
      <c r="G6" s="485">
        <f>SUM(D6:F6)</f>
        <v>212.82000000000005</v>
      </c>
      <c r="H6" s="486">
        <f>'YUVENTUS UN GANG'!C10</f>
        <v>190.06</v>
      </c>
      <c r="I6" s="493">
        <f>G6/C6</f>
        <v>1.2998228791302757</v>
      </c>
      <c r="J6" s="487">
        <f>H6/C6</f>
        <v>1.1608135344774932</v>
      </c>
      <c r="K6" s="497">
        <f>SUM(K7:K9)</f>
        <v>212.82000000000002</v>
      </c>
      <c r="L6" s="487">
        <f>SUM(L7:L9)</f>
        <v>190.06</v>
      </c>
      <c r="M6" s="503">
        <f>K6/C6</f>
        <v>1.2998228791302755</v>
      </c>
      <c r="N6" s="487">
        <f>SUM(N7:N9)/C6</f>
        <v>1.1608135344774932</v>
      </c>
      <c r="O6" s="460"/>
      <c r="AD6" s="814"/>
      <c r="AE6" s="814"/>
      <c r="AF6" s="814"/>
      <c r="AG6" s="814"/>
      <c r="AH6" s="814"/>
      <c r="AI6" s="814"/>
      <c r="AJ6" s="814"/>
      <c r="AK6" s="814"/>
      <c r="AL6" s="814"/>
      <c r="AM6" s="814"/>
      <c r="AN6" s="814"/>
      <c r="AO6" s="814"/>
    </row>
    <row r="7" spans="1:41" hidden="1" outlineLevel="1" x14ac:dyDescent="0.25">
      <c r="A7" s="433"/>
      <c r="B7" s="481">
        <v>1</v>
      </c>
      <c r="C7" s="902">
        <f>VLOOKUP(B7,YUVENTUS,2,FALSE)</f>
        <v>53.09</v>
      </c>
      <c r="D7" s="472">
        <f>VLOOKUP(B7,YUVENTUS,4,FALSE)</f>
        <v>44.13</v>
      </c>
      <c r="E7" s="472">
        <f>VLOOKUP(B7,YUVENTUS,5,FALSE)</f>
        <v>20.149999999999999</v>
      </c>
      <c r="F7" s="472">
        <f>VLOOKUP(B7,YUVENTUS,6,FALSE)</f>
        <v>0</v>
      </c>
      <c r="G7" s="473">
        <f>SUM(D7:F7)</f>
        <v>64.28</v>
      </c>
      <c r="H7" s="472">
        <f>VLOOKUP(B7,YUVENTUS,3,FALSE)</f>
        <v>61.54</v>
      </c>
      <c r="I7" s="494">
        <f>G7/C7</f>
        <v>1.210774157091731</v>
      </c>
      <c r="J7" s="473">
        <f>H7/C7</f>
        <v>1.1591636843096627</v>
      </c>
      <c r="K7" s="498">
        <f>VLOOKUP(B7,year2022to23,374,FALSE)</f>
        <v>64.28</v>
      </c>
      <c r="L7" s="473">
        <f>VLOOKUP(B7,YUVENTUS,3,FALSE)</f>
        <v>61.54</v>
      </c>
      <c r="M7" s="500">
        <f>K7/C7</f>
        <v>1.210774157091731</v>
      </c>
      <c r="N7" s="473">
        <f>VLOOKUP(B7,budget2026,7,FALSE)</f>
        <v>61.54</v>
      </c>
      <c r="O7" s="460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</row>
    <row r="8" spans="1:41" hidden="1" outlineLevel="1" x14ac:dyDescent="0.25">
      <c r="A8" s="433"/>
      <c r="B8" s="73">
        <v>3</v>
      </c>
      <c r="C8" s="903">
        <f>VLOOKUP(B8,YUVENTUS,2,FALSE)</f>
        <v>69.040000000000006</v>
      </c>
      <c r="D8" s="471">
        <f>VLOOKUP(B8,YUVENTUS,4,FALSE)</f>
        <v>60.980000000000004</v>
      </c>
      <c r="E8" s="471">
        <f>VLOOKUP(B8,YUVENTUS,5,FALSE)</f>
        <v>25.28</v>
      </c>
      <c r="F8" s="471">
        <f>VLOOKUP(B8,YUVENTUS,6,FALSE)</f>
        <v>0</v>
      </c>
      <c r="G8" s="66">
        <f>SUM(D8:F8)</f>
        <v>86.26</v>
      </c>
      <c r="H8" s="471">
        <f>VLOOKUP(B8,YUVENTUS,3,FALSE)</f>
        <v>78.72</v>
      </c>
      <c r="I8" s="495">
        <f>G8/C8</f>
        <v>1.2494206257242177</v>
      </c>
      <c r="J8" s="66">
        <f>H8/C8</f>
        <v>1.1402085747392814</v>
      </c>
      <c r="K8" s="499">
        <f>VLOOKUP(B8,year2022to23,374,FALSE)</f>
        <v>86.26</v>
      </c>
      <c r="L8" s="473">
        <f>VLOOKUP(B8,YUVENTUS,3,FALSE)</f>
        <v>78.72</v>
      </c>
      <c r="M8" s="501">
        <f>K8/C8</f>
        <v>1.2494206257242177</v>
      </c>
      <c r="N8" s="473">
        <f>VLOOKUP(B8,budget2026,7,FALSE)</f>
        <v>78.72</v>
      </c>
      <c r="O8" s="460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</row>
    <row r="9" spans="1:41" hidden="1" outlineLevel="1" x14ac:dyDescent="0.25">
      <c r="A9" s="433"/>
      <c r="B9" s="73">
        <v>14</v>
      </c>
      <c r="C9" s="903">
        <f>VLOOKUP(B9,YUVENTUS,2,FALSE)</f>
        <v>41.6</v>
      </c>
      <c r="D9" s="471">
        <f>VLOOKUP(B9,YUVENTUS,4,FALSE)</f>
        <v>41.65</v>
      </c>
      <c r="E9" s="471">
        <f>VLOOKUP(B9,YUVENTUS,5,FALSE)</f>
        <v>18.02</v>
      </c>
      <c r="F9" s="471">
        <f>VLOOKUP(B9,YUVENTUS,6,FALSE)</f>
        <v>2.61</v>
      </c>
      <c r="G9" s="66">
        <f>SUM(D9:F9)</f>
        <v>62.28</v>
      </c>
      <c r="H9" s="471">
        <f>VLOOKUP(B9,YUVENTUS,3,FALSE)</f>
        <v>49.8</v>
      </c>
      <c r="I9" s="495">
        <f>G9/C9</f>
        <v>1.4971153846153846</v>
      </c>
      <c r="J9" s="66">
        <f>H9/C9</f>
        <v>1.1971153846153846</v>
      </c>
      <c r="K9" s="499">
        <f>VLOOKUP(B9,year2022to23,374,FALSE)</f>
        <v>62.28</v>
      </c>
      <c r="L9" s="473">
        <f>VLOOKUP(B9,YUVENTUS,3,FALSE)</f>
        <v>49.8</v>
      </c>
      <c r="M9" s="501">
        <f>K9/C9</f>
        <v>1.4971153846153846</v>
      </c>
      <c r="N9" s="473">
        <f>VLOOKUP(B9,budget2026,7,FALSE)</f>
        <v>49.8</v>
      </c>
      <c r="O9" s="460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</row>
    <row r="10" spans="1:41" ht="15.75" hidden="1" outlineLevel="1" thickBot="1" x14ac:dyDescent="0.3">
      <c r="A10" s="433"/>
      <c r="B10" s="504"/>
      <c r="C10" s="904"/>
      <c r="D10" s="505"/>
      <c r="E10" s="505"/>
      <c r="F10" s="505"/>
      <c r="H10" s="505"/>
      <c r="I10" s="506"/>
      <c r="J10" s="506"/>
      <c r="K10" s="8"/>
      <c r="M10" s="8"/>
      <c r="N10" s="8"/>
      <c r="O10" s="460"/>
    </row>
    <row r="11" spans="1:41" s="7" customFormat="1" ht="15.75" collapsed="1" thickBot="1" x14ac:dyDescent="0.3">
      <c r="A11" s="939" t="s">
        <v>64</v>
      </c>
      <c r="B11" s="940"/>
      <c r="C11" s="905">
        <f>'DARSO GANG'!B14</f>
        <v>383.60999999999996</v>
      </c>
      <c r="D11" s="483">
        <f>'DARSO GANG'!D14</f>
        <v>219.51</v>
      </c>
      <c r="E11" s="484">
        <f>'DARSO GANG'!E14</f>
        <v>135.79999999999998</v>
      </c>
      <c r="F11" s="484">
        <f>'DARSO GANG'!F14</f>
        <v>119.07999999999998</v>
      </c>
      <c r="G11" s="485">
        <f>SUM(D11:F11)</f>
        <v>474.38999999999993</v>
      </c>
      <c r="H11" s="486">
        <f>'DARSO GANG'!C14</f>
        <v>466.2</v>
      </c>
      <c r="I11" s="493">
        <f t="shared" ref="I11:I18" si="0">G11/C11</f>
        <v>1.2366465941972316</v>
      </c>
      <c r="J11" s="487">
        <f t="shared" ref="J11:J18" si="1">H11/C11</f>
        <v>1.2152967857980763</v>
      </c>
      <c r="K11" s="497">
        <f>SUM(K12:K18)</f>
        <v>474.39000000000004</v>
      </c>
      <c r="L11" s="487">
        <f>SUM(L12:L18)</f>
        <v>466.2</v>
      </c>
      <c r="M11" s="503">
        <f t="shared" ref="M11:M18" si="2">K11/C11</f>
        <v>1.2366465941972318</v>
      </c>
      <c r="N11" s="487">
        <f>SUM(N12:N18)/C11</f>
        <v>1.2152967857980763</v>
      </c>
      <c r="O11" s="460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</row>
    <row r="12" spans="1:41" hidden="1" outlineLevel="1" x14ac:dyDescent="0.25">
      <c r="A12" s="474"/>
      <c r="B12" s="459">
        <v>15</v>
      </c>
      <c r="C12" s="902">
        <f t="shared" ref="C12:C18" si="3">VLOOKUP(B12,DARSO,2,FALSE)</f>
        <v>49.17</v>
      </c>
      <c r="D12" s="472">
        <f t="shared" ref="D12:D18" si="4">VLOOKUP(B12,DARSO,4,FALSE)</f>
        <v>33.380000000000003</v>
      </c>
      <c r="E12" s="472">
        <f t="shared" ref="E12:E18" si="5">VLOOKUP(B12,DARSO,5,FALSE)</f>
        <v>10.51</v>
      </c>
      <c r="F12" s="472">
        <f t="shared" ref="F12:F18" si="6">VLOOKUP(B12,DARSO,6,FALSE)</f>
        <v>20.07</v>
      </c>
      <c r="G12" s="473">
        <f t="shared" ref="G12:G18" si="7">SUM(D12:F12)</f>
        <v>63.96</v>
      </c>
      <c r="H12" s="472">
        <f t="shared" ref="H12:H18" si="8">VLOOKUP(B12,DARSO,3,FALSE)</f>
        <v>56.339999999999996</v>
      </c>
      <c r="I12" s="494">
        <f t="shared" si="0"/>
        <v>1.3007931665649786</v>
      </c>
      <c r="J12" s="473">
        <f t="shared" si="1"/>
        <v>1.1458206223306893</v>
      </c>
      <c r="K12" s="498">
        <f t="shared" ref="K12:K18" si="9">VLOOKUP(B12,year2022to23,374,FALSE)</f>
        <v>63.96</v>
      </c>
      <c r="L12" s="473">
        <f t="shared" ref="L12:L18" si="10">VLOOKUP(B12,DARSO,3,FALSE)</f>
        <v>56.339999999999996</v>
      </c>
      <c r="M12" s="500">
        <f t="shared" si="2"/>
        <v>1.3007931665649786</v>
      </c>
      <c r="N12" s="473">
        <f t="shared" ref="N12:N18" si="11">VLOOKUP(B12,budget2026,7,FALSE)</f>
        <v>56.339999999999996</v>
      </c>
      <c r="O12" s="460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</row>
    <row r="13" spans="1:41" hidden="1" outlineLevel="1" x14ac:dyDescent="0.25">
      <c r="A13" s="474"/>
      <c r="B13" s="1">
        <v>16</v>
      </c>
      <c r="C13" s="903">
        <f t="shared" si="3"/>
        <v>52.61</v>
      </c>
      <c r="D13" s="471">
        <f t="shared" si="4"/>
        <v>36.950000000000003</v>
      </c>
      <c r="E13" s="471">
        <f t="shared" si="5"/>
        <v>21.07</v>
      </c>
      <c r="F13" s="471">
        <f t="shared" si="6"/>
        <v>22.21</v>
      </c>
      <c r="G13" s="66">
        <f t="shared" si="7"/>
        <v>80.23</v>
      </c>
      <c r="H13" s="471">
        <f t="shared" si="8"/>
        <v>60.48</v>
      </c>
      <c r="I13" s="495">
        <f t="shared" si="0"/>
        <v>1.5249952480517013</v>
      </c>
      <c r="J13" s="66">
        <f t="shared" si="1"/>
        <v>1.149591332446303</v>
      </c>
      <c r="K13" s="499">
        <f t="shared" si="9"/>
        <v>80.23</v>
      </c>
      <c r="L13" s="473">
        <f t="shared" si="10"/>
        <v>60.48</v>
      </c>
      <c r="M13" s="501">
        <f t="shared" si="2"/>
        <v>1.5249952480517013</v>
      </c>
      <c r="N13" s="473">
        <f t="shared" si="11"/>
        <v>60.48</v>
      </c>
      <c r="O13" s="460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</row>
    <row r="14" spans="1:41" hidden="1" outlineLevel="1" x14ac:dyDescent="0.25">
      <c r="A14" s="474"/>
      <c r="B14" s="1">
        <v>17</v>
      </c>
      <c r="C14" s="903">
        <f t="shared" si="3"/>
        <v>45.58</v>
      </c>
      <c r="D14" s="471">
        <f t="shared" si="4"/>
        <v>25.86</v>
      </c>
      <c r="E14" s="471">
        <f t="shared" si="5"/>
        <v>13.43</v>
      </c>
      <c r="F14" s="471">
        <f t="shared" si="6"/>
        <v>18.86</v>
      </c>
      <c r="G14" s="66">
        <f t="shared" si="7"/>
        <v>58.15</v>
      </c>
      <c r="H14" s="471">
        <f t="shared" si="8"/>
        <v>57.419999999999995</v>
      </c>
      <c r="I14" s="495">
        <f t="shared" si="0"/>
        <v>1.2757788503729706</v>
      </c>
      <c r="J14" s="66">
        <f t="shared" si="1"/>
        <v>1.2597630539710398</v>
      </c>
      <c r="K14" s="499">
        <f t="shared" si="9"/>
        <v>58.15</v>
      </c>
      <c r="L14" s="473">
        <f t="shared" si="10"/>
        <v>57.419999999999995</v>
      </c>
      <c r="M14" s="501">
        <f t="shared" si="2"/>
        <v>1.2757788503729706</v>
      </c>
      <c r="N14" s="473">
        <f t="shared" si="11"/>
        <v>57.419999999999995</v>
      </c>
      <c r="O14" s="460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</row>
    <row r="15" spans="1:41" hidden="1" outlineLevel="1" x14ac:dyDescent="0.25">
      <c r="A15" s="474"/>
      <c r="B15" s="1">
        <v>19</v>
      </c>
      <c r="C15" s="903">
        <f t="shared" si="3"/>
        <v>50.6</v>
      </c>
      <c r="D15" s="471">
        <f t="shared" si="4"/>
        <v>19.59</v>
      </c>
      <c r="E15" s="471">
        <f t="shared" si="5"/>
        <v>14.64</v>
      </c>
      <c r="F15" s="471">
        <f t="shared" si="6"/>
        <v>10.050000000000001</v>
      </c>
      <c r="G15" s="66">
        <f t="shared" si="7"/>
        <v>44.28</v>
      </c>
      <c r="H15" s="471">
        <f t="shared" si="8"/>
        <v>60.48</v>
      </c>
      <c r="I15" s="495">
        <f t="shared" si="0"/>
        <v>0.87509881422924896</v>
      </c>
      <c r="J15" s="66">
        <f t="shared" si="1"/>
        <v>1.1952569169960474</v>
      </c>
      <c r="K15" s="499">
        <f t="shared" si="9"/>
        <v>44.28</v>
      </c>
      <c r="L15" s="473">
        <f t="shared" si="10"/>
        <v>60.48</v>
      </c>
      <c r="M15" s="501">
        <f t="shared" si="2"/>
        <v>0.87509881422924896</v>
      </c>
      <c r="N15" s="473">
        <f t="shared" si="11"/>
        <v>60.48</v>
      </c>
      <c r="O15" s="460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</row>
    <row r="16" spans="1:41" hidden="1" outlineLevel="1" x14ac:dyDescent="0.25">
      <c r="A16" s="474"/>
      <c r="B16" s="1">
        <v>20</v>
      </c>
      <c r="C16" s="903">
        <f t="shared" si="3"/>
        <v>61.98</v>
      </c>
      <c r="D16" s="471">
        <f t="shared" si="4"/>
        <v>29.87</v>
      </c>
      <c r="E16" s="471">
        <f t="shared" si="5"/>
        <v>19.36</v>
      </c>
      <c r="F16" s="471">
        <f t="shared" si="6"/>
        <v>0</v>
      </c>
      <c r="G16" s="66">
        <f t="shared" si="7"/>
        <v>49.230000000000004</v>
      </c>
      <c r="H16" s="471">
        <f t="shared" si="8"/>
        <v>74.16</v>
      </c>
      <c r="I16" s="495">
        <f t="shared" si="0"/>
        <v>0.79428848015488873</v>
      </c>
      <c r="J16" s="66">
        <f t="shared" si="1"/>
        <v>1.1965150048402711</v>
      </c>
      <c r="K16" s="499">
        <f t="shared" si="9"/>
        <v>49.230000000000004</v>
      </c>
      <c r="L16" s="473">
        <f t="shared" si="10"/>
        <v>74.16</v>
      </c>
      <c r="M16" s="501">
        <f t="shared" si="2"/>
        <v>0.79428848015488873</v>
      </c>
      <c r="N16" s="473">
        <f t="shared" si="11"/>
        <v>74.16</v>
      </c>
      <c r="O16" s="460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</row>
    <row r="17" spans="1:41" hidden="1" outlineLevel="1" x14ac:dyDescent="0.25">
      <c r="A17" s="474"/>
      <c r="B17" s="1">
        <v>21</v>
      </c>
      <c r="C17" s="903">
        <f t="shared" si="3"/>
        <v>71.59</v>
      </c>
      <c r="D17" s="471">
        <f t="shared" si="4"/>
        <v>32.61</v>
      </c>
      <c r="E17" s="471">
        <f t="shared" si="5"/>
        <v>37.53</v>
      </c>
      <c r="F17" s="471">
        <f t="shared" si="6"/>
        <v>23.66</v>
      </c>
      <c r="G17" s="66">
        <f t="shared" si="7"/>
        <v>93.8</v>
      </c>
      <c r="H17" s="471">
        <f t="shared" si="8"/>
        <v>94.56</v>
      </c>
      <c r="I17" s="495">
        <f t="shared" si="0"/>
        <v>1.3102388601760022</v>
      </c>
      <c r="J17" s="66">
        <f t="shared" si="1"/>
        <v>1.3208548679983239</v>
      </c>
      <c r="K17" s="499">
        <f t="shared" si="9"/>
        <v>93.8</v>
      </c>
      <c r="L17" s="473">
        <f t="shared" si="10"/>
        <v>94.56</v>
      </c>
      <c r="M17" s="501">
        <f t="shared" si="2"/>
        <v>1.3102388601760022</v>
      </c>
      <c r="N17" s="473">
        <f t="shared" si="11"/>
        <v>94.56</v>
      </c>
      <c r="O17" s="460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</row>
    <row r="18" spans="1:41" hidden="1" outlineLevel="1" x14ac:dyDescent="0.25">
      <c r="A18" s="474"/>
      <c r="B18" s="1">
        <v>22</v>
      </c>
      <c r="C18" s="903">
        <f t="shared" si="3"/>
        <v>52.08</v>
      </c>
      <c r="D18" s="471">
        <f t="shared" si="4"/>
        <v>41.25</v>
      </c>
      <c r="E18" s="471">
        <f t="shared" si="5"/>
        <v>19.259999999999998</v>
      </c>
      <c r="F18" s="471">
        <f t="shared" si="6"/>
        <v>24.229999999999997</v>
      </c>
      <c r="G18" s="66">
        <f t="shared" si="7"/>
        <v>84.74</v>
      </c>
      <c r="H18" s="471">
        <f t="shared" si="8"/>
        <v>62.76</v>
      </c>
      <c r="I18" s="495">
        <f t="shared" si="0"/>
        <v>1.6271121351766513</v>
      </c>
      <c r="J18" s="66">
        <f t="shared" si="1"/>
        <v>1.2050691244239631</v>
      </c>
      <c r="K18" s="499">
        <f t="shared" si="9"/>
        <v>84.74</v>
      </c>
      <c r="L18" s="473">
        <f t="shared" si="10"/>
        <v>62.76</v>
      </c>
      <c r="M18" s="501">
        <f t="shared" si="2"/>
        <v>1.6271121351766513</v>
      </c>
      <c r="N18" s="473">
        <f t="shared" si="11"/>
        <v>62.76</v>
      </c>
      <c r="O18" s="460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</row>
    <row r="19" spans="1:41" ht="15.75" hidden="1" outlineLevel="1" thickBot="1" x14ac:dyDescent="0.3">
      <c r="A19" s="433"/>
      <c r="B19" s="504"/>
      <c r="C19" s="904"/>
      <c r="D19" s="505"/>
      <c r="E19" s="505"/>
      <c r="F19" s="505"/>
      <c r="H19" s="505"/>
      <c r="I19" s="506"/>
      <c r="J19" s="506"/>
      <c r="K19" s="8"/>
      <c r="M19" s="8"/>
      <c r="N19" s="8"/>
      <c r="O19" s="460"/>
    </row>
    <row r="20" spans="1:41" s="7" customFormat="1" ht="30.75" customHeight="1" collapsed="1" thickBot="1" x14ac:dyDescent="0.3">
      <c r="A20" s="941" t="s">
        <v>219</v>
      </c>
      <c r="B20" s="942"/>
      <c r="C20" s="905">
        <f>'YUDI GANG'!B10</f>
        <v>123.97000000000001</v>
      </c>
      <c r="D20" s="483">
        <f>'YUDI GANG'!D10</f>
        <v>44.260000000000005</v>
      </c>
      <c r="E20" s="484">
        <f>'YUDI GANG'!E10</f>
        <v>106.02999999999999</v>
      </c>
      <c r="F20" s="484">
        <f>'YUDI GANG'!F10</f>
        <v>0</v>
      </c>
      <c r="G20" s="485">
        <f>SUM(D20:F20)</f>
        <v>150.29</v>
      </c>
      <c r="H20" s="486">
        <f>'YUDI GANG'!C10</f>
        <v>119.86</v>
      </c>
      <c r="I20" s="493">
        <f>G20/C20</f>
        <v>1.212309429700734</v>
      </c>
      <c r="J20" s="487">
        <f>H20/C20</f>
        <v>0.96684681777849468</v>
      </c>
      <c r="K20" s="497">
        <f>SUM(K21:K23)</f>
        <v>150.29</v>
      </c>
      <c r="L20" s="487">
        <f>SUM(L21:L23)</f>
        <v>119.86</v>
      </c>
      <c r="M20" s="503">
        <f>K20/C20</f>
        <v>1.212309429700734</v>
      </c>
      <c r="N20" s="487">
        <f>SUM(N21:N23)/C20</f>
        <v>0.96684681777849468</v>
      </c>
      <c r="O20" s="460"/>
      <c r="AD20" s="749"/>
      <c r="AE20" s="749"/>
      <c r="AF20" s="749"/>
      <c r="AG20" s="749"/>
      <c r="AH20" s="749"/>
      <c r="AI20" s="749"/>
      <c r="AJ20" s="749"/>
      <c r="AK20" s="749"/>
      <c r="AL20" s="749"/>
      <c r="AM20" s="749"/>
      <c r="AN20" s="749"/>
      <c r="AO20" s="749"/>
    </row>
    <row r="21" spans="1:41" hidden="1" outlineLevel="1" x14ac:dyDescent="0.25">
      <c r="A21" s="433"/>
      <c r="B21" s="481">
        <v>2</v>
      </c>
      <c r="C21" s="902">
        <f>VLOOKUP(B21,ERDI,2,FALSE)</f>
        <v>60.27</v>
      </c>
      <c r="D21" s="472">
        <f>VLOOKUP(B21,ERDI,4,FALSE)</f>
        <v>3.25</v>
      </c>
      <c r="E21" s="472">
        <f>VLOOKUP(B21,ERDI,5,FALSE)</f>
        <v>86.719999999999985</v>
      </c>
      <c r="F21" s="472">
        <f>VLOOKUP(B21,ERDI,6,FALSE)</f>
        <v>0</v>
      </c>
      <c r="G21" s="473">
        <f>SUM(D21:F21)</f>
        <v>89.969999999999985</v>
      </c>
      <c r="H21" s="472">
        <f>VLOOKUP(B21,ERDI,3,FALSE)</f>
        <v>68.06</v>
      </c>
      <c r="I21" s="494">
        <f>G21/C21</f>
        <v>1.4927824788451962</v>
      </c>
      <c r="J21" s="473">
        <f>H21/C21</f>
        <v>1.129251700680272</v>
      </c>
      <c r="K21" s="498">
        <f>VLOOKUP(B21,year2022to23,374,FALSE)</f>
        <v>89.969999999999985</v>
      </c>
      <c r="L21" s="473">
        <f>VLOOKUP(B21,ERDI,3,FALSE)</f>
        <v>68.06</v>
      </c>
      <c r="M21" s="500">
        <f>K21/C21</f>
        <v>1.4927824788451962</v>
      </c>
      <c r="N21" s="473">
        <f>VLOOKUP(B21,budget2026,7,FALSE)</f>
        <v>68.06</v>
      </c>
      <c r="O21" s="460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</row>
    <row r="22" spans="1:41" hidden="1" outlineLevel="1" x14ac:dyDescent="0.25">
      <c r="A22" s="433"/>
      <c r="B22" s="73">
        <v>11</v>
      </c>
      <c r="C22" s="903">
        <f>VLOOKUP(B22,ERDI,2,FALSE)</f>
        <v>44.5</v>
      </c>
      <c r="D22" s="471">
        <f>VLOOKUP(B22,ERDI,4,FALSE)</f>
        <v>34.840000000000003</v>
      </c>
      <c r="E22" s="471">
        <f>VLOOKUP(B22,ERDI,5,FALSE)</f>
        <v>15.729999999999999</v>
      </c>
      <c r="F22" s="471">
        <f>VLOOKUP(B22,ERDI,6,FALSE)</f>
        <v>0</v>
      </c>
      <c r="G22" s="66">
        <f>SUM(D22:F22)</f>
        <v>50.57</v>
      </c>
      <c r="H22" s="471">
        <f>VLOOKUP(B22,ERDI,3,FALSE)</f>
        <v>48.239999999999995</v>
      </c>
      <c r="I22" s="495">
        <f>G22/C22</f>
        <v>1.1364044943820224</v>
      </c>
      <c r="J22" s="66">
        <f>H22/C22</f>
        <v>1.0840449438202246</v>
      </c>
      <c r="K22" s="499">
        <f>VLOOKUP(B22,year2022to23,374,FALSE)</f>
        <v>50.57</v>
      </c>
      <c r="L22" s="473">
        <f>VLOOKUP(B22,ERDI,3,FALSE)</f>
        <v>48.239999999999995</v>
      </c>
      <c r="M22" s="501">
        <f>K22/C22</f>
        <v>1.1364044943820224</v>
      </c>
      <c r="N22" s="473">
        <f>VLOOKUP(B22,budget2026,7,FALSE)</f>
        <v>48.239999999999995</v>
      </c>
      <c r="O22" s="460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</row>
    <row r="23" spans="1:41" hidden="1" outlineLevel="1" x14ac:dyDescent="0.25">
      <c r="A23" s="433"/>
      <c r="B23" s="73">
        <v>29</v>
      </c>
      <c r="C23" s="903">
        <f>VLOOKUP(B23,ERDI,2,FALSE)</f>
        <v>19.2</v>
      </c>
      <c r="D23" s="471">
        <f>VLOOKUP(B23,ERDI,4,FALSE)</f>
        <v>6.17</v>
      </c>
      <c r="E23" s="471">
        <f>VLOOKUP(B23,ERDI,5,FALSE)</f>
        <v>3.58</v>
      </c>
      <c r="F23" s="471">
        <f>VLOOKUP(B23,ERDI,6,FALSE)</f>
        <v>0</v>
      </c>
      <c r="G23" s="66">
        <f>SUM(D23:F23)</f>
        <v>9.75</v>
      </c>
      <c r="H23" s="471">
        <f>VLOOKUP(B23,ERDI,3,FALSE)</f>
        <v>3.5599999999999996</v>
      </c>
      <c r="I23" s="495">
        <f>G23/C23</f>
        <v>0.5078125</v>
      </c>
      <c r="J23" s="66">
        <f>H23/C23</f>
        <v>0.18541666666666665</v>
      </c>
      <c r="K23" s="499">
        <f>VLOOKUP(B23,year2022to23,374,FALSE)</f>
        <v>9.75</v>
      </c>
      <c r="L23" s="473">
        <f>VLOOKUP(B23,ERDI,3,FALSE)</f>
        <v>3.5599999999999996</v>
      </c>
      <c r="M23" s="501">
        <f>K23/C23</f>
        <v>0.5078125</v>
      </c>
      <c r="N23" s="473">
        <f>VLOOKUP(B23,budget2026,7,FALSE)</f>
        <v>3.5599999999999996</v>
      </c>
      <c r="O23" s="460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</row>
    <row r="24" spans="1:41" ht="15.75" hidden="1" outlineLevel="1" thickBot="1" x14ac:dyDescent="0.3">
      <c r="A24" s="433"/>
      <c r="B24" s="504"/>
      <c r="C24" s="904"/>
      <c r="D24" s="505"/>
      <c r="E24" s="505"/>
      <c r="F24" s="505"/>
      <c r="H24" s="505"/>
      <c r="I24" s="506"/>
      <c r="J24" s="506"/>
      <c r="K24" s="8"/>
      <c r="M24" s="8"/>
      <c r="N24" s="8"/>
      <c r="O24" s="460"/>
    </row>
    <row r="25" spans="1:41" s="7" customFormat="1" ht="30.75" customHeight="1" collapsed="1" thickBot="1" x14ac:dyDescent="0.3">
      <c r="A25" s="943" t="s">
        <v>198</v>
      </c>
      <c r="B25" s="944"/>
      <c r="C25" s="905">
        <f>'SOFIO GANG'!B13</f>
        <v>262.38</v>
      </c>
      <c r="D25" s="483">
        <f>'SOFIO GANG'!D13</f>
        <v>197.07999999999998</v>
      </c>
      <c r="E25" s="484">
        <f>'SOFIO GANG'!E13</f>
        <v>68.679999999999993</v>
      </c>
      <c r="F25" s="484">
        <f>'SOFIO GANG'!F13</f>
        <v>2.5099999999999998</v>
      </c>
      <c r="G25" s="485">
        <f>SUM(D25:F25)</f>
        <v>268.27</v>
      </c>
      <c r="H25" s="486">
        <f>'SOFIO GANG'!C13</f>
        <v>291.64</v>
      </c>
      <c r="I25" s="493">
        <f t="shared" ref="I25:I31" si="12">G25/C25</f>
        <v>1.0224483573443097</v>
      </c>
      <c r="J25" s="487">
        <f t="shared" ref="J25:J31" si="13">H25/C25</f>
        <v>1.1115176461620551</v>
      </c>
      <c r="K25" s="497">
        <f>SUM(K26:K31)</f>
        <v>268.27</v>
      </c>
      <c r="L25" s="487">
        <f>SUM(L26:L31)</f>
        <v>291.64</v>
      </c>
      <c r="M25" s="503">
        <f t="shared" ref="M25:M31" si="14">K25/C25</f>
        <v>1.0224483573443097</v>
      </c>
      <c r="N25" s="487">
        <f>SUM(N26:N31)/C25</f>
        <v>1.1115176461620551</v>
      </c>
      <c r="O25" s="460"/>
      <c r="AD25" s="749"/>
      <c r="AE25" s="749"/>
      <c r="AF25" s="749"/>
      <c r="AG25" s="749"/>
      <c r="AH25" s="749"/>
      <c r="AI25" s="749"/>
      <c r="AJ25" s="749"/>
      <c r="AK25" s="749"/>
      <c r="AL25" s="749"/>
      <c r="AM25" s="749"/>
      <c r="AN25" s="749"/>
      <c r="AO25" s="749"/>
    </row>
    <row r="26" spans="1:41" hidden="1" outlineLevel="1" x14ac:dyDescent="0.25">
      <c r="A26" s="474"/>
      <c r="B26" s="459">
        <v>4</v>
      </c>
      <c r="C26" s="902">
        <f t="shared" ref="C26:C31" si="15">VLOOKUP(B26,SERAN,2,FALSE)</f>
        <v>70.510000000000005</v>
      </c>
      <c r="D26" s="472">
        <f t="shared" ref="D26:D31" si="16">VLOOKUP(B26,SERAN,4,FALSE)</f>
        <v>56.01</v>
      </c>
      <c r="E26" s="472">
        <f t="shared" ref="E26:E31" si="17">VLOOKUP(B26,SERAN,5,FALSE)</f>
        <v>14.9</v>
      </c>
      <c r="F26" s="472">
        <f t="shared" ref="F26:F31" si="18">VLOOKUP(B26,SERAN,6,FALSE)</f>
        <v>0</v>
      </c>
      <c r="G26" s="473">
        <f t="shared" ref="G26:G31" si="19">SUM(D26:F26)</f>
        <v>70.91</v>
      </c>
      <c r="H26" s="472">
        <f t="shared" ref="H26:H31" si="20">VLOOKUP(B26,SERAN,3,FALSE)</f>
        <v>81.459999999999994</v>
      </c>
      <c r="I26" s="494">
        <f t="shared" si="12"/>
        <v>1.0056729541908949</v>
      </c>
      <c r="J26" s="473">
        <f t="shared" si="13"/>
        <v>1.1552971209757479</v>
      </c>
      <c r="K26" s="498">
        <f t="shared" ref="K26:K31" si="21">VLOOKUP(B26,year2022to23,374,FALSE)</f>
        <v>70.91</v>
      </c>
      <c r="L26" s="473">
        <f t="shared" ref="L26:L31" si="22">VLOOKUP(B26,SERAN,3,FALSE)</f>
        <v>81.459999999999994</v>
      </c>
      <c r="M26" s="500">
        <f t="shared" si="14"/>
        <v>1.0056729541908949</v>
      </c>
      <c r="N26" s="473">
        <f t="shared" ref="N26:N31" si="23">VLOOKUP(B26,budget2026,7,FALSE)</f>
        <v>81.459999999999994</v>
      </c>
      <c r="O26" s="460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</row>
    <row r="27" spans="1:41" hidden="1" outlineLevel="1" x14ac:dyDescent="0.25">
      <c r="A27" s="474"/>
      <c r="B27" s="1">
        <v>5</v>
      </c>
      <c r="C27" s="903">
        <f t="shared" si="15"/>
        <v>50.4</v>
      </c>
      <c r="D27" s="471">
        <f t="shared" si="16"/>
        <v>15.7</v>
      </c>
      <c r="E27" s="471">
        <f t="shared" si="17"/>
        <v>20.68</v>
      </c>
      <c r="F27" s="471">
        <f t="shared" si="18"/>
        <v>2.5099999999999998</v>
      </c>
      <c r="G27" s="66">
        <f t="shared" si="19"/>
        <v>38.889999999999993</v>
      </c>
      <c r="H27" s="471">
        <f t="shared" si="20"/>
        <v>57.48</v>
      </c>
      <c r="I27" s="495">
        <f t="shared" si="12"/>
        <v>0.77162698412698405</v>
      </c>
      <c r="J27" s="66">
        <f t="shared" si="13"/>
        <v>1.1404761904761904</v>
      </c>
      <c r="K27" s="499">
        <f t="shared" si="21"/>
        <v>38.889999999999993</v>
      </c>
      <c r="L27" s="473">
        <f t="shared" si="22"/>
        <v>57.48</v>
      </c>
      <c r="M27" s="501">
        <f t="shared" si="14"/>
        <v>0.77162698412698405</v>
      </c>
      <c r="N27" s="473">
        <f t="shared" si="23"/>
        <v>57.48</v>
      </c>
      <c r="O27" s="460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</row>
    <row r="28" spans="1:41" hidden="1" outlineLevel="1" x14ac:dyDescent="0.25">
      <c r="A28" s="474"/>
      <c r="B28" s="1">
        <v>6</v>
      </c>
      <c r="C28" s="903">
        <f t="shared" si="15"/>
        <v>58.6</v>
      </c>
      <c r="D28" s="471">
        <f t="shared" si="16"/>
        <v>40.300000000000004</v>
      </c>
      <c r="E28" s="471">
        <f t="shared" si="17"/>
        <v>15.989999999999998</v>
      </c>
      <c r="F28" s="471">
        <f t="shared" si="18"/>
        <v>0</v>
      </c>
      <c r="G28" s="66">
        <f t="shared" si="19"/>
        <v>56.290000000000006</v>
      </c>
      <c r="H28" s="471">
        <f t="shared" si="20"/>
        <v>66.84</v>
      </c>
      <c r="I28" s="495">
        <f t="shared" si="12"/>
        <v>0.96058020477815709</v>
      </c>
      <c r="J28" s="66">
        <f t="shared" si="13"/>
        <v>1.1406143344709898</v>
      </c>
      <c r="K28" s="499">
        <f t="shared" si="21"/>
        <v>56.290000000000006</v>
      </c>
      <c r="L28" s="473">
        <f t="shared" si="22"/>
        <v>66.84</v>
      </c>
      <c r="M28" s="501">
        <f t="shared" si="14"/>
        <v>0.96058020477815709</v>
      </c>
      <c r="N28" s="473">
        <f t="shared" si="23"/>
        <v>66.84</v>
      </c>
      <c r="O28" s="460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</row>
    <row r="29" spans="1:41" hidden="1" outlineLevel="1" x14ac:dyDescent="0.25">
      <c r="A29" s="474"/>
      <c r="B29" s="1">
        <v>7</v>
      </c>
      <c r="C29" s="903">
        <f t="shared" si="15"/>
        <v>23.6</v>
      </c>
      <c r="D29" s="471">
        <f t="shared" si="16"/>
        <v>24.72</v>
      </c>
      <c r="E29" s="471">
        <f t="shared" si="17"/>
        <v>0</v>
      </c>
      <c r="F29" s="471">
        <f t="shared" si="18"/>
        <v>0</v>
      </c>
      <c r="G29" s="66">
        <f t="shared" si="19"/>
        <v>24.72</v>
      </c>
      <c r="H29" s="471">
        <f t="shared" si="20"/>
        <v>22.86</v>
      </c>
      <c r="I29" s="495">
        <f t="shared" si="12"/>
        <v>1.047457627118644</v>
      </c>
      <c r="J29" s="66">
        <f t="shared" si="13"/>
        <v>0.96864406779661005</v>
      </c>
      <c r="K29" s="499">
        <f t="shared" si="21"/>
        <v>24.72</v>
      </c>
      <c r="L29" s="473">
        <f t="shared" si="22"/>
        <v>22.86</v>
      </c>
      <c r="M29" s="501">
        <f t="shared" si="14"/>
        <v>1.047457627118644</v>
      </c>
      <c r="N29" s="473">
        <f t="shared" si="23"/>
        <v>22.86</v>
      </c>
      <c r="O29" s="460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</row>
    <row r="30" spans="1:41" hidden="1" outlineLevel="1" x14ac:dyDescent="0.25">
      <c r="A30" s="474"/>
      <c r="B30" s="1">
        <v>23</v>
      </c>
      <c r="C30" s="903">
        <f t="shared" si="15"/>
        <v>14.6</v>
      </c>
      <c r="D30" s="471">
        <f t="shared" si="16"/>
        <v>17.37</v>
      </c>
      <c r="E30" s="471">
        <f t="shared" si="17"/>
        <v>3.79</v>
      </c>
      <c r="F30" s="471">
        <f t="shared" si="18"/>
        <v>0</v>
      </c>
      <c r="G30" s="66">
        <f t="shared" si="19"/>
        <v>21.16</v>
      </c>
      <c r="H30" s="471">
        <f t="shared" si="20"/>
        <v>17.34</v>
      </c>
      <c r="I30" s="495">
        <f t="shared" si="12"/>
        <v>1.4493150684931508</v>
      </c>
      <c r="J30" s="66">
        <f t="shared" si="13"/>
        <v>1.1876712328767123</v>
      </c>
      <c r="K30" s="499">
        <f t="shared" si="21"/>
        <v>21.16</v>
      </c>
      <c r="L30" s="473">
        <f t="shared" si="22"/>
        <v>17.34</v>
      </c>
      <c r="M30" s="501">
        <f t="shared" si="14"/>
        <v>1.4493150684931508</v>
      </c>
      <c r="N30" s="473">
        <f t="shared" si="23"/>
        <v>17.34</v>
      </c>
      <c r="O30" s="460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</row>
    <row r="31" spans="1:41" hidden="1" outlineLevel="1" x14ac:dyDescent="0.25">
      <c r="A31" s="474"/>
      <c r="B31" s="1">
        <v>24</v>
      </c>
      <c r="C31" s="903">
        <f t="shared" si="15"/>
        <v>44.67</v>
      </c>
      <c r="D31" s="471">
        <f t="shared" si="16"/>
        <v>42.98</v>
      </c>
      <c r="E31" s="471">
        <f t="shared" si="17"/>
        <v>13.32</v>
      </c>
      <c r="F31" s="471">
        <f t="shared" si="18"/>
        <v>0</v>
      </c>
      <c r="G31" s="66">
        <f t="shared" si="19"/>
        <v>56.3</v>
      </c>
      <c r="H31" s="471">
        <f t="shared" si="20"/>
        <v>45.66</v>
      </c>
      <c r="I31" s="495">
        <f t="shared" si="12"/>
        <v>1.2603537049473919</v>
      </c>
      <c r="J31" s="66">
        <f t="shared" si="13"/>
        <v>1.0221625251846875</v>
      </c>
      <c r="K31" s="499">
        <f t="shared" si="21"/>
        <v>56.3</v>
      </c>
      <c r="L31" s="473">
        <f t="shared" si="22"/>
        <v>45.66</v>
      </c>
      <c r="M31" s="501">
        <f t="shared" si="14"/>
        <v>1.2603537049473919</v>
      </c>
      <c r="N31" s="473">
        <f t="shared" si="23"/>
        <v>45.66</v>
      </c>
      <c r="O31" s="460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</row>
    <row r="32" spans="1:41" ht="15.75" hidden="1" outlineLevel="1" thickBot="1" x14ac:dyDescent="0.3">
      <c r="A32" s="433"/>
      <c r="B32" s="504"/>
      <c r="C32" s="904"/>
      <c r="D32" s="505"/>
      <c r="E32" s="505"/>
      <c r="F32" s="505"/>
      <c r="H32" s="505"/>
      <c r="I32" s="506"/>
      <c r="J32" s="506"/>
      <c r="K32" s="8"/>
      <c r="M32" s="8"/>
      <c r="N32" s="8"/>
      <c r="O32" s="460"/>
    </row>
    <row r="33" spans="1:41" s="7" customFormat="1" ht="15.75" collapsed="1" thickBot="1" x14ac:dyDescent="0.3">
      <c r="A33" s="939" t="s">
        <v>67</v>
      </c>
      <c r="B33" s="940"/>
      <c r="C33" s="905">
        <f>'NU AZANI GANG'!B13</f>
        <v>291.60000000000002</v>
      </c>
      <c r="D33" s="483">
        <f>'NU AZANI GANG'!D13</f>
        <v>254.44999999999996</v>
      </c>
      <c r="E33" s="484">
        <f>'NU AZANI GANG'!E13</f>
        <v>134.25</v>
      </c>
      <c r="F33" s="484">
        <f>'NU AZANI GANG'!F13</f>
        <v>9.36</v>
      </c>
      <c r="G33" s="485">
        <f>SUM(D33:F33)</f>
        <v>398.05999999999995</v>
      </c>
      <c r="H33" s="486">
        <f>'NU AZANI GANG'!C13</f>
        <v>339.92</v>
      </c>
      <c r="I33" s="493">
        <f t="shared" ref="I33:I39" si="24">G33/C33</f>
        <v>1.365089163237311</v>
      </c>
      <c r="J33" s="487">
        <f t="shared" ref="J33:J39" si="25">H33/C33</f>
        <v>1.1657064471879286</v>
      </c>
      <c r="K33" s="497">
        <f>SUM(K34:K39)</f>
        <v>398.05999999999995</v>
      </c>
      <c r="L33" s="487">
        <f>SUM(L34:L39)</f>
        <v>339.92</v>
      </c>
      <c r="M33" s="503">
        <f t="shared" ref="M33:M39" si="26">K33/C33</f>
        <v>1.365089163237311</v>
      </c>
      <c r="N33" s="487">
        <f>SUM(N34:N39)/C33</f>
        <v>1.1657064471879286</v>
      </c>
      <c r="O33" s="460"/>
      <c r="AD33" s="749"/>
      <c r="AE33" s="749"/>
      <c r="AF33" s="749"/>
      <c r="AG33" s="749"/>
      <c r="AH33" s="749"/>
      <c r="AI33" s="749"/>
      <c r="AJ33" s="749"/>
      <c r="AK33" s="749"/>
      <c r="AL33" s="749"/>
      <c r="AM33" s="749"/>
      <c r="AN33" s="749"/>
      <c r="AO33" s="749"/>
    </row>
    <row r="34" spans="1:41" hidden="1" outlineLevel="1" x14ac:dyDescent="0.25">
      <c r="A34" s="474"/>
      <c r="B34" s="459">
        <v>8</v>
      </c>
      <c r="C34" s="902">
        <f t="shared" ref="C34:C39" si="27">VLOOKUP(B34,NURAZANI,2,FALSE)</f>
        <v>61.6</v>
      </c>
      <c r="D34" s="472">
        <f t="shared" ref="D34:D39" si="28">VLOOKUP(B34,NURAZANI,4,FALSE)</f>
        <v>43.65</v>
      </c>
      <c r="E34" s="472">
        <f t="shared" ref="E34:E39" si="29">VLOOKUP(B34,NURAZANI,5,FALSE)</f>
        <v>36.49</v>
      </c>
      <c r="F34" s="472">
        <f t="shared" ref="F34:F39" si="30">VLOOKUP(B34,NURAZANI,6,FALSE)</f>
        <v>9.36</v>
      </c>
      <c r="G34" s="473">
        <f t="shared" ref="G34:G39" si="31">SUM(D34:F34)</f>
        <v>89.5</v>
      </c>
      <c r="H34" s="472">
        <f t="shared" ref="H34:H39" si="32">VLOOKUP(B34,NURAZANI,3,FALSE)</f>
        <v>70.3</v>
      </c>
      <c r="I34" s="494">
        <f t="shared" si="24"/>
        <v>1.4529220779220779</v>
      </c>
      <c r="J34" s="473">
        <f t="shared" si="25"/>
        <v>1.1412337662337662</v>
      </c>
      <c r="K34" s="498">
        <f t="shared" ref="K34:K39" si="33">VLOOKUP(B34,year2022to23,374,FALSE)</f>
        <v>89.5</v>
      </c>
      <c r="L34" s="473">
        <f t="shared" ref="L34:L39" si="34">VLOOKUP(B34,NURAZANI,3,FALSE)</f>
        <v>70.3</v>
      </c>
      <c r="M34" s="500">
        <f t="shared" si="26"/>
        <v>1.4529220779220779</v>
      </c>
      <c r="N34" s="473">
        <f t="shared" ref="N34:N39" si="35">VLOOKUP(B34,budget2026,7,FALSE)</f>
        <v>70.3</v>
      </c>
      <c r="O34" s="460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</row>
    <row r="35" spans="1:41" hidden="1" outlineLevel="1" x14ac:dyDescent="0.25">
      <c r="A35" s="474"/>
      <c r="B35" s="1">
        <v>9</v>
      </c>
      <c r="C35" s="903">
        <f t="shared" si="27"/>
        <v>38.299999999999997</v>
      </c>
      <c r="D35" s="471">
        <f t="shared" si="28"/>
        <v>28.68</v>
      </c>
      <c r="E35" s="471">
        <f t="shared" si="29"/>
        <v>17.309999999999999</v>
      </c>
      <c r="F35" s="471">
        <f t="shared" si="30"/>
        <v>0</v>
      </c>
      <c r="G35" s="66">
        <f t="shared" si="31"/>
        <v>45.989999999999995</v>
      </c>
      <c r="H35" s="471">
        <f t="shared" si="32"/>
        <v>39.479999999999997</v>
      </c>
      <c r="I35" s="495">
        <f t="shared" si="24"/>
        <v>1.2007832898172324</v>
      </c>
      <c r="J35" s="66">
        <f t="shared" si="25"/>
        <v>1.0308093994778067</v>
      </c>
      <c r="K35" s="499">
        <f t="shared" si="33"/>
        <v>45.989999999999995</v>
      </c>
      <c r="L35" s="473">
        <f t="shared" si="34"/>
        <v>39.479999999999997</v>
      </c>
      <c r="M35" s="501">
        <f t="shared" si="26"/>
        <v>1.2007832898172324</v>
      </c>
      <c r="N35" s="473">
        <f t="shared" si="35"/>
        <v>39.479999999999997</v>
      </c>
      <c r="O35" s="460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</row>
    <row r="36" spans="1:41" hidden="1" outlineLevel="1" x14ac:dyDescent="0.25">
      <c r="A36" s="474"/>
      <c r="B36" s="1">
        <v>12</v>
      </c>
      <c r="C36" s="903">
        <f t="shared" si="27"/>
        <v>71</v>
      </c>
      <c r="D36" s="471">
        <f t="shared" si="28"/>
        <v>62.379999999999995</v>
      </c>
      <c r="E36" s="471">
        <f t="shared" si="29"/>
        <v>22.2</v>
      </c>
      <c r="F36" s="471">
        <f t="shared" si="30"/>
        <v>0</v>
      </c>
      <c r="G36" s="66">
        <f t="shared" si="31"/>
        <v>84.58</v>
      </c>
      <c r="H36" s="471">
        <f t="shared" si="32"/>
        <v>81.88</v>
      </c>
      <c r="I36" s="495">
        <f t="shared" si="24"/>
        <v>1.1912676056338027</v>
      </c>
      <c r="J36" s="66">
        <f t="shared" si="25"/>
        <v>1.1532394366197183</v>
      </c>
      <c r="K36" s="499">
        <f t="shared" si="33"/>
        <v>84.58</v>
      </c>
      <c r="L36" s="473">
        <f t="shared" si="34"/>
        <v>81.88</v>
      </c>
      <c r="M36" s="501">
        <f t="shared" si="26"/>
        <v>1.1912676056338027</v>
      </c>
      <c r="N36" s="473">
        <f t="shared" si="35"/>
        <v>81.88</v>
      </c>
      <c r="O36" s="460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</row>
    <row r="37" spans="1:41" hidden="1" outlineLevel="1" x14ac:dyDescent="0.25">
      <c r="A37" s="474"/>
      <c r="B37" s="1">
        <v>10</v>
      </c>
      <c r="C37" s="903">
        <f t="shared" si="27"/>
        <v>19.100000000000001</v>
      </c>
      <c r="D37" s="471">
        <f t="shared" si="28"/>
        <v>17.559999999999999</v>
      </c>
      <c r="E37" s="471">
        <f t="shared" si="29"/>
        <v>10.92</v>
      </c>
      <c r="F37" s="471">
        <f t="shared" si="30"/>
        <v>0</v>
      </c>
      <c r="G37" s="66">
        <f t="shared" si="31"/>
        <v>28.479999999999997</v>
      </c>
      <c r="H37" s="471">
        <f t="shared" si="32"/>
        <v>20.58</v>
      </c>
      <c r="I37" s="495">
        <f t="shared" si="24"/>
        <v>1.4910994764397902</v>
      </c>
      <c r="J37" s="66">
        <f t="shared" si="25"/>
        <v>1.0774869109947642</v>
      </c>
      <c r="K37" s="499">
        <f t="shared" si="33"/>
        <v>28.479999999999997</v>
      </c>
      <c r="L37" s="473">
        <f t="shared" si="34"/>
        <v>20.58</v>
      </c>
      <c r="M37" s="501">
        <f t="shared" si="26"/>
        <v>1.4910994764397902</v>
      </c>
      <c r="N37" s="473">
        <f t="shared" si="35"/>
        <v>20.58</v>
      </c>
      <c r="O37" s="460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</row>
    <row r="38" spans="1:41" hidden="1" outlineLevel="1" x14ac:dyDescent="0.25">
      <c r="A38" s="474"/>
      <c r="B38" s="1">
        <v>13</v>
      </c>
      <c r="C38" s="903">
        <f t="shared" si="27"/>
        <v>60.8</v>
      </c>
      <c r="D38" s="471">
        <f t="shared" si="28"/>
        <v>59.519999999999996</v>
      </c>
      <c r="E38" s="471">
        <f t="shared" si="29"/>
        <v>29.65</v>
      </c>
      <c r="F38" s="471">
        <f t="shared" si="30"/>
        <v>0</v>
      </c>
      <c r="G38" s="66">
        <f t="shared" si="31"/>
        <v>89.169999999999987</v>
      </c>
      <c r="H38" s="471">
        <f t="shared" si="32"/>
        <v>76.319999999999993</v>
      </c>
      <c r="I38" s="495">
        <f t="shared" si="24"/>
        <v>1.466611842105263</v>
      </c>
      <c r="J38" s="66">
        <f t="shared" si="25"/>
        <v>1.2552631578947369</v>
      </c>
      <c r="K38" s="499">
        <f t="shared" si="33"/>
        <v>89.169999999999987</v>
      </c>
      <c r="L38" s="473">
        <f t="shared" si="34"/>
        <v>76.319999999999993</v>
      </c>
      <c r="M38" s="501">
        <f t="shared" si="26"/>
        <v>1.466611842105263</v>
      </c>
      <c r="N38" s="473">
        <f t="shared" si="35"/>
        <v>76.319999999999993</v>
      </c>
      <c r="O38" s="460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</row>
    <row r="39" spans="1:41" hidden="1" outlineLevel="1" x14ac:dyDescent="0.25">
      <c r="A39" s="474"/>
      <c r="B39" s="1">
        <v>18</v>
      </c>
      <c r="C39" s="903">
        <f t="shared" si="27"/>
        <v>40.799999999999997</v>
      </c>
      <c r="D39" s="471">
        <f t="shared" si="28"/>
        <v>42.66</v>
      </c>
      <c r="E39" s="471">
        <f t="shared" si="29"/>
        <v>17.68</v>
      </c>
      <c r="F39" s="471">
        <f t="shared" si="30"/>
        <v>0</v>
      </c>
      <c r="G39" s="66">
        <f t="shared" si="31"/>
        <v>60.339999999999996</v>
      </c>
      <c r="H39" s="471">
        <f t="shared" si="32"/>
        <v>51.36</v>
      </c>
      <c r="I39" s="495">
        <f t="shared" si="24"/>
        <v>1.4789215686274511</v>
      </c>
      <c r="J39" s="66">
        <f t="shared" si="25"/>
        <v>1.2588235294117647</v>
      </c>
      <c r="K39" s="499">
        <f t="shared" si="33"/>
        <v>60.339999999999996</v>
      </c>
      <c r="L39" s="473">
        <f t="shared" si="34"/>
        <v>51.36</v>
      </c>
      <c r="M39" s="501">
        <f t="shared" si="26"/>
        <v>1.4789215686274511</v>
      </c>
      <c r="N39" s="473">
        <f t="shared" si="35"/>
        <v>51.36</v>
      </c>
      <c r="O39" s="460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</row>
    <row r="40" spans="1:41" ht="15.75" hidden="1" outlineLevel="1" thickBot="1" x14ac:dyDescent="0.3">
      <c r="A40" s="433"/>
      <c r="B40" s="504"/>
      <c r="C40" s="904"/>
      <c r="D40" s="505"/>
      <c r="E40" s="505"/>
      <c r="F40" s="505"/>
      <c r="H40" s="505"/>
      <c r="I40" s="506"/>
      <c r="J40" s="506"/>
      <c r="K40" s="8"/>
      <c r="M40" s="8"/>
      <c r="N40" s="8"/>
      <c r="O40" s="460"/>
    </row>
    <row r="41" spans="1:41" s="7" customFormat="1" ht="15.75" collapsed="1" thickBot="1" x14ac:dyDescent="0.3">
      <c r="A41" s="939" t="s">
        <v>68</v>
      </c>
      <c r="B41" s="940"/>
      <c r="C41" s="905">
        <f>'WENDERLINUS GANG '!B15</f>
        <v>188.29999999999998</v>
      </c>
      <c r="D41" s="483">
        <f>'WENDERLINUS GANG '!D15</f>
        <v>100.02</v>
      </c>
      <c r="E41" s="484">
        <f>'WENDERLINUS GANG '!E15</f>
        <v>61.360000000000007</v>
      </c>
      <c r="F41" s="484">
        <f>'WENDERLINUS GANG '!F15</f>
        <v>3.15</v>
      </c>
      <c r="G41" s="485">
        <f>SUM(D41:F41)</f>
        <v>164.53</v>
      </c>
      <c r="H41" s="486">
        <f>'WENDERLINUS GANG '!C15</f>
        <v>73.900000000000006</v>
      </c>
      <c r="I41" s="493">
        <f t="shared" ref="I41:I49" si="36">G41/C41</f>
        <v>0.87376526818906008</v>
      </c>
      <c r="J41" s="487">
        <f t="shared" ref="J41:J49" si="37">H41/C41</f>
        <v>0.39245884227296873</v>
      </c>
      <c r="K41" s="497">
        <f>SUM(K42:K49)</f>
        <v>164.53</v>
      </c>
      <c r="L41" s="487">
        <f>SUM(L42:L49)</f>
        <v>73.900000000000006</v>
      </c>
      <c r="M41" s="503">
        <f t="shared" ref="M41:M49" si="38">K41/C41</f>
        <v>0.87376526818906008</v>
      </c>
      <c r="N41" s="487">
        <f>SUM(N42:N49)/C41</f>
        <v>0.39245884227296873</v>
      </c>
      <c r="O41" s="460"/>
      <c r="AD41" s="749"/>
      <c r="AE41" s="749"/>
      <c r="AF41" s="749"/>
      <c r="AG41" s="749"/>
      <c r="AH41" s="749"/>
      <c r="AI41" s="749"/>
      <c r="AJ41" s="749"/>
      <c r="AK41" s="749"/>
      <c r="AL41" s="749"/>
      <c r="AM41" s="749"/>
      <c r="AN41" s="749"/>
      <c r="AO41" s="749"/>
    </row>
    <row r="42" spans="1:41" hidden="1" outlineLevel="1" x14ac:dyDescent="0.25">
      <c r="A42" s="474"/>
      <c r="B42" s="459">
        <v>25</v>
      </c>
      <c r="C42" s="902">
        <f t="shared" ref="C42:C49" si="39">VLOOKUP(B42,WENDERLINUS,2,FALSE)</f>
        <v>38.200000000000003</v>
      </c>
      <c r="D42" s="472">
        <f t="shared" ref="D42:D49" si="40">VLOOKUP(B42,WENDERLINUS,4,FALSE)</f>
        <v>16.68</v>
      </c>
      <c r="E42" s="472">
        <f t="shared" ref="E42:E49" si="41">VLOOKUP(B42,WENDERLINUS,5,FALSE)</f>
        <v>5.99</v>
      </c>
      <c r="F42" s="472">
        <f t="shared" ref="F42:F49" si="42">VLOOKUP(B42,WENDERLINUS,6,FALSE)</f>
        <v>0</v>
      </c>
      <c r="G42" s="473">
        <f t="shared" ref="G42:G49" si="43">SUM(D42:F42)</f>
        <v>22.67</v>
      </c>
      <c r="H42" s="472">
        <f t="shared" ref="H42:H49" si="44">VLOOKUP(B42,WENDERLINUS,3,FALSE)</f>
        <v>8.06</v>
      </c>
      <c r="I42" s="494">
        <f t="shared" si="36"/>
        <v>0.59345549738219894</v>
      </c>
      <c r="J42" s="473">
        <f t="shared" si="37"/>
        <v>0.21099476439790577</v>
      </c>
      <c r="K42" s="498">
        <f t="shared" ref="K42:K49" si="45">VLOOKUP(B42,year2022to23,374,FALSE)</f>
        <v>22.67</v>
      </c>
      <c r="L42" s="473">
        <f t="shared" ref="L42:L49" si="46">VLOOKUP(B42,WENDERLINUS,3,FALSE)</f>
        <v>8.06</v>
      </c>
      <c r="M42" s="500">
        <f t="shared" si="38"/>
        <v>0.59345549738219894</v>
      </c>
      <c r="N42" s="473">
        <f t="shared" ref="N42:N49" si="47">VLOOKUP(B42,budget2026,7,FALSE)</f>
        <v>8.06</v>
      </c>
      <c r="O42" s="460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</row>
    <row r="43" spans="1:41" hidden="1" outlineLevel="1" x14ac:dyDescent="0.25">
      <c r="A43" s="474"/>
      <c r="B43" s="1" t="s">
        <v>7</v>
      </c>
      <c r="C43" s="903">
        <f t="shared" si="39"/>
        <v>22.7</v>
      </c>
      <c r="D43" s="471">
        <f t="shared" si="40"/>
        <v>14.24</v>
      </c>
      <c r="E43" s="471">
        <f t="shared" si="41"/>
        <v>10.84</v>
      </c>
      <c r="F43" s="471">
        <f t="shared" si="42"/>
        <v>0</v>
      </c>
      <c r="G43" s="66">
        <f t="shared" si="43"/>
        <v>25.08</v>
      </c>
      <c r="H43" s="471">
        <f t="shared" si="44"/>
        <v>5.9799999999999995</v>
      </c>
      <c r="I43" s="495">
        <f t="shared" si="36"/>
        <v>1.1048458149779736</v>
      </c>
      <c r="J43" s="66">
        <f t="shared" si="37"/>
        <v>0.26343612334801764</v>
      </c>
      <c r="K43" s="499">
        <f t="shared" si="45"/>
        <v>25.08</v>
      </c>
      <c r="L43" s="473">
        <f t="shared" si="46"/>
        <v>5.9799999999999995</v>
      </c>
      <c r="M43" s="501">
        <f t="shared" si="38"/>
        <v>1.1048458149779736</v>
      </c>
      <c r="N43" s="473">
        <f t="shared" si="47"/>
        <v>5.9799999999999995</v>
      </c>
      <c r="O43" s="460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</row>
    <row r="44" spans="1:41" hidden="1" outlineLevel="1" x14ac:dyDescent="0.25">
      <c r="A44" s="474"/>
      <c r="B44" s="1">
        <v>27</v>
      </c>
      <c r="C44" s="903">
        <f t="shared" si="39"/>
        <v>14.3</v>
      </c>
      <c r="D44" s="471">
        <f t="shared" si="40"/>
        <v>8.31</v>
      </c>
      <c r="E44" s="471">
        <f t="shared" si="41"/>
        <v>8.74</v>
      </c>
      <c r="F44" s="471">
        <f t="shared" si="42"/>
        <v>0</v>
      </c>
      <c r="G44" s="66">
        <f t="shared" si="43"/>
        <v>17.05</v>
      </c>
      <c r="H44" s="471">
        <f t="shared" si="44"/>
        <v>5.0999999999999996</v>
      </c>
      <c r="I44" s="495">
        <f t="shared" si="36"/>
        <v>1.1923076923076923</v>
      </c>
      <c r="J44" s="66">
        <f t="shared" si="37"/>
        <v>0.35664335664335661</v>
      </c>
      <c r="K44" s="499">
        <f t="shared" si="45"/>
        <v>17.05</v>
      </c>
      <c r="L44" s="473">
        <f t="shared" si="46"/>
        <v>5.0999999999999996</v>
      </c>
      <c r="M44" s="501">
        <f t="shared" si="38"/>
        <v>1.1923076923076923</v>
      </c>
      <c r="N44" s="473">
        <f t="shared" si="47"/>
        <v>5.0999999999999996</v>
      </c>
      <c r="O44" s="460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</row>
    <row r="45" spans="1:41" hidden="1" outlineLevel="1" x14ac:dyDescent="0.25">
      <c r="A45" s="474"/>
      <c r="B45" s="1">
        <v>28</v>
      </c>
      <c r="C45" s="903">
        <f t="shared" si="39"/>
        <v>21.9</v>
      </c>
      <c r="D45" s="471">
        <f t="shared" si="40"/>
        <v>16.89</v>
      </c>
      <c r="E45" s="471">
        <f t="shared" si="41"/>
        <v>12.379999999999999</v>
      </c>
      <c r="F45" s="471">
        <f t="shared" si="42"/>
        <v>0</v>
      </c>
      <c r="G45" s="66">
        <f t="shared" si="43"/>
        <v>29.27</v>
      </c>
      <c r="H45" s="471">
        <f t="shared" si="44"/>
        <v>15.719999999999999</v>
      </c>
      <c r="I45" s="495">
        <f t="shared" si="36"/>
        <v>1.3365296803652968</v>
      </c>
      <c r="J45" s="66">
        <f t="shared" si="37"/>
        <v>0.71780821917808224</v>
      </c>
      <c r="K45" s="499">
        <f t="shared" si="45"/>
        <v>29.27</v>
      </c>
      <c r="L45" s="473">
        <f t="shared" si="46"/>
        <v>15.719999999999999</v>
      </c>
      <c r="M45" s="501">
        <f t="shared" si="38"/>
        <v>1.3365296803652968</v>
      </c>
      <c r="N45" s="473">
        <f t="shared" si="47"/>
        <v>15.719999999999999</v>
      </c>
      <c r="O45" s="460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</row>
    <row r="46" spans="1:41" hidden="1" outlineLevel="1" x14ac:dyDescent="0.25">
      <c r="A46" s="474"/>
      <c r="B46" s="1">
        <v>30</v>
      </c>
      <c r="C46" s="903">
        <f t="shared" si="39"/>
        <v>24.3</v>
      </c>
      <c r="D46" s="471">
        <f t="shared" si="40"/>
        <v>11.82</v>
      </c>
      <c r="E46" s="471">
        <f t="shared" si="41"/>
        <v>9.1300000000000008</v>
      </c>
      <c r="F46" s="471">
        <f t="shared" si="42"/>
        <v>0</v>
      </c>
      <c r="G46" s="66">
        <f t="shared" si="43"/>
        <v>20.950000000000003</v>
      </c>
      <c r="H46" s="471">
        <f t="shared" si="44"/>
        <v>4.7</v>
      </c>
      <c r="I46" s="495">
        <f t="shared" si="36"/>
        <v>0.86213991769547338</v>
      </c>
      <c r="J46" s="66">
        <f t="shared" si="37"/>
        <v>0.19341563786008231</v>
      </c>
      <c r="K46" s="499">
        <f t="shared" si="45"/>
        <v>20.950000000000003</v>
      </c>
      <c r="L46" s="473">
        <f t="shared" si="46"/>
        <v>4.7</v>
      </c>
      <c r="M46" s="501">
        <f t="shared" si="38"/>
        <v>0.86213991769547338</v>
      </c>
      <c r="N46" s="473">
        <f t="shared" si="47"/>
        <v>4.7</v>
      </c>
      <c r="O46" s="460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</row>
    <row r="47" spans="1:41" hidden="1" outlineLevel="1" x14ac:dyDescent="0.25">
      <c r="A47" s="474"/>
      <c r="B47" s="1">
        <v>31</v>
      </c>
      <c r="C47" s="903">
        <f t="shared" si="39"/>
        <v>34</v>
      </c>
      <c r="D47" s="471">
        <f t="shared" si="40"/>
        <v>10.940000000000001</v>
      </c>
      <c r="E47" s="471">
        <f t="shared" si="41"/>
        <v>6.92</v>
      </c>
      <c r="F47" s="471">
        <f t="shared" si="42"/>
        <v>3.15</v>
      </c>
      <c r="G47" s="66">
        <f t="shared" si="43"/>
        <v>21.009999999999998</v>
      </c>
      <c r="H47" s="471">
        <f t="shared" si="44"/>
        <v>7.1</v>
      </c>
      <c r="I47" s="495">
        <f t="shared" si="36"/>
        <v>0.61794117647058822</v>
      </c>
      <c r="J47" s="66">
        <f t="shared" si="37"/>
        <v>0.20882352941176469</v>
      </c>
      <c r="K47" s="499">
        <f t="shared" si="45"/>
        <v>21.009999999999998</v>
      </c>
      <c r="L47" s="473">
        <f t="shared" si="46"/>
        <v>7.1</v>
      </c>
      <c r="M47" s="501">
        <f t="shared" si="38"/>
        <v>0.61794117647058822</v>
      </c>
      <c r="N47" s="473">
        <f t="shared" si="47"/>
        <v>7.1</v>
      </c>
      <c r="O47" s="460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</row>
    <row r="48" spans="1:41" hidden="1" outlineLevel="1" x14ac:dyDescent="0.25">
      <c r="A48" s="474"/>
      <c r="B48" s="1">
        <v>33</v>
      </c>
      <c r="C48" s="903">
        <f t="shared" si="39"/>
        <v>28.4</v>
      </c>
      <c r="D48" s="471">
        <f t="shared" si="40"/>
        <v>19.080000000000002</v>
      </c>
      <c r="E48" s="471">
        <f t="shared" si="41"/>
        <v>6.49</v>
      </c>
      <c r="F48" s="471">
        <f t="shared" si="42"/>
        <v>0</v>
      </c>
      <c r="G48" s="66">
        <f t="shared" si="43"/>
        <v>25.57</v>
      </c>
      <c r="H48" s="471">
        <f t="shared" si="44"/>
        <v>26.619999999999997</v>
      </c>
      <c r="I48" s="495">
        <f t="shared" si="36"/>
        <v>0.90035211267605642</v>
      </c>
      <c r="J48" s="66">
        <f t="shared" si="37"/>
        <v>0.9373239436619718</v>
      </c>
      <c r="K48" s="499">
        <f t="shared" si="45"/>
        <v>25.57</v>
      </c>
      <c r="L48" s="473">
        <f t="shared" si="46"/>
        <v>26.619999999999997</v>
      </c>
      <c r="M48" s="501">
        <f t="shared" si="38"/>
        <v>0.90035211267605642</v>
      </c>
      <c r="N48" s="473">
        <f t="shared" si="47"/>
        <v>26.619999999999997</v>
      </c>
      <c r="O48" s="460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</row>
    <row r="49" spans="1:42" hidden="1" outlineLevel="1" x14ac:dyDescent="0.25">
      <c r="A49" s="474"/>
      <c r="B49" s="1">
        <v>39</v>
      </c>
      <c r="C49" s="903">
        <f t="shared" si="39"/>
        <v>4.5</v>
      </c>
      <c r="D49" s="471">
        <f t="shared" si="40"/>
        <v>2.06</v>
      </c>
      <c r="E49" s="471">
        <f t="shared" si="41"/>
        <v>0.87</v>
      </c>
      <c r="F49" s="471">
        <f t="shared" si="42"/>
        <v>0</v>
      </c>
      <c r="G49" s="66">
        <f t="shared" si="43"/>
        <v>2.93</v>
      </c>
      <c r="H49" s="471">
        <f t="shared" si="44"/>
        <v>0.61999999999999988</v>
      </c>
      <c r="I49" s="495">
        <f t="shared" si="36"/>
        <v>0.6511111111111112</v>
      </c>
      <c r="J49" s="66">
        <f t="shared" si="37"/>
        <v>0.13777777777777775</v>
      </c>
      <c r="K49" s="499">
        <f t="shared" si="45"/>
        <v>2.93</v>
      </c>
      <c r="L49" s="473">
        <f t="shared" si="46"/>
        <v>0.61999999999999988</v>
      </c>
      <c r="M49" s="501">
        <f t="shared" si="38"/>
        <v>0.6511111111111112</v>
      </c>
      <c r="N49" s="473">
        <f t="shared" si="47"/>
        <v>0.61999999999999988</v>
      </c>
      <c r="O49" s="460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</row>
    <row r="50" spans="1:42" ht="15.75" hidden="1" outlineLevel="1" thickBot="1" x14ac:dyDescent="0.3">
      <c r="A50" s="433"/>
      <c r="B50" s="504"/>
      <c r="C50" s="904"/>
      <c r="D50" s="505"/>
      <c r="E50" s="505"/>
      <c r="F50" s="505"/>
      <c r="H50" s="505"/>
      <c r="I50" s="506"/>
      <c r="J50" s="506"/>
      <c r="K50" s="8"/>
      <c r="M50" s="8"/>
      <c r="N50" s="8"/>
      <c r="O50" s="460"/>
    </row>
    <row r="51" spans="1:42" s="7" customFormat="1" ht="15.75" collapsed="1" thickBot="1" x14ac:dyDescent="0.3">
      <c r="A51" s="939" t="s">
        <v>8</v>
      </c>
      <c r="B51" s="940"/>
      <c r="C51" s="905">
        <f t="shared" ref="C51:G51" si="48">C6+C11+C20+C25+C33+C41</f>
        <v>1413.59</v>
      </c>
      <c r="D51" s="483">
        <f t="shared" si="48"/>
        <v>962.07999999999981</v>
      </c>
      <c r="E51" s="484">
        <f t="shared" si="48"/>
        <v>569.56999999999994</v>
      </c>
      <c r="F51" s="484">
        <f t="shared" si="48"/>
        <v>136.71</v>
      </c>
      <c r="G51" s="485">
        <f t="shared" si="48"/>
        <v>1668.36</v>
      </c>
      <c r="H51" s="486">
        <f>H6+H11+H20+H25+H33+H41</f>
        <v>1481.5800000000002</v>
      </c>
      <c r="I51" s="493">
        <f>G51/C51</f>
        <v>1.1802290621750295</v>
      </c>
      <c r="J51" s="487">
        <f>H51/C51</f>
        <v>1.0480973974066032</v>
      </c>
      <c r="K51" s="497">
        <f>K6+K11+K20+K25+K33+K41</f>
        <v>1668.36</v>
      </c>
      <c r="L51" s="487">
        <f>(L6+L11+L20+L25+L33+L41)</f>
        <v>1481.5800000000002</v>
      </c>
      <c r="M51" s="503">
        <f>K51/C51</f>
        <v>1.1802290621750295</v>
      </c>
      <c r="N51" s="487">
        <f>'FFB Budget 2026 - 2 summary'!C55/C51</f>
        <v>1.0488048161065089</v>
      </c>
      <c r="O51" s="460"/>
      <c r="AD51" s="749"/>
      <c r="AE51" s="749"/>
      <c r="AF51" s="749"/>
      <c r="AG51" s="749"/>
      <c r="AH51" s="749"/>
      <c r="AI51" s="749"/>
      <c r="AJ51" s="749"/>
      <c r="AK51" s="749"/>
      <c r="AL51" s="749"/>
      <c r="AM51" s="749"/>
      <c r="AN51" s="749"/>
      <c r="AO51" s="749"/>
    </row>
    <row r="52" spans="1:42" x14ac:dyDescent="0.25">
      <c r="O52" s="460"/>
    </row>
    <row r="53" spans="1:42" x14ac:dyDescent="0.25">
      <c r="O53" s="460"/>
    </row>
    <row r="54" spans="1:42" s="7" customFormat="1" ht="15" customHeight="1" thickBot="1" x14ac:dyDescent="0.3">
      <c r="A54" s="430">
        <v>45992</v>
      </c>
      <c r="B54" s="430"/>
      <c r="C54" s="899"/>
      <c r="H54"/>
      <c r="I54"/>
      <c r="J54"/>
      <c r="K54"/>
      <c r="L54" s="434"/>
      <c r="M54"/>
      <c r="N54"/>
      <c r="U54" s="3"/>
      <c r="AD54" s="749"/>
      <c r="AE54" s="749"/>
      <c r="AF54" s="749"/>
      <c r="AG54" s="749"/>
      <c r="AH54" s="749"/>
      <c r="AI54" s="749"/>
      <c r="AJ54" s="749"/>
      <c r="AK54" s="749"/>
      <c r="AL54" s="749"/>
      <c r="AM54" s="749"/>
      <c r="AN54" s="749"/>
      <c r="AO54" s="749"/>
    </row>
    <row r="55" spans="1:42" ht="75.75" thickBot="1" x14ac:dyDescent="0.3">
      <c r="A55" s="923" t="s">
        <v>74</v>
      </c>
      <c r="B55" s="924"/>
      <c r="C55" s="897" t="s">
        <v>75</v>
      </c>
      <c r="D55" s="510" t="s">
        <v>138</v>
      </c>
      <c r="E55" s="511" t="s">
        <v>164</v>
      </c>
      <c r="F55" s="512" t="s">
        <v>264</v>
      </c>
      <c r="G55" s="513" t="s">
        <v>165</v>
      </c>
      <c r="H55" s="514" t="s">
        <v>166</v>
      </c>
      <c r="I55" s="515" t="s">
        <v>264</v>
      </c>
      <c r="L55"/>
      <c r="M55" s="434"/>
      <c r="P55" s="893"/>
      <c r="Q55" s="818"/>
      <c r="R55" s="818"/>
      <c r="S55" s="818"/>
      <c r="T55" s="818"/>
      <c r="V55" s="3"/>
      <c r="W55" s="818"/>
      <c r="X55" s="894"/>
      <c r="Y55" s="894"/>
      <c r="AD55" s="7"/>
      <c r="AP55" s="506"/>
    </row>
    <row r="56" spans="1:42" ht="15.75" customHeight="1" thickBot="1" x14ac:dyDescent="0.3">
      <c r="A56" s="937" t="s">
        <v>196</v>
      </c>
      <c r="B56" s="938"/>
      <c r="C56" s="907">
        <v>164</v>
      </c>
      <c r="D56" s="485">
        <v>232.5</v>
      </c>
      <c r="E56" s="493">
        <v>1.4176829268292683</v>
      </c>
      <c r="F56" s="508">
        <f>(I6-E56)/E56</f>
        <v>-8.3135689559719519E-2</v>
      </c>
      <c r="G56" s="497">
        <v>2709.5699999999997</v>
      </c>
      <c r="H56" s="503">
        <v>16.521768292682925</v>
      </c>
      <c r="I56" s="509">
        <f>(M6-H56)/H56</f>
        <v>-0.92132664881240744</v>
      </c>
      <c r="L56"/>
      <c r="M56" s="434"/>
      <c r="P56" s="8"/>
      <c r="Q56" s="895"/>
      <c r="R56" s="895"/>
      <c r="S56" s="895"/>
      <c r="T56" s="895"/>
      <c r="V56" s="895"/>
      <c r="W56" s="428"/>
      <c r="X56" s="428"/>
      <c r="Y56" s="428"/>
      <c r="AD56" s="7"/>
      <c r="AE56" s="749"/>
      <c r="AF56" s="749"/>
      <c r="AG56" s="749"/>
      <c r="AH56" s="749"/>
      <c r="AI56" s="749"/>
      <c r="AJ56" s="749"/>
      <c r="AK56" s="749"/>
      <c r="AL56" s="749"/>
      <c r="AM56" s="749"/>
      <c r="AN56" s="749"/>
      <c r="AO56" s="749"/>
      <c r="AP56" s="749"/>
    </row>
    <row r="57" spans="1:42" ht="15.75" hidden="1" customHeight="1" outlineLevel="1" x14ac:dyDescent="0.25">
      <c r="A57" s="433"/>
      <c r="B57" s="481">
        <v>1</v>
      </c>
      <c r="C57" s="908">
        <v>53.2</v>
      </c>
      <c r="D57" s="473">
        <v>106.65</v>
      </c>
      <c r="E57" s="494">
        <v>2.0046992481203008</v>
      </c>
      <c r="F57" s="517">
        <f>(I7-E57)/E57</f>
        <v>-0.3960320191534919</v>
      </c>
      <c r="G57" s="498">
        <v>909.79</v>
      </c>
      <c r="H57" s="500">
        <v>17.101315789473684</v>
      </c>
      <c r="I57" s="517">
        <f>(M7-H57)/H57</f>
        <v>-0.92919994157192309</v>
      </c>
      <c r="L57"/>
      <c r="M57" s="434"/>
      <c r="P57" s="434"/>
      <c r="Q57" s="896"/>
      <c r="R57" s="896"/>
      <c r="S57" s="896"/>
      <c r="T57" s="896"/>
      <c r="V57" s="896"/>
      <c r="W57" s="434"/>
      <c r="X57" s="434"/>
      <c r="Y57" s="434"/>
      <c r="AD57" s="7"/>
      <c r="AP57" s="506"/>
    </row>
    <row r="58" spans="1:42" hidden="1" outlineLevel="1" x14ac:dyDescent="0.25">
      <c r="A58" s="433"/>
      <c r="B58" s="73">
        <v>3</v>
      </c>
      <c r="C58" s="909">
        <v>69.2</v>
      </c>
      <c r="D58" s="66">
        <v>80.009999999999991</v>
      </c>
      <c r="E58" s="495">
        <v>1.1562138728323699</v>
      </c>
      <c r="F58" s="517">
        <f>(I8-E58)/E58</f>
        <v>8.0613764530882065E-2</v>
      </c>
      <c r="G58" s="498">
        <v>1085.75</v>
      </c>
      <c r="H58" s="501">
        <v>15.690028901734104</v>
      </c>
      <c r="I58" s="518">
        <f>(M8-H58)/H58</f>
        <v>-0.92036849431258039</v>
      </c>
      <c r="L58"/>
      <c r="M58" s="434"/>
      <c r="P58" s="434"/>
      <c r="Q58" s="896"/>
      <c r="R58" s="896"/>
      <c r="S58" s="896"/>
      <c r="T58" s="896"/>
      <c r="V58" s="896"/>
      <c r="W58" s="434"/>
      <c r="X58" s="434"/>
      <c r="Y58" s="434"/>
      <c r="AD58" s="7"/>
      <c r="AP58" s="506"/>
    </row>
    <row r="59" spans="1:42" hidden="1" outlineLevel="1" x14ac:dyDescent="0.25">
      <c r="A59" s="433"/>
      <c r="B59" s="73">
        <v>14</v>
      </c>
      <c r="C59" s="909">
        <v>41.6</v>
      </c>
      <c r="D59" s="66">
        <v>45.839999999999996</v>
      </c>
      <c r="E59" s="495">
        <v>1.1019230769230768</v>
      </c>
      <c r="F59" s="517">
        <f>(I9-E59)/E59</f>
        <v>0.35863874345549757</v>
      </c>
      <c r="G59" s="498">
        <v>714.03</v>
      </c>
      <c r="H59" s="501">
        <v>17.164182692307691</v>
      </c>
      <c r="I59" s="518">
        <f>(M9-H59)/H59</f>
        <v>-0.91277677408512248</v>
      </c>
      <c r="L59"/>
      <c r="M59" s="434"/>
      <c r="P59" s="434"/>
      <c r="Q59" s="896"/>
      <c r="R59" s="896"/>
      <c r="S59" s="896"/>
      <c r="T59" s="896"/>
      <c r="V59" s="896"/>
      <c r="W59" s="434"/>
      <c r="X59" s="434"/>
      <c r="Y59" s="434"/>
      <c r="AD59" s="7"/>
      <c r="AP59" s="506"/>
    </row>
    <row r="60" spans="1:42" ht="15.75" hidden="1" outlineLevel="1" thickBot="1" x14ac:dyDescent="0.3">
      <c r="A60" s="433"/>
      <c r="B60" s="504"/>
      <c r="C60" s="910"/>
      <c r="E60" s="506"/>
      <c r="G60" s="8"/>
      <c r="H60" s="8"/>
      <c r="L60"/>
      <c r="M60" s="434"/>
      <c r="P60" s="8"/>
      <c r="Q60" s="505"/>
      <c r="R60" s="505"/>
      <c r="S60" s="505"/>
      <c r="T60" s="505"/>
      <c r="V60" s="505"/>
      <c r="W60" s="506"/>
      <c r="X60" s="8"/>
      <c r="Y60" s="8"/>
      <c r="AD60" s="7"/>
      <c r="AP60" s="506"/>
    </row>
    <row r="61" spans="1:42" ht="15.75" collapsed="1" thickBot="1" x14ac:dyDescent="0.3">
      <c r="A61" s="939" t="s">
        <v>64</v>
      </c>
      <c r="B61" s="940"/>
      <c r="C61" s="911">
        <v>385.4</v>
      </c>
      <c r="D61" s="485">
        <v>692.17000000000007</v>
      </c>
      <c r="E61" s="493">
        <v>1.795978204462896</v>
      </c>
      <c r="F61" s="519">
        <f t="shared" ref="F61:F68" si="49">(I11-E61)/E61</f>
        <v>-0.311435633726378</v>
      </c>
      <c r="G61" s="520">
        <v>6539.67</v>
      </c>
      <c r="H61" s="521">
        <v>16.968526206538662</v>
      </c>
      <c r="I61" s="522">
        <f t="shared" ref="I61:I68" si="50">(M11-H61)/H61</f>
        <v>-0.92712115482836088</v>
      </c>
      <c r="L61"/>
      <c r="M61" s="434"/>
      <c r="P61" s="8"/>
      <c r="Q61" s="893"/>
      <c r="R61" s="895"/>
      <c r="S61" s="895"/>
      <c r="T61" s="895"/>
      <c r="V61" s="895"/>
      <c r="W61" s="428"/>
      <c r="X61" s="428"/>
      <c r="Y61" s="428"/>
      <c r="AD61" s="7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</row>
    <row r="62" spans="1:42" hidden="1" outlineLevel="1" x14ac:dyDescent="0.25">
      <c r="A62" s="474"/>
      <c r="B62" s="459">
        <v>15</v>
      </c>
      <c r="C62" s="747">
        <v>49.3</v>
      </c>
      <c r="D62" s="473">
        <v>124.06</v>
      </c>
      <c r="E62" s="494">
        <v>2.516430020283976</v>
      </c>
      <c r="F62" s="517">
        <f t="shared" si="49"/>
        <v>-0.48307993622720108</v>
      </c>
      <c r="G62" s="498">
        <v>776.8900000000001</v>
      </c>
      <c r="H62" s="500">
        <v>15.758417849898583</v>
      </c>
      <c r="I62" s="517">
        <f t="shared" si="50"/>
        <v>-0.91745407572287785</v>
      </c>
      <c r="L62"/>
      <c r="M62" s="434"/>
      <c r="P62" s="434"/>
      <c r="Q62" s="896"/>
      <c r="R62" s="896"/>
      <c r="S62" s="896"/>
      <c r="T62" s="896"/>
      <c r="V62" s="896"/>
      <c r="W62" s="434"/>
      <c r="X62" s="434"/>
      <c r="Y62" s="434"/>
      <c r="AD62" s="7"/>
      <c r="AP62" s="506"/>
    </row>
    <row r="63" spans="1:42" hidden="1" outlineLevel="1" x14ac:dyDescent="0.25">
      <c r="A63" s="474"/>
      <c r="B63" s="1">
        <v>16</v>
      </c>
      <c r="C63" s="744">
        <v>53.2</v>
      </c>
      <c r="D63" s="66">
        <v>111.66</v>
      </c>
      <c r="E63" s="495">
        <v>2.0988721804511274</v>
      </c>
      <c r="F63" s="518">
        <f t="shared" si="49"/>
        <v>-0.27342157266388573</v>
      </c>
      <c r="G63" s="498">
        <v>900.68</v>
      </c>
      <c r="H63" s="501">
        <v>16.930075187969923</v>
      </c>
      <c r="I63" s="518">
        <f t="shared" si="50"/>
        <v>-0.90992389395084772</v>
      </c>
      <c r="L63"/>
      <c r="M63" s="434"/>
      <c r="P63" s="434"/>
      <c r="Q63" s="896"/>
      <c r="R63" s="896"/>
      <c r="S63" s="896"/>
      <c r="T63" s="896"/>
      <c r="V63" s="896"/>
      <c r="W63" s="434"/>
      <c r="X63" s="434"/>
      <c r="Y63" s="434"/>
      <c r="AD63" s="7"/>
      <c r="AP63" s="506"/>
    </row>
    <row r="64" spans="1:42" hidden="1" outlineLevel="1" x14ac:dyDescent="0.25">
      <c r="A64" s="474"/>
      <c r="B64" s="1">
        <v>17</v>
      </c>
      <c r="C64" s="744">
        <v>45.7</v>
      </c>
      <c r="D64" s="66">
        <v>43.17</v>
      </c>
      <c r="E64" s="495">
        <v>0.94463894967177242</v>
      </c>
      <c r="F64" s="518">
        <f t="shared" si="49"/>
        <v>0.3505465244856325</v>
      </c>
      <c r="G64" s="498">
        <v>797.25</v>
      </c>
      <c r="H64" s="501">
        <v>17.445295404814004</v>
      </c>
      <c r="I64" s="518">
        <f t="shared" si="50"/>
        <v>-0.92686974793095678</v>
      </c>
      <c r="L64"/>
      <c r="M64" s="434"/>
      <c r="P64" s="434"/>
      <c r="Q64" s="896"/>
      <c r="R64" s="896"/>
      <c r="S64" s="896"/>
      <c r="T64" s="896"/>
      <c r="V64" s="896"/>
      <c r="W64" s="434"/>
      <c r="X64" s="434"/>
      <c r="Y64" s="434"/>
      <c r="AD64" s="7"/>
      <c r="AP64" s="506"/>
    </row>
    <row r="65" spans="1:42" hidden="1" outlineLevel="1" x14ac:dyDescent="0.25">
      <c r="A65" s="474"/>
      <c r="B65" s="1">
        <v>19</v>
      </c>
      <c r="C65" s="744">
        <v>50.62</v>
      </c>
      <c r="D65" s="66">
        <v>89.97</v>
      </c>
      <c r="E65" s="495">
        <v>1.7773607269853813</v>
      </c>
      <c r="F65" s="518">
        <f t="shared" si="49"/>
        <v>-0.50764141406819407</v>
      </c>
      <c r="G65" s="498">
        <v>866</v>
      </c>
      <c r="H65" s="501">
        <v>17.107862504938762</v>
      </c>
      <c r="I65" s="518">
        <f t="shared" si="50"/>
        <v>-0.94884815014285839</v>
      </c>
      <c r="L65"/>
      <c r="M65" s="434"/>
      <c r="P65" s="434"/>
      <c r="Q65" s="896"/>
      <c r="R65" s="896"/>
      <c r="S65" s="896"/>
      <c r="T65" s="896"/>
      <c r="V65" s="896"/>
      <c r="W65" s="434"/>
      <c r="X65" s="434"/>
      <c r="Y65" s="434"/>
      <c r="AD65" s="7"/>
      <c r="AP65" s="506"/>
    </row>
    <row r="66" spans="1:42" hidden="1" outlineLevel="1" x14ac:dyDescent="0.25">
      <c r="A66" s="474"/>
      <c r="B66" s="1">
        <v>20</v>
      </c>
      <c r="C66" s="744">
        <v>62.08</v>
      </c>
      <c r="D66" s="66">
        <v>136.66</v>
      </c>
      <c r="E66" s="495">
        <v>2.201353092783505</v>
      </c>
      <c r="F66" s="518">
        <f t="shared" si="49"/>
        <v>-0.63918170021940957</v>
      </c>
      <c r="G66" s="498">
        <v>1028.6000000000001</v>
      </c>
      <c r="H66" s="501">
        <v>16.568943298969074</v>
      </c>
      <c r="I66" s="518">
        <f t="shared" si="50"/>
        <v>-0.95206160913084248</v>
      </c>
      <c r="L66"/>
      <c r="M66" s="434"/>
      <c r="P66" s="434"/>
      <c r="Q66" s="896"/>
      <c r="R66" s="896"/>
      <c r="S66" s="896"/>
      <c r="T66" s="896"/>
      <c r="V66" s="896"/>
      <c r="W66" s="434"/>
      <c r="X66" s="434"/>
      <c r="Y66" s="434"/>
      <c r="AD66" s="7"/>
      <c r="AP66" s="506"/>
    </row>
    <row r="67" spans="1:42" hidden="1" outlineLevel="1" x14ac:dyDescent="0.25">
      <c r="A67" s="474"/>
      <c r="B67" s="1">
        <v>21</v>
      </c>
      <c r="C67" s="744">
        <v>72.2</v>
      </c>
      <c r="D67" s="66">
        <v>122.20000000000002</v>
      </c>
      <c r="E67" s="495">
        <v>1.692520775623269</v>
      </c>
      <c r="F67" s="518">
        <f t="shared" si="49"/>
        <v>-0.22586541976507901</v>
      </c>
      <c r="G67" s="498">
        <v>1324.41</v>
      </c>
      <c r="H67" s="501">
        <v>18.343628808864267</v>
      </c>
      <c r="I67" s="518">
        <f t="shared" si="50"/>
        <v>-0.92857253742820767</v>
      </c>
      <c r="L67"/>
      <c r="M67" s="434"/>
      <c r="P67" s="434"/>
      <c r="Q67" s="896"/>
      <c r="R67" s="896"/>
      <c r="S67" s="896"/>
      <c r="T67" s="896"/>
      <c r="V67" s="896"/>
      <c r="W67" s="434"/>
      <c r="X67" s="434"/>
      <c r="Y67" s="434"/>
      <c r="AD67" s="7"/>
      <c r="AP67" s="506"/>
    </row>
    <row r="68" spans="1:42" hidden="1" outlineLevel="1" x14ac:dyDescent="0.25">
      <c r="A68" s="474"/>
      <c r="B68" s="1">
        <v>22</v>
      </c>
      <c r="C68" s="744">
        <v>52.3</v>
      </c>
      <c r="D68" s="66">
        <v>64.45</v>
      </c>
      <c r="E68" s="495">
        <v>1.2323135755258128</v>
      </c>
      <c r="F68" s="518">
        <f t="shared" si="49"/>
        <v>0.3203718335103003</v>
      </c>
      <c r="G68" s="498">
        <v>845.84</v>
      </c>
      <c r="H68" s="501">
        <v>16.172848948374764</v>
      </c>
      <c r="I68" s="518">
        <f t="shared" si="50"/>
        <v>-0.89939236182996929</v>
      </c>
      <c r="L68"/>
      <c r="M68" s="434"/>
      <c r="P68" s="434"/>
      <c r="Q68" s="896"/>
      <c r="R68" s="896"/>
      <c r="S68" s="896"/>
      <c r="T68" s="896"/>
      <c r="V68" s="896"/>
      <c r="W68" s="434"/>
      <c r="X68" s="434"/>
      <c r="Y68" s="434"/>
      <c r="AD68" s="7"/>
      <c r="AP68" s="506"/>
    </row>
    <row r="69" spans="1:42" ht="15.75" hidden="1" outlineLevel="1" thickBot="1" x14ac:dyDescent="0.3">
      <c r="A69" s="433"/>
      <c r="B69" s="504"/>
      <c r="C69" s="910"/>
      <c r="E69" s="506"/>
      <c r="G69" s="8"/>
      <c r="H69" s="8"/>
      <c r="L69"/>
      <c r="M69" s="434"/>
      <c r="P69" s="8"/>
      <c r="Q69" s="505"/>
      <c r="R69" s="505"/>
      <c r="S69" s="505"/>
      <c r="T69" s="505"/>
      <c r="V69" s="505"/>
      <c r="W69" s="506"/>
      <c r="X69" s="8"/>
      <c r="Y69" s="8"/>
      <c r="AD69" s="7"/>
      <c r="AP69" s="506"/>
    </row>
    <row r="70" spans="1:42" ht="31.5" customHeight="1" collapsed="1" thickBot="1" x14ac:dyDescent="0.3">
      <c r="A70" s="941" t="s">
        <v>219</v>
      </c>
      <c r="B70" s="942"/>
      <c r="C70" s="912">
        <v>116.28</v>
      </c>
      <c r="D70" s="485">
        <v>104.84999999999998</v>
      </c>
      <c r="E70" s="493">
        <v>0.90170278637770884</v>
      </c>
      <c r="F70" s="519">
        <f>(I20-E70)/E70</f>
        <v>0.34446676667240217</v>
      </c>
      <c r="G70" s="520">
        <v>1517</v>
      </c>
      <c r="H70" s="521">
        <v>13.04609563123495</v>
      </c>
      <c r="I70" s="522">
        <f>(M20-H70)/H70</f>
        <v>-0.90707492387237887</v>
      </c>
      <c r="L70"/>
      <c r="M70" s="434"/>
      <c r="P70" s="8"/>
      <c r="Q70" s="893"/>
      <c r="R70" s="895"/>
      <c r="S70" s="895"/>
      <c r="T70" s="895"/>
      <c r="V70" s="895"/>
      <c r="W70" s="428"/>
      <c r="X70" s="428"/>
      <c r="Y70" s="428"/>
      <c r="AD70" s="7"/>
      <c r="AE70" s="749"/>
      <c r="AF70" s="749"/>
      <c r="AG70" s="749"/>
      <c r="AH70" s="749"/>
      <c r="AI70" s="749"/>
      <c r="AJ70" s="749"/>
      <c r="AK70" s="749"/>
      <c r="AL70" s="749"/>
      <c r="AM70" s="749"/>
      <c r="AN70" s="749"/>
      <c r="AO70" s="749"/>
      <c r="AP70" s="749"/>
    </row>
    <row r="71" spans="1:42" hidden="1" outlineLevel="1" x14ac:dyDescent="0.25">
      <c r="A71" s="433"/>
      <c r="B71" s="481">
        <v>2</v>
      </c>
      <c r="C71" s="908">
        <v>60.4</v>
      </c>
      <c r="D71" s="66">
        <v>57.309999999999995</v>
      </c>
      <c r="E71" s="495">
        <v>0.94884105960264897</v>
      </c>
      <c r="F71" s="518">
        <f>(I21-E71)/E71</f>
        <v>0.57326926753184182</v>
      </c>
      <c r="G71" s="498">
        <v>889.56999999999994</v>
      </c>
      <c r="H71" s="501">
        <v>14.72798013245033</v>
      </c>
      <c r="I71" s="518">
        <f>(M21-H71)/H71</f>
        <v>-0.89864309529070241</v>
      </c>
      <c r="L71"/>
      <c r="M71" s="434"/>
      <c r="P71" s="434"/>
      <c r="Q71" s="896"/>
      <c r="R71" s="896"/>
      <c r="S71" s="896"/>
      <c r="T71" s="896"/>
      <c r="V71" s="896"/>
      <c r="W71" s="434"/>
      <c r="X71" s="434"/>
      <c r="Y71" s="434"/>
      <c r="AD71" s="7"/>
      <c r="AP71" s="506"/>
    </row>
    <row r="72" spans="1:42" hidden="1" outlineLevel="1" x14ac:dyDescent="0.25">
      <c r="A72" s="433"/>
      <c r="B72" s="73">
        <v>11</v>
      </c>
      <c r="C72" s="909">
        <v>44.5</v>
      </c>
      <c r="D72" s="66">
        <v>32.42</v>
      </c>
      <c r="E72" s="495">
        <v>0.72853932584269665</v>
      </c>
      <c r="F72" s="518">
        <f>(I22-E72)/E72</f>
        <v>0.55983960518198628</v>
      </c>
      <c r="G72" s="498">
        <v>529.89</v>
      </c>
      <c r="H72" s="501">
        <v>11.907640449438201</v>
      </c>
      <c r="I72" s="518">
        <f>(M22-H72)/H72</f>
        <v>-0.90456509841665256</v>
      </c>
      <c r="L72"/>
      <c r="M72" s="434"/>
      <c r="P72" s="434"/>
      <c r="Q72" s="896"/>
      <c r="R72" s="896"/>
      <c r="S72" s="896"/>
      <c r="T72" s="896"/>
      <c r="V72" s="896"/>
      <c r="W72" s="434"/>
      <c r="X72" s="434"/>
      <c r="Y72" s="434"/>
      <c r="AD72" s="7"/>
      <c r="AP72" s="506"/>
    </row>
    <row r="73" spans="1:42" hidden="1" outlineLevel="1" x14ac:dyDescent="0.25">
      <c r="A73" s="433"/>
      <c r="B73" s="73">
        <v>29</v>
      </c>
      <c r="C73" s="909">
        <v>11.38</v>
      </c>
      <c r="D73" s="66">
        <v>15.12</v>
      </c>
      <c r="E73" s="495">
        <v>1.3286467486818978</v>
      </c>
      <c r="F73" s="518">
        <f>(I23-E73)/E73</f>
        <v>-0.61779720568783059</v>
      </c>
      <c r="G73" s="498">
        <v>97.54</v>
      </c>
      <c r="H73" s="501">
        <v>8.5711775043936722</v>
      </c>
      <c r="I73" s="518">
        <f>(M23-H73)/H73</f>
        <v>-0.94075347293418088</v>
      </c>
      <c r="L73"/>
      <c r="M73" s="434"/>
      <c r="P73" s="434"/>
      <c r="Q73" s="896"/>
      <c r="R73" s="896"/>
      <c r="S73" s="896"/>
      <c r="T73" s="896"/>
      <c r="V73" s="896"/>
      <c r="W73" s="434"/>
      <c r="X73" s="434"/>
      <c r="Y73" s="434"/>
      <c r="AD73" s="7"/>
      <c r="AP73" s="506"/>
    </row>
    <row r="74" spans="1:42" ht="15.75" hidden="1" outlineLevel="1" thickBot="1" x14ac:dyDescent="0.3">
      <c r="A74" s="433"/>
      <c r="B74" s="504"/>
      <c r="C74" s="910"/>
      <c r="E74" s="506"/>
      <c r="G74" s="8"/>
      <c r="H74" s="8"/>
      <c r="L74"/>
      <c r="M74" s="434"/>
      <c r="P74" s="8"/>
      <c r="Q74" s="505"/>
      <c r="R74" s="505"/>
      <c r="S74" s="505"/>
      <c r="T74" s="505"/>
      <c r="V74" s="505"/>
      <c r="W74" s="506"/>
      <c r="X74" s="8"/>
      <c r="Y74" s="8"/>
      <c r="AD74" s="7"/>
      <c r="AP74" s="506"/>
    </row>
    <row r="75" spans="1:42" ht="31.5" customHeight="1" collapsed="1" thickBot="1" x14ac:dyDescent="0.3">
      <c r="A75" s="943" t="s">
        <v>198</v>
      </c>
      <c r="B75" s="944"/>
      <c r="C75" s="913">
        <v>262.5</v>
      </c>
      <c r="D75" s="485">
        <v>364.13</v>
      </c>
      <c r="E75" s="523">
        <v>1.3871619047619048</v>
      </c>
      <c r="F75" s="519">
        <f t="shared" ref="F75:F81" si="51">(I25-E75)/E75</f>
        <v>-0.26292067722274659</v>
      </c>
      <c r="G75" s="520">
        <v>4293.8</v>
      </c>
      <c r="H75" s="521">
        <v>16.357333333333333</v>
      </c>
      <c r="I75" s="522">
        <f t="shared" ref="I75:I81" si="52">(M25-H75)/H75</f>
        <v>-0.93749296804628035</v>
      </c>
      <c r="L75"/>
      <c r="M75" s="434"/>
      <c r="P75" s="8"/>
      <c r="Q75" s="893"/>
      <c r="R75" s="895"/>
      <c r="S75" s="895"/>
      <c r="T75" s="895"/>
      <c r="V75" s="895"/>
      <c r="W75" s="428"/>
      <c r="X75" s="428"/>
      <c r="Y75" s="428"/>
      <c r="AD75" s="7"/>
      <c r="AE75" s="749"/>
      <c r="AF75" s="749"/>
      <c r="AG75" s="749"/>
      <c r="AH75" s="749"/>
      <c r="AI75" s="749"/>
      <c r="AJ75" s="749"/>
      <c r="AK75" s="749"/>
      <c r="AL75" s="749"/>
      <c r="AM75" s="749"/>
      <c r="AN75" s="749"/>
      <c r="AO75" s="749"/>
      <c r="AP75" s="749"/>
    </row>
    <row r="76" spans="1:42" hidden="1" outlineLevel="1" x14ac:dyDescent="0.25">
      <c r="A76" s="474"/>
      <c r="B76" s="459">
        <v>4</v>
      </c>
      <c r="C76" s="747">
        <v>70.599999999999994</v>
      </c>
      <c r="D76" s="473">
        <v>65.040000000000006</v>
      </c>
      <c r="E76" s="494">
        <v>0.92124645892351287</v>
      </c>
      <c r="F76" s="517">
        <f t="shared" si="51"/>
        <v>9.1643766388025336E-2</v>
      </c>
      <c r="G76" s="498">
        <v>1063.57</v>
      </c>
      <c r="H76" s="500">
        <v>15.064730878186969</v>
      </c>
      <c r="I76" s="517">
        <f t="shared" si="52"/>
        <v>-0.93324321806192623</v>
      </c>
      <c r="L76"/>
      <c r="M76" s="434"/>
      <c r="P76" s="434"/>
      <c r="Q76" s="896"/>
      <c r="R76" s="896"/>
      <c r="S76" s="896"/>
      <c r="T76" s="896"/>
      <c r="V76" s="896"/>
      <c r="W76" s="434"/>
      <c r="X76" s="434"/>
      <c r="Y76" s="434"/>
      <c r="AD76" s="7"/>
      <c r="AP76" s="506"/>
    </row>
    <row r="77" spans="1:42" hidden="1" outlineLevel="1" x14ac:dyDescent="0.25">
      <c r="A77" s="474"/>
      <c r="B77" s="1">
        <v>5</v>
      </c>
      <c r="C77" s="744">
        <v>50.4</v>
      </c>
      <c r="D77" s="66">
        <v>79.53</v>
      </c>
      <c r="E77" s="495">
        <v>1.5779761904761906</v>
      </c>
      <c r="F77" s="518">
        <f t="shared" si="51"/>
        <v>-0.51100213755815427</v>
      </c>
      <c r="G77" s="498">
        <v>835.29</v>
      </c>
      <c r="H77" s="501">
        <v>16.573214285714286</v>
      </c>
      <c r="I77" s="518">
        <f t="shared" si="52"/>
        <v>-0.95344131978115387</v>
      </c>
      <c r="L77"/>
      <c r="M77" s="434"/>
      <c r="P77" s="434"/>
      <c r="Q77" s="896"/>
      <c r="R77" s="896"/>
      <c r="S77" s="896"/>
      <c r="T77" s="896"/>
      <c r="V77" s="896"/>
      <c r="W77" s="434"/>
      <c r="X77" s="434"/>
      <c r="Y77" s="434"/>
      <c r="AD77" s="7"/>
      <c r="AP77" s="506"/>
    </row>
    <row r="78" spans="1:42" hidden="1" outlineLevel="1" x14ac:dyDescent="0.25">
      <c r="A78" s="474"/>
      <c r="B78" s="1">
        <v>6</v>
      </c>
      <c r="C78" s="744">
        <v>58.6</v>
      </c>
      <c r="D78" s="66">
        <v>125.24</v>
      </c>
      <c r="E78" s="495">
        <v>2.1372013651877131</v>
      </c>
      <c r="F78" s="518">
        <f t="shared" si="51"/>
        <v>-0.55054295752155846</v>
      </c>
      <c r="G78" s="498">
        <v>961.24000000000012</v>
      </c>
      <c r="H78" s="501">
        <v>16.403412969283277</v>
      </c>
      <c r="I78" s="518">
        <f t="shared" si="52"/>
        <v>-0.94144022304523323</v>
      </c>
      <c r="L78"/>
      <c r="M78" s="434"/>
      <c r="P78" s="434"/>
      <c r="Q78" s="896"/>
      <c r="R78" s="896"/>
      <c r="S78" s="896"/>
      <c r="T78" s="896"/>
      <c r="V78" s="896"/>
      <c r="W78" s="434"/>
      <c r="X78" s="434"/>
      <c r="Y78" s="434"/>
      <c r="AD78" s="7"/>
      <c r="AP78" s="506"/>
    </row>
    <row r="79" spans="1:42" hidden="1" outlineLevel="1" x14ac:dyDescent="0.25">
      <c r="A79" s="474"/>
      <c r="B79" s="1">
        <v>7</v>
      </c>
      <c r="C79" s="744">
        <v>23.6</v>
      </c>
      <c r="D79" s="66">
        <v>19.149999999999999</v>
      </c>
      <c r="E79" s="495">
        <v>0.81144067796610153</v>
      </c>
      <c r="F79" s="518">
        <f t="shared" si="51"/>
        <v>0.29086161879895578</v>
      </c>
      <c r="G79" s="498">
        <v>334.61</v>
      </c>
      <c r="H79" s="501">
        <v>14.178389830508474</v>
      </c>
      <c r="I79" s="518">
        <f t="shared" si="52"/>
        <v>-0.92612294910492809</v>
      </c>
      <c r="L79"/>
      <c r="M79" s="434"/>
      <c r="P79" s="434"/>
      <c r="Q79" s="896"/>
      <c r="R79" s="896"/>
      <c r="S79" s="896"/>
      <c r="T79" s="896"/>
      <c r="V79" s="896"/>
      <c r="W79" s="434"/>
      <c r="X79" s="434"/>
      <c r="Y79" s="434"/>
      <c r="AD79" s="7"/>
      <c r="AP79" s="506"/>
    </row>
    <row r="80" spans="1:42" hidden="1" outlineLevel="1" x14ac:dyDescent="0.25">
      <c r="A80" s="474"/>
      <c r="B80" s="1">
        <v>23</v>
      </c>
      <c r="C80" s="744">
        <v>14.6</v>
      </c>
      <c r="D80" s="66">
        <v>25.259999999999998</v>
      </c>
      <c r="E80" s="495">
        <v>1.7301369863013698</v>
      </c>
      <c r="F80" s="518">
        <f t="shared" si="51"/>
        <v>-0.16231195566112419</v>
      </c>
      <c r="G80" s="498">
        <v>291.61</v>
      </c>
      <c r="H80" s="501">
        <v>19.973287671232878</v>
      </c>
      <c r="I80" s="518">
        <f t="shared" si="52"/>
        <v>-0.92743733068138956</v>
      </c>
      <c r="L80"/>
      <c r="M80" s="434"/>
      <c r="P80" s="434"/>
      <c r="Q80" s="896"/>
      <c r="R80" s="896"/>
      <c r="S80" s="896"/>
      <c r="T80" s="896"/>
      <c r="V80" s="896"/>
      <c r="W80" s="434"/>
      <c r="X80" s="434"/>
      <c r="Y80" s="434"/>
      <c r="AD80" s="7"/>
      <c r="AP80" s="506"/>
    </row>
    <row r="81" spans="1:42" hidden="1" outlineLevel="1" x14ac:dyDescent="0.25">
      <c r="A81" s="474"/>
      <c r="B81" s="1">
        <v>24</v>
      </c>
      <c r="C81" s="744">
        <v>44.7</v>
      </c>
      <c r="D81" s="66">
        <v>49.910000000000004</v>
      </c>
      <c r="E81" s="495">
        <v>1.1165548098434004</v>
      </c>
      <c r="F81" s="518">
        <f t="shared" si="51"/>
        <v>0.12878803067818911</v>
      </c>
      <c r="G81" s="498">
        <v>807.48</v>
      </c>
      <c r="H81" s="501">
        <v>18.064429530201341</v>
      </c>
      <c r="I81" s="518">
        <f t="shared" si="52"/>
        <v>-0.93023008543722641</v>
      </c>
      <c r="L81"/>
      <c r="M81" s="434"/>
      <c r="P81" s="434"/>
      <c r="Q81" s="896"/>
      <c r="R81" s="896"/>
      <c r="S81" s="896"/>
      <c r="T81" s="896"/>
      <c r="V81" s="896"/>
      <c r="W81" s="434"/>
      <c r="X81" s="434"/>
      <c r="Y81" s="434"/>
      <c r="AD81" s="7"/>
      <c r="AP81" s="506"/>
    </row>
    <row r="82" spans="1:42" ht="15.75" hidden="1" outlineLevel="1" thickBot="1" x14ac:dyDescent="0.3">
      <c r="A82" s="433"/>
      <c r="B82" s="504"/>
      <c r="C82" s="910"/>
      <c r="E82" s="506"/>
      <c r="G82" s="8"/>
      <c r="H82" s="8"/>
      <c r="L82"/>
      <c r="M82" s="434"/>
      <c r="P82" s="8"/>
      <c r="Q82" s="505"/>
      <c r="R82" s="505"/>
      <c r="S82" s="505"/>
      <c r="T82" s="505"/>
      <c r="V82" s="505"/>
      <c r="W82" s="506"/>
      <c r="X82" s="8"/>
      <c r="Y82" s="8"/>
      <c r="AD82" s="7"/>
      <c r="AP82" s="506"/>
    </row>
    <row r="83" spans="1:42" ht="15.75" collapsed="1" thickBot="1" x14ac:dyDescent="0.3">
      <c r="A83" s="939" t="s">
        <v>67</v>
      </c>
      <c r="B83" s="940"/>
      <c r="C83" s="911">
        <v>291.60000000000002</v>
      </c>
      <c r="D83" s="485">
        <v>405.62</v>
      </c>
      <c r="E83" s="523">
        <v>1.3910150891632371</v>
      </c>
      <c r="F83" s="519">
        <f t="shared" ref="F83:F89" si="53">(I33-E83)/E83</f>
        <v>-1.8638134214289385E-2</v>
      </c>
      <c r="G83" s="520">
        <v>4491.63</v>
      </c>
      <c r="H83" s="521">
        <v>15.403395061728395</v>
      </c>
      <c r="I83" s="522">
        <f t="shared" ref="I83:I89" si="54">(M33-H83)/H83</f>
        <v>-0.91137738415675384</v>
      </c>
      <c r="L83"/>
      <c r="M83" s="434"/>
      <c r="P83" s="8"/>
      <c r="Q83" s="893"/>
      <c r="R83" s="895"/>
      <c r="S83" s="895"/>
      <c r="T83" s="895"/>
      <c r="V83" s="895"/>
      <c r="W83" s="428"/>
      <c r="X83" s="428"/>
      <c r="Y83" s="428"/>
      <c r="AD83" s="7"/>
      <c r="AE83" s="749"/>
      <c r="AF83" s="749"/>
      <c r="AG83" s="749"/>
      <c r="AH83" s="749"/>
      <c r="AI83" s="749"/>
      <c r="AJ83" s="749"/>
      <c r="AK83" s="749"/>
      <c r="AL83" s="749"/>
      <c r="AM83" s="749"/>
      <c r="AN83" s="749"/>
      <c r="AO83" s="749"/>
      <c r="AP83" s="749"/>
    </row>
    <row r="84" spans="1:42" hidden="1" outlineLevel="1" x14ac:dyDescent="0.25">
      <c r="A84" s="474"/>
      <c r="B84" s="459">
        <v>8</v>
      </c>
      <c r="C84" s="747">
        <v>61.6</v>
      </c>
      <c r="D84" s="473">
        <v>66.94</v>
      </c>
      <c r="E84" s="494">
        <v>1.0866883116883117</v>
      </c>
      <c r="F84" s="517">
        <f t="shared" si="53"/>
        <v>0.33701822527636688</v>
      </c>
      <c r="G84" s="498">
        <v>906.12000000000012</v>
      </c>
      <c r="H84" s="500">
        <v>14.709740259740261</v>
      </c>
      <c r="I84" s="517">
        <f t="shared" si="54"/>
        <v>-0.90122721052399235</v>
      </c>
      <c r="L84"/>
      <c r="M84" s="434"/>
      <c r="P84" s="434"/>
      <c r="Q84" s="896"/>
      <c r="R84" s="896"/>
      <c r="S84" s="896"/>
      <c r="T84" s="896"/>
      <c r="V84" s="896"/>
      <c r="W84" s="434"/>
      <c r="X84" s="434"/>
      <c r="Y84" s="434"/>
      <c r="AD84" s="7"/>
      <c r="AP84" s="506"/>
    </row>
    <row r="85" spans="1:42" hidden="1" outlineLevel="1" x14ac:dyDescent="0.25">
      <c r="A85" s="474"/>
      <c r="B85" s="1">
        <v>9</v>
      </c>
      <c r="C85" s="744">
        <v>38.299999999999997</v>
      </c>
      <c r="D85" s="66">
        <v>33.010000000000005</v>
      </c>
      <c r="E85" s="495">
        <v>0.86187989556135791</v>
      </c>
      <c r="F85" s="518">
        <f t="shared" si="53"/>
        <v>0.39321417752196269</v>
      </c>
      <c r="G85" s="498">
        <v>486.12</v>
      </c>
      <c r="H85" s="501">
        <v>12.692428198433422</v>
      </c>
      <c r="I85" s="518">
        <f t="shared" si="54"/>
        <v>-0.90539372994322387</v>
      </c>
      <c r="L85"/>
      <c r="M85" s="434"/>
      <c r="P85" s="434"/>
      <c r="Q85" s="896"/>
      <c r="R85" s="896"/>
      <c r="S85" s="896"/>
      <c r="T85" s="896"/>
      <c r="V85" s="896"/>
      <c r="W85" s="434"/>
      <c r="X85" s="434"/>
      <c r="Y85" s="434"/>
      <c r="AD85" s="7"/>
      <c r="AP85" s="506"/>
    </row>
    <row r="86" spans="1:42" hidden="1" outlineLevel="1" x14ac:dyDescent="0.25">
      <c r="A86" s="474"/>
      <c r="B86" s="1">
        <v>12</v>
      </c>
      <c r="C86" s="744">
        <v>71</v>
      </c>
      <c r="D86" s="66">
        <v>93.38</v>
      </c>
      <c r="E86" s="495">
        <v>1.3152112676056338</v>
      </c>
      <c r="F86" s="518">
        <f t="shared" si="53"/>
        <v>-9.4238594988220223E-2</v>
      </c>
      <c r="G86" s="498">
        <v>1000.7399999999999</v>
      </c>
      <c r="H86" s="501">
        <v>14.094929577464788</v>
      </c>
      <c r="I86" s="518">
        <f t="shared" si="54"/>
        <v>-0.91548254291824049</v>
      </c>
      <c r="L86"/>
      <c r="M86" s="434"/>
      <c r="P86" s="434"/>
      <c r="Q86" s="896"/>
      <c r="R86" s="896"/>
      <c r="S86" s="896"/>
      <c r="T86" s="896"/>
      <c r="V86" s="896"/>
      <c r="W86" s="434"/>
      <c r="X86" s="434"/>
      <c r="Y86" s="434"/>
      <c r="AD86" s="7"/>
      <c r="AP86" s="506"/>
    </row>
    <row r="87" spans="1:42" hidden="1" outlineLevel="1" x14ac:dyDescent="0.25">
      <c r="A87" s="474"/>
      <c r="B87" s="1">
        <v>10</v>
      </c>
      <c r="C87" s="744">
        <v>19.100000000000001</v>
      </c>
      <c r="D87" s="66">
        <v>13.41</v>
      </c>
      <c r="E87" s="495">
        <v>0.70209424083769634</v>
      </c>
      <c r="F87" s="518">
        <f t="shared" si="53"/>
        <v>1.1237882177479488</v>
      </c>
      <c r="G87" s="498">
        <v>259.04000000000002</v>
      </c>
      <c r="H87" s="501">
        <v>13.562303664921465</v>
      </c>
      <c r="I87" s="518">
        <f t="shared" si="54"/>
        <v>-0.89005558987029032</v>
      </c>
      <c r="L87"/>
      <c r="M87" s="434"/>
      <c r="P87" s="434"/>
      <c r="Q87" s="896"/>
      <c r="R87" s="896"/>
      <c r="S87" s="896"/>
      <c r="T87" s="896"/>
      <c r="V87" s="896"/>
      <c r="W87" s="434"/>
      <c r="X87" s="434"/>
      <c r="Y87" s="434"/>
      <c r="AD87" s="7"/>
      <c r="AP87" s="506"/>
    </row>
    <row r="88" spans="1:42" hidden="1" outlineLevel="1" x14ac:dyDescent="0.25">
      <c r="A88" s="474"/>
      <c r="B88" s="1">
        <v>13</v>
      </c>
      <c r="C88" s="744">
        <v>60.8</v>
      </c>
      <c r="D88" s="66">
        <v>112.95000000000002</v>
      </c>
      <c r="E88" s="495">
        <v>1.8577302631578951</v>
      </c>
      <c r="F88" s="518">
        <f t="shared" si="53"/>
        <v>-0.21053563523683072</v>
      </c>
      <c r="G88" s="498">
        <v>1038.9000000000001</v>
      </c>
      <c r="H88" s="501">
        <v>17.087171052631582</v>
      </c>
      <c r="I88" s="518">
        <f t="shared" si="54"/>
        <v>-0.91416883241890468</v>
      </c>
      <c r="L88"/>
      <c r="M88" s="434"/>
      <c r="P88" s="434"/>
      <c r="Q88" s="896"/>
      <c r="R88" s="896"/>
      <c r="S88" s="896"/>
      <c r="T88" s="896"/>
      <c r="V88" s="896"/>
      <c r="W88" s="434"/>
      <c r="X88" s="434"/>
      <c r="Y88" s="434"/>
      <c r="AD88" s="7"/>
      <c r="AP88" s="506"/>
    </row>
    <row r="89" spans="1:42" hidden="1" outlineLevel="1" x14ac:dyDescent="0.25">
      <c r="A89" s="474"/>
      <c r="B89" s="1">
        <v>18</v>
      </c>
      <c r="C89" s="744">
        <v>40.799999999999997</v>
      </c>
      <c r="D89" s="66">
        <v>85.93</v>
      </c>
      <c r="E89" s="495">
        <v>2.1061274509803924</v>
      </c>
      <c r="F89" s="518">
        <f t="shared" si="53"/>
        <v>-0.29780053531944611</v>
      </c>
      <c r="G89" s="498">
        <v>800.71</v>
      </c>
      <c r="H89" s="501">
        <v>19.625245098039219</v>
      </c>
      <c r="I89" s="518">
        <f t="shared" si="54"/>
        <v>-0.92464188033120598</v>
      </c>
      <c r="L89"/>
      <c r="M89" s="434"/>
      <c r="P89" s="434"/>
      <c r="Q89" s="896"/>
      <c r="R89" s="896"/>
      <c r="S89" s="896"/>
      <c r="T89" s="896"/>
      <c r="V89" s="896"/>
      <c r="W89" s="434"/>
      <c r="X89" s="434"/>
      <c r="Y89" s="434"/>
      <c r="AD89" s="7"/>
      <c r="AP89" s="506"/>
    </row>
    <row r="90" spans="1:42" ht="15.75" hidden="1" outlineLevel="1" thickBot="1" x14ac:dyDescent="0.3">
      <c r="A90" s="433"/>
      <c r="B90" s="504"/>
      <c r="C90" s="910"/>
      <c r="E90" s="506"/>
      <c r="G90" s="8"/>
      <c r="H90" s="8"/>
      <c r="L90"/>
      <c r="M90" s="434"/>
      <c r="P90" s="8"/>
      <c r="Q90" s="505"/>
      <c r="R90" s="505"/>
      <c r="S90" s="505"/>
      <c r="T90" s="505"/>
      <c r="V90" s="505"/>
      <c r="W90" s="506"/>
      <c r="X90" s="8"/>
      <c r="Y90" s="8"/>
      <c r="AD90" s="7"/>
      <c r="AP90" s="506"/>
    </row>
    <row r="91" spans="1:42" ht="15.75" customHeight="1" collapsed="1" thickBot="1" x14ac:dyDescent="0.3">
      <c r="A91" s="939" t="s">
        <v>68</v>
      </c>
      <c r="B91" s="940"/>
      <c r="C91" s="911">
        <v>196.73</v>
      </c>
      <c r="D91" s="485">
        <v>171.44</v>
      </c>
      <c r="E91" s="523">
        <v>0.87144817770548466</v>
      </c>
      <c r="F91" s="519">
        <f t="shared" ref="F91:F99" si="55">(I41-E91)/E91</f>
        <v>2.6588964700991198E-3</v>
      </c>
      <c r="G91" s="520">
        <v>2108.4700000000003</v>
      </c>
      <c r="H91" s="521">
        <v>10.717582473440759</v>
      </c>
      <c r="I91" s="522">
        <f t="shared" ref="I91:I99" si="56">(M41-H91)/H91</f>
        <v>-0.91847366042161671</v>
      </c>
      <c r="L91"/>
      <c r="M91" s="434"/>
      <c r="P91" s="8"/>
      <c r="Q91" s="893"/>
      <c r="R91" s="895"/>
      <c r="S91" s="895"/>
      <c r="T91" s="895"/>
      <c r="V91" s="895"/>
      <c r="W91" s="428"/>
      <c r="X91" s="428"/>
      <c r="Y91" s="428"/>
      <c r="AD91" s="7"/>
      <c r="AE91" s="749"/>
      <c r="AF91" s="749"/>
      <c r="AG91" s="749"/>
      <c r="AH91" s="749"/>
      <c r="AI91" s="749"/>
      <c r="AJ91" s="749"/>
      <c r="AK91" s="749"/>
      <c r="AL91" s="749"/>
      <c r="AM91" s="749"/>
      <c r="AN91" s="749"/>
      <c r="AO91" s="749"/>
      <c r="AP91" s="749"/>
    </row>
    <row r="92" spans="1:42" ht="15.75" hidden="1" customHeight="1" outlineLevel="1" x14ac:dyDescent="0.25">
      <c r="A92" s="474"/>
      <c r="B92" s="459">
        <v>25</v>
      </c>
      <c r="C92" s="747">
        <v>38.22</v>
      </c>
      <c r="D92" s="473">
        <v>21.7</v>
      </c>
      <c r="E92" s="494">
        <v>0.56776556776556775</v>
      </c>
      <c r="F92" s="517">
        <f t="shared" si="55"/>
        <v>4.5247424421550421E-2</v>
      </c>
      <c r="G92" s="498">
        <v>330.30999999999995</v>
      </c>
      <c r="H92" s="500">
        <v>8.6423338566195689</v>
      </c>
      <c r="I92" s="517">
        <f t="shared" si="56"/>
        <v>-0.93133157001014921</v>
      </c>
      <c r="L92"/>
      <c r="M92" s="434"/>
      <c r="P92" s="434"/>
      <c r="Q92" s="896"/>
      <c r="R92" s="896"/>
      <c r="S92" s="896"/>
      <c r="T92" s="896"/>
      <c r="V92" s="896"/>
      <c r="W92" s="434"/>
      <c r="X92" s="434"/>
      <c r="Y92" s="434"/>
      <c r="AD92" s="7"/>
      <c r="AP92" s="506"/>
    </row>
    <row r="93" spans="1:42" hidden="1" outlineLevel="1" x14ac:dyDescent="0.25">
      <c r="A93" s="474"/>
      <c r="B93" s="1" t="s">
        <v>7</v>
      </c>
      <c r="C93" s="744">
        <v>22.72</v>
      </c>
      <c r="D93" s="66">
        <v>28.249999999999996</v>
      </c>
      <c r="E93" s="495">
        <v>1.2433978873239435</v>
      </c>
      <c r="F93" s="518">
        <f t="shared" si="55"/>
        <v>-0.11143019765311279</v>
      </c>
      <c r="G93" s="498">
        <v>281.24</v>
      </c>
      <c r="H93" s="501">
        <v>12.378521126760564</v>
      </c>
      <c r="I93" s="518">
        <f t="shared" si="56"/>
        <v>-0.91074492633942694</v>
      </c>
      <c r="L93"/>
      <c r="M93" s="434"/>
      <c r="P93" s="434"/>
      <c r="Q93" s="896"/>
      <c r="R93" s="896"/>
      <c r="S93" s="896"/>
      <c r="T93" s="896"/>
      <c r="V93" s="896"/>
      <c r="W93" s="434"/>
      <c r="X93" s="434"/>
      <c r="Y93" s="434"/>
      <c r="AD93" s="7"/>
      <c r="AP93" s="506"/>
    </row>
    <row r="94" spans="1:42" hidden="1" outlineLevel="1" x14ac:dyDescent="0.25">
      <c r="A94" s="474"/>
      <c r="B94" s="1">
        <v>27</v>
      </c>
      <c r="C94" s="744">
        <v>18.64</v>
      </c>
      <c r="D94" s="66">
        <v>19</v>
      </c>
      <c r="E94" s="495">
        <v>1.0193133047210301</v>
      </c>
      <c r="F94" s="518">
        <f t="shared" si="55"/>
        <v>0.16971659919028331</v>
      </c>
      <c r="G94" s="498">
        <v>191.64000000000001</v>
      </c>
      <c r="H94" s="501">
        <v>10.281115879828327</v>
      </c>
      <c r="I94" s="518">
        <f t="shared" si="56"/>
        <v>-0.88402934990286286</v>
      </c>
      <c r="L94"/>
      <c r="M94" s="434"/>
      <c r="P94" s="434"/>
      <c r="Q94" s="896"/>
      <c r="R94" s="896"/>
      <c r="S94" s="896"/>
      <c r="T94" s="896"/>
      <c r="V94" s="896"/>
      <c r="W94" s="434"/>
      <c r="X94" s="434"/>
      <c r="Y94" s="434"/>
      <c r="AD94" s="7"/>
      <c r="AP94" s="506"/>
    </row>
    <row r="95" spans="1:42" hidden="1" outlineLevel="1" x14ac:dyDescent="0.25">
      <c r="A95" s="474"/>
      <c r="B95" s="1">
        <v>28</v>
      </c>
      <c r="C95" s="744">
        <v>25.5</v>
      </c>
      <c r="D95" s="66">
        <v>23.75</v>
      </c>
      <c r="E95" s="495">
        <v>0.93137254901960786</v>
      </c>
      <c r="F95" s="518">
        <f t="shared" si="55"/>
        <v>0.4350108147080029</v>
      </c>
      <c r="G95" s="498">
        <v>331.57000000000005</v>
      </c>
      <c r="H95" s="501">
        <v>13.002745098039219</v>
      </c>
      <c r="I95" s="518">
        <f t="shared" si="56"/>
        <v>-0.89721172950111572</v>
      </c>
      <c r="L95"/>
      <c r="M95" s="434"/>
      <c r="P95" s="434"/>
      <c r="Q95" s="896"/>
      <c r="R95" s="896"/>
      <c r="S95" s="896"/>
      <c r="T95" s="896"/>
      <c r="V95" s="896"/>
      <c r="W95" s="434"/>
      <c r="X95" s="434"/>
      <c r="Y95" s="434"/>
      <c r="AD95" s="7"/>
      <c r="AP95" s="506"/>
    </row>
    <row r="96" spans="1:42" hidden="1" outlineLevel="1" x14ac:dyDescent="0.25">
      <c r="A96" s="474"/>
      <c r="B96" s="1">
        <v>30</v>
      </c>
      <c r="C96" s="744">
        <v>24.35</v>
      </c>
      <c r="D96" s="66">
        <v>12.309999999999999</v>
      </c>
      <c r="E96" s="495">
        <v>0.50554414784394242</v>
      </c>
      <c r="F96" s="518">
        <f t="shared" si="55"/>
        <v>0.70537018650566863</v>
      </c>
      <c r="G96" s="498">
        <v>222.79</v>
      </c>
      <c r="H96" s="501">
        <v>9.1494866529774121</v>
      </c>
      <c r="I96" s="518">
        <f t="shared" si="56"/>
        <v>-0.90577177164197331</v>
      </c>
      <c r="L96"/>
      <c r="M96" s="434"/>
      <c r="P96" s="434"/>
      <c r="Q96" s="896"/>
      <c r="R96" s="896"/>
      <c r="S96" s="896"/>
      <c r="T96" s="896"/>
      <c r="V96" s="896"/>
      <c r="W96" s="434"/>
      <c r="X96" s="434"/>
      <c r="Y96" s="434"/>
      <c r="AD96" s="7"/>
      <c r="AP96" s="506"/>
    </row>
    <row r="97" spans="1:42" hidden="1" outlineLevel="1" x14ac:dyDescent="0.25">
      <c r="A97" s="474"/>
      <c r="B97" s="1">
        <v>31</v>
      </c>
      <c r="C97" s="744">
        <v>34.08</v>
      </c>
      <c r="D97" s="66">
        <v>14.02</v>
      </c>
      <c r="E97" s="495">
        <v>0.41138497652582162</v>
      </c>
      <c r="F97" s="518">
        <f t="shared" si="55"/>
        <v>0.5020995216917008</v>
      </c>
      <c r="G97" s="498">
        <v>233.18999999999997</v>
      </c>
      <c r="H97" s="501">
        <v>6.8424295774647881</v>
      </c>
      <c r="I97" s="518">
        <f t="shared" si="56"/>
        <v>-0.90968980104585251</v>
      </c>
      <c r="L97"/>
      <c r="M97" s="434"/>
      <c r="P97" s="434"/>
      <c r="Q97" s="896"/>
      <c r="R97" s="896"/>
      <c r="S97" s="896"/>
      <c r="T97" s="896"/>
      <c r="V97" s="896"/>
      <c r="W97" s="434"/>
      <c r="X97" s="434"/>
      <c r="Y97" s="434"/>
      <c r="AD97" s="7"/>
      <c r="AP97" s="506"/>
    </row>
    <row r="98" spans="1:42" hidden="1" outlineLevel="1" x14ac:dyDescent="0.25">
      <c r="A98" s="474"/>
      <c r="B98" s="1">
        <v>33</v>
      </c>
      <c r="C98" s="744">
        <v>28.72</v>
      </c>
      <c r="D98" s="66">
        <v>50.019999999999996</v>
      </c>
      <c r="E98" s="495">
        <v>1.7416434540389971</v>
      </c>
      <c r="F98" s="518">
        <f t="shared" si="55"/>
        <v>-0.48304452866740621</v>
      </c>
      <c r="G98" s="498">
        <v>478.1</v>
      </c>
      <c r="H98" s="501">
        <v>16.646935933147635</v>
      </c>
      <c r="I98" s="518">
        <f t="shared" si="56"/>
        <v>-0.9459148448524235</v>
      </c>
      <c r="L98"/>
      <c r="M98" s="434"/>
      <c r="P98" s="434"/>
      <c r="Q98" s="896"/>
      <c r="R98" s="896"/>
      <c r="S98" s="896"/>
      <c r="T98" s="896"/>
      <c r="V98" s="896"/>
      <c r="W98" s="434"/>
      <c r="X98" s="434"/>
      <c r="Y98" s="434"/>
      <c r="AD98" s="7"/>
      <c r="AP98" s="506"/>
    </row>
    <row r="99" spans="1:42" hidden="1" outlineLevel="1" x14ac:dyDescent="0.25">
      <c r="A99" s="474"/>
      <c r="B99" s="1">
        <v>39</v>
      </c>
      <c r="C99" s="744">
        <v>4.5</v>
      </c>
      <c r="D99" s="66">
        <v>2.39</v>
      </c>
      <c r="E99" s="495">
        <v>0.53111111111111109</v>
      </c>
      <c r="F99" s="518">
        <f t="shared" si="55"/>
        <v>0.22594142259414246</v>
      </c>
      <c r="G99" s="498">
        <v>39.630000000000003</v>
      </c>
      <c r="H99" s="501">
        <v>8.8066666666666666</v>
      </c>
      <c r="I99" s="518">
        <f t="shared" si="56"/>
        <v>-0.92606611153166785</v>
      </c>
      <c r="L99"/>
      <c r="M99" s="434"/>
      <c r="P99" s="434"/>
      <c r="Q99" s="896"/>
      <c r="R99" s="896"/>
      <c r="S99" s="896"/>
      <c r="T99" s="896"/>
      <c r="V99" s="896"/>
      <c r="W99" s="434"/>
      <c r="X99" s="434"/>
      <c r="Y99" s="434"/>
      <c r="AD99" s="7"/>
      <c r="AP99" s="506"/>
    </row>
    <row r="100" spans="1:42" ht="15.75" hidden="1" outlineLevel="1" thickBot="1" x14ac:dyDescent="0.3">
      <c r="A100" s="433"/>
      <c r="B100" s="504"/>
      <c r="C100" s="910"/>
      <c r="E100" s="506"/>
      <c r="G100" s="8"/>
      <c r="H100" s="8"/>
      <c r="L100"/>
      <c r="M100" s="434"/>
      <c r="P100" s="8"/>
      <c r="Q100" s="505"/>
      <c r="R100" s="505"/>
      <c r="S100" s="505"/>
      <c r="T100" s="505"/>
      <c r="V100" s="505"/>
      <c r="W100" s="506"/>
      <c r="X100" s="8"/>
      <c r="Y100" s="8"/>
      <c r="AD100" s="7"/>
      <c r="AP100" s="506"/>
    </row>
    <row r="101" spans="1:42" s="7" customFormat="1" ht="15.75" collapsed="1" thickBot="1" x14ac:dyDescent="0.3">
      <c r="A101" s="939" t="s">
        <v>8</v>
      </c>
      <c r="B101" s="940"/>
      <c r="C101" s="911">
        <v>1416.51</v>
      </c>
      <c r="D101" s="485">
        <v>1970.71</v>
      </c>
      <c r="E101" s="523">
        <v>1.3912432669024575</v>
      </c>
      <c r="F101" s="519">
        <f>(I51-E101)/E101</f>
        <v>-0.15167311838801698</v>
      </c>
      <c r="G101" s="520">
        <v>21660.140000000003</v>
      </c>
      <c r="H101" s="521">
        <v>15.291201615237451</v>
      </c>
      <c r="I101" s="522">
        <f>(M51-H101)/H101</f>
        <v>-0.92281646061098632</v>
      </c>
      <c r="M101" s="428"/>
      <c r="Q101" s="893"/>
      <c r="R101" s="895"/>
      <c r="S101" s="895"/>
      <c r="T101" s="895"/>
      <c r="V101" s="895"/>
      <c r="W101" s="428"/>
      <c r="X101" s="428"/>
      <c r="Y101" s="428"/>
      <c r="AE101" s="749"/>
      <c r="AF101" s="749"/>
      <c r="AG101" s="749"/>
      <c r="AH101" s="749"/>
      <c r="AI101" s="749"/>
      <c r="AJ101" s="749"/>
      <c r="AK101" s="749"/>
      <c r="AL101" s="749"/>
      <c r="AM101" s="749"/>
      <c r="AN101" s="749"/>
      <c r="AO101" s="749"/>
      <c r="AP101" s="749"/>
    </row>
    <row r="102" spans="1:42" x14ac:dyDescent="0.25">
      <c r="L102"/>
      <c r="M102" s="434"/>
      <c r="R102"/>
      <c r="T102" s="434"/>
      <c r="Y102"/>
      <c r="AD102" s="7"/>
      <c r="AP102" s="506"/>
    </row>
    <row r="103" spans="1:42" x14ac:dyDescent="0.25">
      <c r="L103"/>
      <c r="M103" s="434"/>
      <c r="R103"/>
      <c r="T103" s="434"/>
      <c r="Y103"/>
      <c r="AD103" s="7"/>
      <c r="AP103" s="506"/>
    </row>
    <row r="104" spans="1:42" ht="15.75" customHeight="1" thickBot="1" x14ac:dyDescent="0.3">
      <c r="A104" s="430">
        <v>45658</v>
      </c>
      <c r="L104"/>
      <c r="M104" s="434"/>
      <c r="R104"/>
      <c r="T104" s="434"/>
      <c r="Y104"/>
      <c r="AD104" s="7"/>
      <c r="AP104" s="506"/>
    </row>
    <row r="105" spans="1:42" ht="75.75" thickBot="1" x14ac:dyDescent="0.3">
      <c r="A105" s="923" t="s">
        <v>74</v>
      </c>
      <c r="B105" s="924"/>
      <c r="C105" s="897" t="s">
        <v>75</v>
      </c>
      <c r="D105" s="510" t="s">
        <v>138</v>
      </c>
      <c r="E105" s="511" t="s">
        <v>164</v>
      </c>
      <c r="F105" s="512" t="s">
        <v>265</v>
      </c>
      <c r="G105" s="513" t="s">
        <v>165</v>
      </c>
      <c r="H105" s="514" t="s">
        <v>166</v>
      </c>
      <c r="I105" s="515" t="s">
        <v>265</v>
      </c>
      <c r="L105"/>
      <c r="M105" s="434"/>
      <c r="R105"/>
      <c r="T105" s="434"/>
      <c r="Y105"/>
      <c r="AD105" s="7"/>
      <c r="AP105" s="506"/>
    </row>
    <row r="106" spans="1:42" ht="30.75" customHeight="1" thickBot="1" x14ac:dyDescent="0.3">
      <c r="A106" s="946" t="s">
        <v>63</v>
      </c>
      <c r="B106" s="947"/>
      <c r="C106" s="915">
        <v>164</v>
      </c>
      <c r="D106" s="485">
        <f>SUM(D107:D109)</f>
        <v>170.01</v>
      </c>
      <c r="E106" s="493">
        <f>D106/C6</f>
        <v>1.0383558297196602</v>
      </c>
      <c r="F106" s="508">
        <f>(I6-E106)/E106</f>
        <v>0.25180871713428671</v>
      </c>
      <c r="G106" s="497">
        <f>SUM(G107:G109)</f>
        <v>170.01</v>
      </c>
      <c r="H106" s="503">
        <f>G106/C106</f>
        <v>1.0366463414634146</v>
      </c>
      <c r="I106" s="509">
        <f>(M6-H106)/H106</f>
        <v>0.25387302027742598</v>
      </c>
      <c r="L106"/>
      <c r="M106" s="434"/>
      <c r="R106"/>
      <c r="T106" s="434"/>
      <c r="Y106"/>
      <c r="AD106" s="7"/>
      <c r="AP106" s="506"/>
    </row>
    <row r="107" spans="1:42" ht="15" hidden="1" customHeight="1" outlineLevel="1" x14ac:dyDescent="0.25">
      <c r="A107" s="433"/>
      <c r="B107" s="481">
        <v>1</v>
      </c>
      <c r="C107" s="908">
        <v>53.2</v>
      </c>
      <c r="D107" s="66">
        <f>VLOOKUP(B7,year2022to23,257,FALSE)</f>
        <v>69.42</v>
      </c>
      <c r="E107" s="494">
        <f>D107/C107</f>
        <v>1.3048872180451128</v>
      </c>
      <c r="F107" s="517">
        <f>(I7-E107)/E107</f>
        <v>-7.2123521214634279E-2</v>
      </c>
      <c r="G107" s="498">
        <f>VLOOKUP(B7,year2022to23,257,FALSE)</f>
        <v>69.42</v>
      </c>
      <c r="H107" s="500">
        <f>G107/C7</f>
        <v>1.3075908834055376</v>
      </c>
      <c r="I107" s="517">
        <f>(M7-H107)/H107</f>
        <v>-7.40420628061077E-2</v>
      </c>
      <c r="L107"/>
      <c r="M107" s="434"/>
      <c r="R107"/>
      <c r="T107" s="434"/>
      <c r="Y107"/>
      <c r="AD107" s="7"/>
      <c r="AP107" s="506"/>
    </row>
    <row r="108" spans="1:42" ht="15" hidden="1" customHeight="1" outlineLevel="1" x14ac:dyDescent="0.25">
      <c r="A108" s="433"/>
      <c r="B108" s="73">
        <v>3</v>
      </c>
      <c r="C108" s="909">
        <v>69.2</v>
      </c>
      <c r="D108" s="66">
        <f>VLOOKUP(B8,year2022to23,257,FALSE)</f>
        <v>53.85</v>
      </c>
      <c r="E108" s="494">
        <f t="shared" ref="E108:E109" si="57">D108/C108</f>
        <v>0.77817919075144504</v>
      </c>
      <c r="F108" s="507">
        <f>(I8-E108)/E108</f>
        <v>0.60556930919435237</v>
      </c>
      <c r="G108" s="498">
        <f>VLOOKUP(B8,year2022to23,257,FALSE)</f>
        <v>53.85</v>
      </c>
      <c r="H108" s="525">
        <f>G108/C8</f>
        <v>0.77998261877172648</v>
      </c>
      <c r="I108" s="516">
        <f>(M8-H108)/H108</f>
        <v>0.6018570102135562</v>
      </c>
      <c r="L108"/>
      <c r="M108" s="434"/>
      <c r="R108"/>
      <c r="T108" s="434"/>
      <c r="Y108"/>
      <c r="AD108" s="7"/>
      <c r="AP108" s="506"/>
    </row>
    <row r="109" spans="1:42" ht="15" hidden="1" customHeight="1" outlineLevel="1" x14ac:dyDescent="0.25">
      <c r="A109" s="433"/>
      <c r="B109" s="73">
        <v>14</v>
      </c>
      <c r="C109" s="909">
        <v>41.6</v>
      </c>
      <c r="D109" s="66">
        <f>VLOOKUP(B9,year2022to23,257,FALSE)</f>
        <v>46.739999999999995</v>
      </c>
      <c r="E109" s="494">
        <f t="shared" si="57"/>
        <v>1.1235576923076922</v>
      </c>
      <c r="F109" s="518">
        <f>(I9-E109)/E109</f>
        <v>0.33247753530166896</v>
      </c>
      <c r="G109" s="498">
        <f>VLOOKUP(B9,year2022to23,257,FALSE)</f>
        <v>46.739999999999995</v>
      </c>
      <c r="H109" s="501">
        <f>G109/C9</f>
        <v>1.1235576923076922</v>
      </c>
      <c r="I109" s="518">
        <f>(M9-H109)/H109</f>
        <v>0.33247753530166896</v>
      </c>
      <c r="L109"/>
      <c r="M109" s="434"/>
      <c r="R109"/>
      <c r="T109" s="434"/>
      <c r="Y109"/>
      <c r="AD109" s="7"/>
      <c r="AP109" s="506"/>
    </row>
    <row r="110" spans="1:42" ht="15.75" hidden="1" customHeight="1" outlineLevel="1" thickBot="1" x14ac:dyDescent="0.3">
      <c r="A110" s="433"/>
      <c r="B110" s="504"/>
      <c r="C110" s="910"/>
      <c r="E110" s="506"/>
      <c r="G110" s="8"/>
      <c r="H110" s="8"/>
      <c r="L110"/>
      <c r="M110" s="434"/>
      <c r="R110"/>
      <c r="T110" s="434"/>
      <c r="Y110"/>
      <c r="AD110" s="7"/>
      <c r="AP110" s="506"/>
    </row>
    <row r="111" spans="1:42" ht="15.75" customHeight="1" collapsed="1" thickBot="1" x14ac:dyDescent="0.3">
      <c r="A111" s="948" t="s">
        <v>64</v>
      </c>
      <c r="B111" s="949"/>
      <c r="C111" s="914">
        <v>385.4</v>
      </c>
      <c r="D111" s="485">
        <f>SUM(D112:D118)</f>
        <v>386.84000000000009</v>
      </c>
      <c r="E111" s="493">
        <f>D111/C11</f>
        <v>1.0084200099058944</v>
      </c>
      <c r="F111" s="519">
        <f t="shared" ref="F111:F118" si="58">(I11-E111)/E111</f>
        <v>0.22632095956984749</v>
      </c>
      <c r="G111" s="520">
        <f>SUM(G112:G118)</f>
        <v>386.84000000000009</v>
      </c>
      <c r="H111" s="503">
        <f>G111/C111</f>
        <v>1.00373637778931</v>
      </c>
      <c r="I111" s="522">
        <f t="shared" ref="I111:I118" si="59">(M11-H111)/H111</f>
        <v>0.23204321529214411</v>
      </c>
      <c r="L111"/>
      <c r="M111" s="434"/>
      <c r="R111"/>
      <c r="T111" s="434"/>
      <c r="Y111"/>
      <c r="AD111" s="7"/>
      <c r="AP111" s="506"/>
    </row>
    <row r="112" spans="1:42" hidden="1" outlineLevel="1" x14ac:dyDescent="0.25">
      <c r="A112" s="474"/>
      <c r="B112" s="459">
        <v>15</v>
      </c>
      <c r="C112" s="747">
        <v>49.3</v>
      </c>
      <c r="D112" s="66">
        <f t="shared" ref="D112:D118" si="60">VLOOKUP(B12,year2022to23,257,FALSE)</f>
        <v>58.17</v>
      </c>
      <c r="E112" s="494">
        <f t="shared" ref="E112:E118" si="61">D112/C112</f>
        <v>1.1799188640973632</v>
      </c>
      <c r="F112" s="517">
        <f t="shared" si="58"/>
        <v>0.10244289344427428</v>
      </c>
      <c r="G112" s="498">
        <f t="shared" ref="G112:G118" si="62">VLOOKUP(B12,year2022to23,257,FALSE)</f>
        <v>58.17</v>
      </c>
      <c r="H112" s="500">
        <f t="shared" ref="H112:H118" si="63">G112/C12</f>
        <v>1.1830384380719952</v>
      </c>
      <c r="I112" s="517">
        <f t="shared" si="59"/>
        <v>9.9535843218153577E-2</v>
      </c>
      <c r="L112"/>
      <c r="M112" s="434"/>
      <c r="R112"/>
      <c r="T112" s="434"/>
      <c r="Y112"/>
      <c r="AD112" s="7"/>
      <c r="AP112" s="506"/>
    </row>
    <row r="113" spans="1:42" hidden="1" outlineLevel="1" x14ac:dyDescent="0.25">
      <c r="A113" s="474"/>
      <c r="B113" s="1">
        <v>16</v>
      </c>
      <c r="C113" s="744">
        <v>53.2</v>
      </c>
      <c r="D113" s="66">
        <f t="shared" si="60"/>
        <v>42.08</v>
      </c>
      <c r="E113" s="494">
        <f t="shared" si="61"/>
        <v>0.79097744360902245</v>
      </c>
      <c r="F113" s="518">
        <f t="shared" si="58"/>
        <v>0.92798828888665685</v>
      </c>
      <c r="G113" s="498">
        <f t="shared" si="62"/>
        <v>42.08</v>
      </c>
      <c r="H113" s="501">
        <f t="shared" si="63"/>
        <v>0.79984793765443829</v>
      </c>
      <c r="I113" s="518">
        <f t="shared" si="59"/>
        <v>0.90660646387832722</v>
      </c>
      <c r="L113"/>
      <c r="M113" s="434"/>
      <c r="R113"/>
      <c r="T113" s="434"/>
      <c r="Y113"/>
      <c r="AD113" s="7"/>
      <c r="AP113" s="506"/>
    </row>
    <row r="114" spans="1:42" hidden="1" outlineLevel="1" x14ac:dyDescent="0.25">
      <c r="A114" s="474"/>
      <c r="B114" s="1">
        <v>17</v>
      </c>
      <c r="C114" s="744">
        <v>45.7</v>
      </c>
      <c r="D114" s="66">
        <f t="shared" si="60"/>
        <v>35.18</v>
      </c>
      <c r="E114" s="494">
        <f t="shared" si="61"/>
        <v>0.76980306345733041</v>
      </c>
      <c r="F114" s="518">
        <f t="shared" si="58"/>
        <v>0.65727951853452971</v>
      </c>
      <c r="G114" s="498">
        <f t="shared" si="62"/>
        <v>35.18</v>
      </c>
      <c r="H114" s="501">
        <f t="shared" si="63"/>
        <v>0.77182974989030284</v>
      </c>
      <c r="I114" s="518">
        <f t="shared" si="59"/>
        <v>0.65292779988629879</v>
      </c>
      <c r="L114"/>
      <c r="M114" s="434"/>
      <c r="R114"/>
      <c r="T114" s="434"/>
      <c r="Y114"/>
      <c r="AD114" s="7"/>
      <c r="AP114" s="506"/>
    </row>
    <row r="115" spans="1:42" hidden="1" outlineLevel="1" x14ac:dyDescent="0.25">
      <c r="A115" s="474"/>
      <c r="B115" s="1">
        <v>19</v>
      </c>
      <c r="C115" s="744">
        <v>50.62</v>
      </c>
      <c r="D115" s="66">
        <f t="shared" si="60"/>
        <v>55.03</v>
      </c>
      <c r="E115" s="494">
        <f t="shared" si="61"/>
        <v>1.0871197155274597</v>
      </c>
      <c r="F115" s="518">
        <f t="shared" si="58"/>
        <v>-0.19502994773242641</v>
      </c>
      <c r="G115" s="498">
        <f t="shared" si="62"/>
        <v>55.03</v>
      </c>
      <c r="H115" s="501">
        <f t="shared" si="63"/>
        <v>1.0875494071146246</v>
      </c>
      <c r="I115" s="518">
        <f t="shared" si="59"/>
        <v>-0.19534799200436134</v>
      </c>
      <c r="L115"/>
      <c r="M115" s="434"/>
      <c r="R115"/>
      <c r="T115" s="434"/>
      <c r="Y115"/>
      <c r="AD115" s="7"/>
      <c r="AP115" s="506"/>
    </row>
    <row r="116" spans="1:42" hidden="1" outlineLevel="1" x14ac:dyDescent="0.25">
      <c r="A116" s="474"/>
      <c r="B116" s="1">
        <v>20</v>
      </c>
      <c r="C116" s="744">
        <v>62.08</v>
      </c>
      <c r="D116" s="66">
        <f t="shared" si="60"/>
        <v>70.12</v>
      </c>
      <c r="E116" s="494">
        <f t="shared" si="61"/>
        <v>1.1295103092783507</v>
      </c>
      <c r="F116" s="518">
        <f t="shared" si="58"/>
        <v>-0.29678509914410323</v>
      </c>
      <c r="G116" s="498">
        <f t="shared" si="62"/>
        <v>70.12</v>
      </c>
      <c r="H116" s="501">
        <f t="shared" si="63"/>
        <v>1.1313326879638594</v>
      </c>
      <c r="I116" s="518">
        <f t="shared" si="59"/>
        <v>-0.29791785510553342</v>
      </c>
      <c r="L116"/>
      <c r="M116" s="434"/>
      <c r="R116"/>
      <c r="T116" s="434"/>
      <c r="Y116"/>
      <c r="AD116" s="7"/>
      <c r="AP116" s="506"/>
    </row>
    <row r="117" spans="1:42" hidden="1" outlineLevel="1" x14ac:dyDescent="0.25">
      <c r="A117" s="474"/>
      <c r="B117" s="1">
        <v>21</v>
      </c>
      <c r="C117" s="744">
        <v>72.2</v>
      </c>
      <c r="D117" s="66">
        <f t="shared" si="60"/>
        <v>95.460000000000008</v>
      </c>
      <c r="E117" s="494">
        <f t="shared" si="61"/>
        <v>1.3221606648199447</v>
      </c>
      <c r="F117" s="518">
        <f t="shared" si="58"/>
        <v>-9.0169106986449175E-3</v>
      </c>
      <c r="G117" s="498">
        <f t="shared" si="62"/>
        <v>95.460000000000008</v>
      </c>
      <c r="H117" s="501">
        <f t="shared" si="63"/>
        <v>1.3334264562089677</v>
      </c>
      <c r="I117" s="518">
        <f t="shared" si="59"/>
        <v>-1.7389482505761573E-2</v>
      </c>
      <c r="L117"/>
      <c r="M117" s="434"/>
      <c r="R117"/>
      <c r="T117" s="434"/>
      <c r="Y117"/>
      <c r="AD117" s="7"/>
      <c r="AP117" s="506"/>
    </row>
    <row r="118" spans="1:42" hidden="1" outlineLevel="1" x14ac:dyDescent="0.25">
      <c r="A118" s="474"/>
      <c r="B118" s="1">
        <v>22</v>
      </c>
      <c r="C118" s="744">
        <v>52.3</v>
      </c>
      <c r="D118" s="66">
        <f t="shared" si="60"/>
        <v>30.8</v>
      </c>
      <c r="E118" s="494">
        <f t="shared" si="61"/>
        <v>0.58891013384321234</v>
      </c>
      <c r="F118" s="518">
        <f t="shared" si="58"/>
        <v>1.762920930835677</v>
      </c>
      <c r="G118" s="498">
        <f t="shared" si="62"/>
        <v>30.8</v>
      </c>
      <c r="H118" s="501">
        <f t="shared" si="63"/>
        <v>0.59139784946236562</v>
      </c>
      <c r="I118" s="518">
        <f t="shared" si="59"/>
        <v>1.7512987012987009</v>
      </c>
      <c r="L118"/>
      <c r="M118" s="434"/>
      <c r="R118"/>
      <c r="T118" s="434"/>
      <c r="Y118"/>
      <c r="AD118" s="7"/>
      <c r="AP118" s="506"/>
    </row>
    <row r="119" spans="1:42" ht="15.75" hidden="1" outlineLevel="1" thickBot="1" x14ac:dyDescent="0.3">
      <c r="A119" s="433"/>
      <c r="B119" s="504"/>
      <c r="C119" s="910"/>
      <c r="E119" s="506"/>
      <c r="G119" s="8"/>
      <c r="H119" s="8"/>
      <c r="L119"/>
      <c r="M119" s="434"/>
      <c r="R119"/>
      <c r="T119" s="434"/>
      <c r="Y119"/>
      <c r="AD119" s="7"/>
      <c r="AP119" s="506"/>
    </row>
    <row r="120" spans="1:42" ht="30" customHeight="1" collapsed="1" thickBot="1" x14ac:dyDescent="0.3">
      <c r="A120" s="941" t="s">
        <v>266</v>
      </c>
      <c r="B120" s="942"/>
      <c r="C120" s="912">
        <v>116.28</v>
      </c>
      <c r="D120" s="485">
        <f>SUM(D121:D123)</f>
        <v>107.25</v>
      </c>
      <c r="E120" s="493">
        <f>D120/C20</f>
        <v>0.86512866015971601</v>
      </c>
      <c r="F120" s="519">
        <f>(I20-E120)/E120</f>
        <v>0.40130536130536126</v>
      </c>
      <c r="G120" s="520">
        <f>SUM(G121:G123)</f>
        <v>107.25</v>
      </c>
      <c r="H120" s="503">
        <f>G120/C120</f>
        <v>0.92234262125902988</v>
      </c>
      <c r="I120" s="522">
        <f>(M20-H120)/H120</f>
        <v>0.3143807970685441</v>
      </c>
      <c r="L120"/>
      <c r="M120" s="434"/>
      <c r="R120"/>
      <c r="T120" s="434"/>
      <c r="Y120"/>
      <c r="AD120" s="7"/>
      <c r="AP120" s="506"/>
    </row>
    <row r="121" spans="1:42" hidden="1" outlineLevel="1" x14ac:dyDescent="0.25">
      <c r="A121" s="433"/>
      <c r="B121" s="481">
        <v>2</v>
      </c>
      <c r="C121" s="908">
        <v>60.4</v>
      </c>
      <c r="D121" s="66">
        <f>VLOOKUP(B21,year2022to23,257,FALSE)</f>
        <v>64.36</v>
      </c>
      <c r="E121" s="494">
        <f t="shared" ref="E121:E123" si="64">D121/C121</f>
        <v>1.0655629139072849</v>
      </c>
      <c r="F121" s="518">
        <f>(I21-E121)/E121</f>
        <v>0.40093321507535495</v>
      </c>
      <c r="G121" s="498">
        <f>VLOOKUP(B21,year2022to23,257,FALSE)</f>
        <v>64.36</v>
      </c>
      <c r="H121" s="501">
        <f>G121/C21</f>
        <v>1.0678612908578065</v>
      </c>
      <c r="I121" s="518">
        <f>(M21-H121)/H121</f>
        <v>0.39791796146674929</v>
      </c>
      <c r="L121"/>
      <c r="M121" s="434"/>
      <c r="R121"/>
      <c r="T121" s="434"/>
      <c r="Y121"/>
      <c r="AD121" s="7"/>
      <c r="AP121" s="506"/>
    </row>
    <row r="122" spans="1:42" hidden="1" outlineLevel="1" x14ac:dyDescent="0.25">
      <c r="A122" s="433"/>
      <c r="B122" s="73">
        <v>11</v>
      </c>
      <c r="C122" s="909">
        <v>44.5</v>
      </c>
      <c r="D122" s="66">
        <f>VLOOKUP(B22,year2022to23,257,FALSE)</f>
        <v>41.08</v>
      </c>
      <c r="E122" s="494">
        <f t="shared" si="64"/>
        <v>0.92314606741573035</v>
      </c>
      <c r="F122" s="518">
        <f>(I22-E122)/E122</f>
        <v>0.231012658227848</v>
      </c>
      <c r="G122" s="498">
        <f>VLOOKUP(B22,year2022to23,257,FALSE)</f>
        <v>41.08</v>
      </c>
      <c r="H122" s="501">
        <f>G122/C22</f>
        <v>0.92314606741573035</v>
      </c>
      <c r="I122" s="518">
        <f>(M22-H122)/H122</f>
        <v>0.231012658227848</v>
      </c>
      <c r="L122"/>
      <c r="M122" s="434"/>
      <c r="R122"/>
      <c r="T122" s="434"/>
      <c r="Y122"/>
      <c r="AD122" s="7"/>
      <c r="AP122" s="506"/>
    </row>
    <row r="123" spans="1:42" hidden="1" outlineLevel="1" x14ac:dyDescent="0.25">
      <c r="A123" s="433"/>
      <c r="B123" s="73">
        <v>29</v>
      </c>
      <c r="C123" s="909">
        <v>11.38</v>
      </c>
      <c r="D123" s="66">
        <f>VLOOKUP(B23,year2022to23,257,FALSE)</f>
        <v>1.81</v>
      </c>
      <c r="E123" s="494">
        <f t="shared" si="64"/>
        <v>0.15905096660808435</v>
      </c>
      <c r="F123" s="518">
        <f>(I23-E123)/E123</f>
        <v>2.1927658839779007</v>
      </c>
      <c r="G123" s="498">
        <f>VLOOKUP(B23,year2022to23,257,FALSE)</f>
        <v>1.81</v>
      </c>
      <c r="H123" s="501">
        <f>G123/C23</f>
        <v>9.4270833333333345E-2</v>
      </c>
      <c r="I123" s="518">
        <f>(M23-H123)/H123</f>
        <v>4.3867403314917119</v>
      </c>
      <c r="L123"/>
      <c r="M123" s="434"/>
      <c r="R123"/>
      <c r="T123" s="434"/>
      <c r="Y123"/>
      <c r="AD123" s="7"/>
      <c r="AP123" s="506"/>
    </row>
    <row r="124" spans="1:42" ht="15.75" hidden="1" outlineLevel="1" thickBot="1" x14ac:dyDescent="0.3">
      <c r="A124" s="433"/>
      <c r="B124" s="504"/>
      <c r="C124" s="910"/>
      <c r="E124" s="506"/>
      <c r="G124" s="8"/>
      <c r="H124" s="8"/>
      <c r="L124"/>
      <c r="M124" s="434"/>
      <c r="R124"/>
      <c r="T124" s="434"/>
      <c r="Y124"/>
      <c r="AD124" s="7"/>
      <c r="AP124" s="506"/>
    </row>
    <row r="125" spans="1:42" ht="15.75" collapsed="1" thickBot="1" x14ac:dyDescent="0.3">
      <c r="A125" s="939" t="s">
        <v>66</v>
      </c>
      <c r="B125" s="940"/>
      <c r="C125" s="911">
        <v>262.5</v>
      </c>
      <c r="D125" s="485">
        <f>SUM(D126:D131)</f>
        <v>293.31000000000006</v>
      </c>
      <c r="E125" s="493">
        <f>D125/C25</f>
        <v>1.1178824605533961</v>
      </c>
      <c r="F125" s="519">
        <f t="shared" ref="F125:F131" si="65">(I25-E125)/E125</f>
        <v>-8.537042719307246E-2</v>
      </c>
      <c r="G125" s="520">
        <f>SUM(G126:G131)</f>
        <v>293.31000000000006</v>
      </c>
      <c r="H125" s="503">
        <f>G125/C125</f>
        <v>1.1173714285714289</v>
      </c>
      <c r="I125" s="522">
        <f t="shared" ref="I125:I131" si="66">(M25-H125)/H125</f>
        <v>-8.4952119590599631E-2</v>
      </c>
      <c r="L125"/>
      <c r="M125" s="434"/>
      <c r="R125"/>
      <c r="T125" s="434"/>
      <c r="Y125"/>
      <c r="AD125" s="7"/>
      <c r="AP125" s="506"/>
    </row>
    <row r="126" spans="1:42" hidden="1" outlineLevel="1" x14ac:dyDescent="0.25">
      <c r="A126" s="474"/>
      <c r="B126" s="459">
        <v>4</v>
      </c>
      <c r="C126" s="747">
        <v>70.599999999999994</v>
      </c>
      <c r="D126" s="66">
        <f t="shared" ref="D126:D131" si="67">VLOOKUP(B26,year2022to23,257,FALSE)</f>
        <v>106.11</v>
      </c>
      <c r="E126" s="494">
        <f t="shared" ref="E126:E131" si="68">D126/C126</f>
        <v>1.5029745042492919</v>
      </c>
      <c r="F126" s="517">
        <f t="shared" si="65"/>
        <v>-0.33087823422978824</v>
      </c>
      <c r="G126" s="498">
        <f t="shared" ref="G126:G131" si="69">VLOOKUP(B26,year2022to23,257,FALSE)</f>
        <v>106.11</v>
      </c>
      <c r="H126" s="500">
        <f t="shared" ref="H126:H131" si="70">G126/C26</f>
        <v>1.5048929229896468</v>
      </c>
      <c r="I126" s="517">
        <f t="shared" si="66"/>
        <v>-0.33173122231646407</v>
      </c>
      <c r="L126"/>
      <c r="M126" s="434"/>
      <c r="R126"/>
      <c r="T126" s="434"/>
      <c r="Y126"/>
      <c r="AD126" s="7"/>
      <c r="AP126" s="506"/>
    </row>
    <row r="127" spans="1:42" hidden="1" outlineLevel="1" x14ac:dyDescent="0.25">
      <c r="A127" s="474"/>
      <c r="B127" s="1">
        <v>5</v>
      </c>
      <c r="C127" s="744">
        <v>50.4</v>
      </c>
      <c r="D127" s="66">
        <f t="shared" si="67"/>
        <v>50.88</v>
      </c>
      <c r="E127" s="494">
        <f t="shared" si="68"/>
        <v>1.0095238095238097</v>
      </c>
      <c r="F127" s="518">
        <f t="shared" si="65"/>
        <v>-0.23565251572327067</v>
      </c>
      <c r="G127" s="498">
        <f t="shared" si="69"/>
        <v>50.88</v>
      </c>
      <c r="H127" s="501">
        <f t="shared" si="70"/>
        <v>1.0095238095238097</v>
      </c>
      <c r="I127" s="518">
        <f t="shared" si="66"/>
        <v>-0.23565251572327067</v>
      </c>
      <c r="L127"/>
      <c r="M127" s="434"/>
      <c r="R127"/>
      <c r="T127" s="434"/>
      <c r="Y127"/>
      <c r="AD127" s="7"/>
      <c r="AP127" s="506"/>
    </row>
    <row r="128" spans="1:42" hidden="1" outlineLevel="1" x14ac:dyDescent="0.25">
      <c r="A128" s="474"/>
      <c r="B128" s="1">
        <v>6</v>
      </c>
      <c r="C128" s="744">
        <v>58.6</v>
      </c>
      <c r="D128" s="66">
        <f t="shared" si="67"/>
        <v>47.81</v>
      </c>
      <c r="E128" s="494">
        <f t="shared" si="68"/>
        <v>0.81587030716723552</v>
      </c>
      <c r="F128" s="518">
        <f t="shared" si="65"/>
        <v>0.17736875130725796</v>
      </c>
      <c r="G128" s="498">
        <f t="shared" si="69"/>
        <v>47.81</v>
      </c>
      <c r="H128" s="501">
        <f t="shared" si="70"/>
        <v>0.81587030716723552</v>
      </c>
      <c r="I128" s="518">
        <f t="shared" si="66"/>
        <v>0.17736875130725796</v>
      </c>
      <c r="L128"/>
      <c r="M128" s="434"/>
      <c r="R128"/>
      <c r="T128" s="434"/>
      <c r="Y128"/>
      <c r="AD128" s="7"/>
      <c r="AP128" s="506"/>
    </row>
    <row r="129" spans="1:42" hidden="1" outlineLevel="1" x14ac:dyDescent="0.25">
      <c r="A129" s="474"/>
      <c r="B129" s="1">
        <v>7</v>
      </c>
      <c r="C129" s="744">
        <v>23.6</v>
      </c>
      <c r="D129" s="66">
        <f t="shared" si="67"/>
        <v>18.989999999999998</v>
      </c>
      <c r="E129" s="494">
        <f t="shared" si="68"/>
        <v>0.80466101694915237</v>
      </c>
      <c r="F129" s="518">
        <f t="shared" si="65"/>
        <v>0.30173775671406022</v>
      </c>
      <c r="G129" s="498">
        <f t="shared" si="69"/>
        <v>18.989999999999998</v>
      </c>
      <c r="H129" s="501">
        <f t="shared" si="70"/>
        <v>0.80466101694915237</v>
      </c>
      <c r="I129" s="518">
        <f t="shared" si="66"/>
        <v>0.30173775671406022</v>
      </c>
      <c r="L129"/>
      <c r="M129" s="434"/>
      <c r="R129"/>
      <c r="T129" s="434"/>
      <c r="Y129"/>
      <c r="AD129" s="7"/>
      <c r="AP129" s="506"/>
    </row>
    <row r="130" spans="1:42" hidden="1" outlineLevel="1" x14ac:dyDescent="0.25">
      <c r="A130" s="474"/>
      <c r="B130" s="1">
        <v>23</v>
      </c>
      <c r="C130" s="744">
        <v>14.6</v>
      </c>
      <c r="D130" s="66">
        <f t="shared" si="67"/>
        <v>15.99</v>
      </c>
      <c r="E130" s="494">
        <f t="shared" si="68"/>
        <v>1.0952054794520549</v>
      </c>
      <c r="F130" s="518">
        <f t="shared" si="65"/>
        <v>0.3233270794246404</v>
      </c>
      <c r="G130" s="498">
        <f t="shared" si="69"/>
        <v>15.99</v>
      </c>
      <c r="H130" s="501">
        <f t="shared" si="70"/>
        <v>1.0952054794520549</v>
      </c>
      <c r="I130" s="518">
        <f t="shared" si="66"/>
        <v>0.3233270794246404</v>
      </c>
      <c r="L130"/>
      <c r="M130" s="434"/>
      <c r="R130"/>
      <c r="T130" s="434"/>
      <c r="Y130"/>
      <c r="AD130" s="7"/>
      <c r="AP130" s="506"/>
    </row>
    <row r="131" spans="1:42" hidden="1" outlineLevel="1" x14ac:dyDescent="0.25">
      <c r="A131" s="474"/>
      <c r="B131" s="1">
        <v>24</v>
      </c>
      <c r="C131" s="744">
        <v>44.7</v>
      </c>
      <c r="D131" s="66">
        <f t="shared" si="67"/>
        <v>53.53</v>
      </c>
      <c r="E131" s="494">
        <f t="shared" si="68"/>
        <v>1.1975391498881431</v>
      </c>
      <c r="F131" s="518">
        <f t="shared" si="65"/>
        <v>5.2453028416746074E-2</v>
      </c>
      <c r="G131" s="498">
        <f t="shared" si="69"/>
        <v>53.53</v>
      </c>
      <c r="H131" s="501">
        <f t="shared" si="70"/>
        <v>1.1983434072084174</v>
      </c>
      <c r="I131" s="518">
        <f t="shared" si="66"/>
        <v>5.1746684102372313E-2</v>
      </c>
      <c r="L131"/>
      <c r="M131" s="434"/>
      <c r="R131"/>
      <c r="T131" s="434"/>
      <c r="Y131"/>
      <c r="AD131" s="7"/>
      <c r="AP131" s="506"/>
    </row>
    <row r="132" spans="1:42" ht="15.75" hidden="1" outlineLevel="1" thickBot="1" x14ac:dyDescent="0.3">
      <c r="A132" s="433"/>
      <c r="B132" s="504"/>
      <c r="C132" s="910"/>
      <c r="E132" s="506"/>
      <c r="G132" s="8"/>
      <c r="H132" s="8"/>
      <c r="L132"/>
      <c r="M132" s="434"/>
      <c r="R132"/>
      <c r="T132" s="434"/>
      <c r="Y132"/>
      <c r="AD132" s="7"/>
      <c r="AP132" s="506"/>
    </row>
    <row r="133" spans="1:42" ht="15.75" collapsed="1" thickBot="1" x14ac:dyDescent="0.3">
      <c r="A133" s="939" t="s">
        <v>67</v>
      </c>
      <c r="B133" s="940"/>
      <c r="C133" s="911">
        <v>291.60000000000002</v>
      </c>
      <c r="D133" s="485">
        <f>SUM(D134:D139)</f>
        <v>270.77</v>
      </c>
      <c r="E133" s="493">
        <f>D133/C33</f>
        <v>0.92856652949245533</v>
      </c>
      <c r="F133" s="519">
        <f t="shared" ref="F133:F139" si="71">(I33-E133)/E133</f>
        <v>0.47010377811426646</v>
      </c>
      <c r="G133" s="520">
        <f>SUM(G134:G139)</f>
        <v>270.77</v>
      </c>
      <c r="H133" s="503">
        <f>G133/C133</f>
        <v>0.92856652949245533</v>
      </c>
      <c r="I133" s="522">
        <f t="shared" ref="I133:I139" si="72">(M33-H133)/H133</f>
        <v>0.47010377811426646</v>
      </c>
      <c r="L133"/>
      <c r="M133" s="434"/>
      <c r="R133"/>
      <c r="T133" s="434"/>
      <c r="Y133"/>
      <c r="AD133" s="7"/>
      <c r="AP133" s="506"/>
    </row>
    <row r="134" spans="1:42" hidden="1" outlineLevel="1" x14ac:dyDescent="0.25">
      <c r="A134" s="474"/>
      <c r="B134" s="459">
        <v>8</v>
      </c>
      <c r="C134" s="747">
        <v>61.6</v>
      </c>
      <c r="D134" s="66">
        <f t="shared" ref="D134:D139" si="73">VLOOKUP(B34,year2022to23,257,FALSE)</f>
        <v>44.66</v>
      </c>
      <c r="E134" s="494">
        <f t="shared" ref="E134:E139" si="74">D134/C134</f>
        <v>0.72499999999999998</v>
      </c>
      <c r="F134" s="517">
        <f t="shared" si="71"/>
        <v>1.0040304523063144</v>
      </c>
      <c r="G134" s="498">
        <f t="shared" ref="G134:G139" si="75">VLOOKUP(B34,year2022to23,257,FALSE)</f>
        <v>44.66</v>
      </c>
      <c r="H134" s="500">
        <f t="shared" ref="H134:H139" si="76">G134/C34</f>
        <v>0.72499999999999998</v>
      </c>
      <c r="I134" s="517">
        <f t="shared" si="72"/>
        <v>1.0040304523063144</v>
      </c>
      <c r="L134"/>
      <c r="M134" s="434"/>
      <c r="R134"/>
      <c r="T134" s="434"/>
      <c r="Y134"/>
      <c r="AD134" s="7"/>
      <c r="AP134" s="506"/>
    </row>
    <row r="135" spans="1:42" hidden="1" outlineLevel="1" x14ac:dyDescent="0.25">
      <c r="A135" s="474"/>
      <c r="B135" s="1">
        <v>9</v>
      </c>
      <c r="C135" s="744">
        <v>38.299999999999997</v>
      </c>
      <c r="D135" s="66">
        <f t="shared" si="73"/>
        <v>19.18</v>
      </c>
      <c r="E135" s="494">
        <f t="shared" si="74"/>
        <v>0.50078328981723241</v>
      </c>
      <c r="F135" s="518">
        <f t="shared" si="71"/>
        <v>1.3978102189781021</v>
      </c>
      <c r="G135" s="498">
        <f t="shared" si="75"/>
        <v>19.18</v>
      </c>
      <c r="H135" s="501">
        <f t="shared" si="76"/>
        <v>0.50078328981723241</v>
      </c>
      <c r="I135" s="518">
        <f t="shared" si="72"/>
        <v>1.3978102189781021</v>
      </c>
      <c r="L135"/>
      <c r="M135" s="434"/>
      <c r="R135"/>
      <c r="T135" s="434"/>
      <c r="Y135"/>
      <c r="AD135" s="7"/>
      <c r="AP135" s="506"/>
    </row>
    <row r="136" spans="1:42" hidden="1" outlineLevel="1" x14ac:dyDescent="0.25">
      <c r="A136" s="474"/>
      <c r="B136" s="1">
        <v>12</v>
      </c>
      <c r="C136" s="744">
        <v>71</v>
      </c>
      <c r="D136" s="66">
        <f t="shared" si="73"/>
        <v>51.83</v>
      </c>
      <c r="E136" s="494">
        <f t="shared" si="74"/>
        <v>0.73</v>
      </c>
      <c r="F136" s="518">
        <f t="shared" si="71"/>
        <v>0.63187343237507232</v>
      </c>
      <c r="G136" s="498">
        <f t="shared" si="75"/>
        <v>51.83</v>
      </c>
      <c r="H136" s="501">
        <f t="shared" si="76"/>
        <v>0.73</v>
      </c>
      <c r="I136" s="518">
        <f t="shared" si="72"/>
        <v>0.63187343237507232</v>
      </c>
      <c r="L136"/>
      <c r="M136" s="434"/>
      <c r="R136"/>
      <c r="T136" s="434"/>
      <c r="Y136"/>
      <c r="AD136" s="7"/>
      <c r="AP136" s="506"/>
    </row>
    <row r="137" spans="1:42" hidden="1" outlineLevel="1" x14ac:dyDescent="0.25">
      <c r="A137" s="474"/>
      <c r="B137" s="1">
        <v>10</v>
      </c>
      <c r="C137" s="744">
        <v>19.100000000000001</v>
      </c>
      <c r="D137" s="66">
        <f t="shared" si="73"/>
        <v>8.8699999999999992</v>
      </c>
      <c r="E137" s="494">
        <f t="shared" si="74"/>
        <v>0.46439790575916223</v>
      </c>
      <c r="F137" s="518">
        <f t="shared" si="71"/>
        <v>2.210822998872604</v>
      </c>
      <c r="G137" s="498">
        <f t="shared" si="75"/>
        <v>8.8699999999999992</v>
      </c>
      <c r="H137" s="501">
        <f t="shared" si="76"/>
        <v>0.46439790575916223</v>
      </c>
      <c r="I137" s="518">
        <f t="shared" si="72"/>
        <v>2.210822998872604</v>
      </c>
      <c r="L137"/>
      <c r="M137" s="434"/>
      <c r="R137"/>
      <c r="T137" s="434"/>
      <c r="Y137"/>
      <c r="AD137" s="7"/>
      <c r="AP137" s="506"/>
    </row>
    <row r="138" spans="1:42" hidden="1" outlineLevel="1" x14ac:dyDescent="0.25">
      <c r="A138" s="474"/>
      <c r="B138" s="1">
        <v>13</v>
      </c>
      <c r="C138" s="744">
        <v>60.8</v>
      </c>
      <c r="D138" s="66">
        <f t="shared" si="73"/>
        <v>91.4</v>
      </c>
      <c r="E138" s="494">
        <f t="shared" si="74"/>
        <v>1.5032894736842106</v>
      </c>
      <c r="F138" s="518">
        <f t="shared" si="71"/>
        <v>-2.4398249452954237E-2</v>
      </c>
      <c r="G138" s="498">
        <f t="shared" si="75"/>
        <v>91.4</v>
      </c>
      <c r="H138" s="501">
        <f t="shared" si="76"/>
        <v>1.5032894736842106</v>
      </c>
      <c r="I138" s="518">
        <f t="shared" si="72"/>
        <v>-2.4398249452954237E-2</v>
      </c>
      <c r="L138"/>
      <c r="M138" s="434"/>
      <c r="R138"/>
      <c r="T138" s="434"/>
      <c r="Y138"/>
      <c r="AD138" s="7"/>
      <c r="AP138" s="506"/>
    </row>
    <row r="139" spans="1:42" ht="15.75" hidden="1" customHeight="1" outlineLevel="1" x14ac:dyDescent="0.25">
      <c r="A139" s="474"/>
      <c r="B139" s="1">
        <v>18</v>
      </c>
      <c r="C139" s="744">
        <v>40.799999999999997</v>
      </c>
      <c r="D139" s="66">
        <f t="shared" si="73"/>
        <v>54.83</v>
      </c>
      <c r="E139" s="494">
        <f t="shared" si="74"/>
        <v>1.343872549019608</v>
      </c>
      <c r="F139" s="518">
        <f t="shared" si="71"/>
        <v>0.1004924311508298</v>
      </c>
      <c r="G139" s="498">
        <f t="shared" si="75"/>
        <v>54.83</v>
      </c>
      <c r="H139" s="501">
        <f t="shared" si="76"/>
        <v>1.343872549019608</v>
      </c>
      <c r="I139" s="518">
        <f t="shared" si="72"/>
        <v>0.1004924311508298</v>
      </c>
      <c r="L139"/>
      <c r="M139" s="434"/>
      <c r="R139"/>
      <c r="T139" s="434"/>
      <c r="Y139"/>
      <c r="AD139" s="7"/>
      <c r="AP139" s="506"/>
    </row>
    <row r="140" spans="1:42" ht="15.75" hidden="1" customHeight="1" outlineLevel="1" thickBot="1" x14ac:dyDescent="0.3">
      <c r="A140" s="433"/>
      <c r="B140" s="504"/>
      <c r="C140" s="910"/>
      <c r="E140" s="506"/>
      <c r="G140" s="8"/>
      <c r="H140" s="8"/>
      <c r="L140"/>
      <c r="M140" s="434"/>
      <c r="R140"/>
      <c r="T140" s="434"/>
      <c r="Y140"/>
      <c r="AD140" s="7"/>
      <c r="AP140" s="506"/>
    </row>
    <row r="141" spans="1:42" ht="15.75" collapsed="1" thickBot="1" x14ac:dyDescent="0.3">
      <c r="A141" s="939" t="s">
        <v>68</v>
      </c>
      <c r="B141" s="940"/>
      <c r="C141" s="911">
        <v>196.73</v>
      </c>
      <c r="D141" s="485">
        <f>SUM(D142:D149)</f>
        <v>139.37</v>
      </c>
      <c r="E141" s="493">
        <f>D141/C41</f>
        <v>0.74014869888475843</v>
      </c>
      <c r="F141" s="519">
        <f t="shared" ref="F141:F149" si="77">(I41-E141)/E141</f>
        <v>0.18052665566477721</v>
      </c>
      <c r="G141" s="520">
        <f>SUM(G142:G149)</f>
        <v>139.37</v>
      </c>
      <c r="H141" s="503">
        <f>G141/C141</f>
        <v>0.7084328775479084</v>
      </c>
      <c r="I141" s="522">
        <f t="shared" ref="I141:I149" si="78">(M41-H141)/H141</f>
        <v>0.23337763658487312</v>
      </c>
      <c r="L141"/>
      <c r="M141" s="434"/>
      <c r="R141"/>
      <c r="T141" s="434"/>
      <c r="Y141"/>
      <c r="AD141" s="7"/>
      <c r="AP141" s="506"/>
    </row>
    <row r="142" spans="1:42" hidden="1" outlineLevel="1" x14ac:dyDescent="0.25">
      <c r="A142" s="474"/>
      <c r="B142" s="459">
        <v>25</v>
      </c>
      <c r="C142" s="747">
        <v>38.22</v>
      </c>
      <c r="D142" s="66">
        <f t="shared" ref="D142:D149" si="79">VLOOKUP(B42,year2022to23,257,FALSE)</f>
        <v>18.25</v>
      </c>
      <c r="E142" s="494">
        <f t="shared" ref="E142:E149" si="80">D142/C142</f>
        <v>0.47749869178440607</v>
      </c>
      <c r="F142" s="517">
        <f t="shared" si="77"/>
        <v>0.24284214301082976</v>
      </c>
      <c r="G142" s="498">
        <f t="shared" ref="G142:G149" si="81">VLOOKUP(B42,year2022to23,257,FALSE)</f>
        <v>18.25</v>
      </c>
      <c r="H142" s="500">
        <f t="shared" ref="H142:H149" si="82">G142/C42</f>
        <v>0.47774869109947643</v>
      </c>
      <c r="I142" s="517">
        <f t="shared" si="78"/>
        <v>0.24219178082191781</v>
      </c>
      <c r="L142"/>
      <c r="M142" s="434"/>
      <c r="R142"/>
      <c r="T142" s="434"/>
      <c r="Y142"/>
      <c r="AD142" s="7"/>
      <c r="AP142" s="506"/>
    </row>
    <row r="143" spans="1:42" hidden="1" outlineLevel="1" x14ac:dyDescent="0.25">
      <c r="A143" s="474"/>
      <c r="B143" s="1" t="s">
        <v>44</v>
      </c>
      <c r="C143" s="744">
        <v>22.72</v>
      </c>
      <c r="D143" s="66">
        <f t="shared" si="79"/>
        <v>18.600000000000001</v>
      </c>
      <c r="E143" s="494">
        <f t="shared" si="80"/>
        <v>0.81866197183098599</v>
      </c>
      <c r="F143" s="518">
        <f t="shared" si="77"/>
        <v>0.34957510302685796</v>
      </c>
      <c r="G143" s="498">
        <f t="shared" si="81"/>
        <v>18.600000000000001</v>
      </c>
      <c r="H143" s="501">
        <f t="shared" si="82"/>
        <v>0.81938325991189431</v>
      </c>
      <c r="I143" s="518">
        <f t="shared" si="78"/>
        <v>0.34838709677419355</v>
      </c>
      <c r="L143"/>
      <c r="M143" s="434"/>
      <c r="R143"/>
      <c r="T143" s="434"/>
      <c r="Y143"/>
      <c r="AD143" s="7"/>
      <c r="AP143" s="506"/>
    </row>
    <row r="144" spans="1:42" hidden="1" outlineLevel="1" x14ac:dyDescent="0.25">
      <c r="A144" s="474"/>
      <c r="B144" s="1">
        <v>27</v>
      </c>
      <c r="C144" s="744">
        <v>18.64</v>
      </c>
      <c r="D144" s="66">
        <f t="shared" si="79"/>
        <v>2.98</v>
      </c>
      <c r="E144" s="494">
        <f t="shared" si="80"/>
        <v>0.15987124463519312</v>
      </c>
      <c r="F144" s="518">
        <f t="shared" si="77"/>
        <v>6.457924625709861</v>
      </c>
      <c r="G144" s="498">
        <f t="shared" si="81"/>
        <v>2.98</v>
      </c>
      <c r="H144" s="501">
        <f t="shared" si="82"/>
        <v>0.20839160839160839</v>
      </c>
      <c r="I144" s="518">
        <f t="shared" si="78"/>
        <v>4.7214765100671139</v>
      </c>
      <c r="L144"/>
      <c r="M144" s="434"/>
      <c r="R144"/>
      <c r="T144" s="434"/>
      <c r="Y144"/>
      <c r="AD144" s="7"/>
      <c r="AP144" s="506"/>
    </row>
    <row r="145" spans="1:42" hidden="1" outlineLevel="1" x14ac:dyDescent="0.25">
      <c r="A145" s="474"/>
      <c r="B145" s="1">
        <v>28</v>
      </c>
      <c r="C145" s="744">
        <v>25.5</v>
      </c>
      <c r="D145" s="66">
        <f t="shared" si="79"/>
        <v>26.79</v>
      </c>
      <c r="E145" s="494">
        <f t="shared" si="80"/>
        <v>1.0505882352941176</v>
      </c>
      <c r="F145" s="518">
        <f t="shared" si="77"/>
        <v>0.27217270807447075</v>
      </c>
      <c r="G145" s="498">
        <f t="shared" si="81"/>
        <v>26.79</v>
      </c>
      <c r="H145" s="501">
        <f t="shared" si="82"/>
        <v>1.2232876712328768</v>
      </c>
      <c r="I145" s="518">
        <f t="shared" si="78"/>
        <v>9.2571855169839401E-2</v>
      </c>
      <c r="L145"/>
      <c r="M145" s="434"/>
      <c r="R145"/>
      <c r="T145" s="434"/>
      <c r="Y145"/>
      <c r="AD145" s="7"/>
      <c r="AP145" s="506"/>
    </row>
    <row r="146" spans="1:42" hidden="1" outlineLevel="1" x14ac:dyDescent="0.25">
      <c r="A146" s="474"/>
      <c r="B146" s="1">
        <v>30</v>
      </c>
      <c r="C146" s="744">
        <v>24.35</v>
      </c>
      <c r="D146" s="66">
        <f t="shared" si="79"/>
        <v>21.18</v>
      </c>
      <c r="E146" s="494">
        <f t="shared" si="80"/>
        <v>0.86981519507186855</v>
      </c>
      <c r="F146" s="518">
        <f t="shared" si="77"/>
        <v>-8.824032300057719E-3</v>
      </c>
      <c r="G146" s="498">
        <f t="shared" si="81"/>
        <v>21.18</v>
      </c>
      <c r="H146" s="501">
        <f t="shared" si="82"/>
        <v>0.8716049382716049</v>
      </c>
      <c r="I146" s="518">
        <f t="shared" si="78"/>
        <v>-1.0859301227572993E-2</v>
      </c>
      <c r="L146"/>
      <c r="M146" s="434"/>
      <c r="R146"/>
      <c r="T146" s="434"/>
      <c r="Y146"/>
      <c r="AD146" s="7"/>
      <c r="AP146" s="506"/>
    </row>
    <row r="147" spans="1:42" hidden="1" outlineLevel="1" x14ac:dyDescent="0.25">
      <c r="A147" s="474"/>
      <c r="B147" s="1">
        <v>31</v>
      </c>
      <c r="C147" s="744">
        <v>34.08</v>
      </c>
      <c r="D147" s="66">
        <f t="shared" si="79"/>
        <v>17.89</v>
      </c>
      <c r="E147" s="494">
        <f t="shared" si="80"/>
        <v>0.52494131455399062</v>
      </c>
      <c r="F147" s="518">
        <f t="shared" si="77"/>
        <v>0.1771623976588958</v>
      </c>
      <c r="G147" s="498">
        <f t="shared" si="81"/>
        <v>17.89</v>
      </c>
      <c r="H147" s="501">
        <f t="shared" si="82"/>
        <v>0.52617647058823536</v>
      </c>
      <c r="I147" s="518">
        <f t="shared" si="78"/>
        <v>0.1743991056456119</v>
      </c>
      <c r="L147"/>
      <c r="M147" s="434"/>
      <c r="R147"/>
      <c r="T147" s="434"/>
      <c r="Y147"/>
      <c r="AD147" s="7"/>
      <c r="AP147" s="506"/>
    </row>
    <row r="148" spans="1:42" hidden="1" outlineLevel="1" x14ac:dyDescent="0.25">
      <c r="A148" s="474"/>
      <c r="B148" s="1">
        <v>33</v>
      </c>
      <c r="C148" s="744">
        <v>28.72</v>
      </c>
      <c r="D148" s="66">
        <f t="shared" si="79"/>
        <v>31.42</v>
      </c>
      <c r="E148" s="494">
        <f t="shared" si="80"/>
        <v>1.0940111420612815</v>
      </c>
      <c r="F148" s="518">
        <f t="shared" si="77"/>
        <v>-0.17701741960355388</v>
      </c>
      <c r="G148" s="498">
        <f t="shared" si="81"/>
        <v>31.42</v>
      </c>
      <c r="H148" s="501">
        <f t="shared" si="82"/>
        <v>1.1063380281690143</v>
      </c>
      <c r="I148" s="518">
        <f t="shared" si="78"/>
        <v>-0.18618714194780403</v>
      </c>
      <c r="L148"/>
      <c r="M148" s="434"/>
      <c r="R148"/>
      <c r="T148" s="434"/>
      <c r="Y148"/>
      <c r="AD148" s="7"/>
      <c r="AP148" s="506"/>
    </row>
    <row r="149" spans="1:42" hidden="1" outlineLevel="1" x14ac:dyDescent="0.25">
      <c r="A149" s="474"/>
      <c r="B149" s="1">
        <v>39</v>
      </c>
      <c r="C149" s="744">
        <v>4.5</v>
      </c>
      <c r="D149" s="66">
        <f t="shared" si="79"/>
        <v>2.2599999999999998</v>
      </c>
      <c r="E149" s="494">
        <f t="shared" si="80"/>
        <v>0.50222222222222213</v>
      </c>
      <c r="F149" s="518">
        <f t="shared" si="77"/>
        <v>0.29646017699115085</v>
      </c>
      <c r="G149" s="498">
        <f t="shared" si="81"/>
        <v>2.2599999999999998</v>
      </c>
      <c r="H149" s="501">
        <f t="shared" si="82"/>
        <v>0.50222222222222213</v>
      </c>
      <c r="I149" s="518">
        <f t="shared" si="78"/>
        <v>0.29646017699115085</v>
      </c>
      <c r="L149"/>
      <c r="M149" s="434"/>
      <c r="R149"/>
      <c r="T149" s="434"/>
      <c r="Y149"/>
      <c r="AD149" s="7"/>
      <c r="AP149" s="506"/>
    </row>
    <row r="150" spans="1:42" ht="15.75" hidden="1" outlineLevel="1" thickBot="1" x14ac:dyDescent="0.3">
      <c r="A150" s="433"/>
      <c r="B150" s="504"/>
      <c r="C150" s="910"/>
      <c r="E150" s="506"/>
      <c r="G150" s="8"/>
      <c r="H150" s="8"/>
      <c r="L150"/>
      <c r="M150" s="434"/>
      <c r="R150"/>
      <c r="T150" s="434"/>
      <c r="Y150"/>
      <c r="AD150" s="7"/>
      <c r="AP150" s="506"/>
    </row>
    <row r="151" spans="1:42" ht="15.75" collapsed="1" thickBot="1" x14ac:dyDescent="0.3">
      <c r="A151" s="939" t="s">
        <v>8</v>
      </c>
      <c r="B151" s="940"/>
      <c r="C151" s="911">
        <v>1416.51</v>
      </c>
      <c r="D151" s="485">
        <f>D106+D111+D120+D125+D133+D141</f>
        <v>1367.5500000000002</v>
      </c>
      <c r="E151" s="523">
        <f>D151/C151</f>
        <v>0.96543617764788114</v>
      </c>
      <c r="F151" s="519">
        <f>(I51-E151)/E151</f>
        <v>0.22248273837267446</v>
      </c>
      <c r="G151" s="520">
        <f>G106+G111+G120+G125+G133+G141</f>
        <v>1367.5500000000002</v>
      </c>
      <c r="H151" s="521">
        <f>G151/C151</f>
        <v>0.96543617764788114</v>
      </c>
      <c r="I151" s="522">
        <f>(M51-H151)/H151</f>
        <v>0.22248273837267446</v>
      </c>
      <c r="L151"/>
      <c r="M151" s="434"/>
      <c r="R151"/>
      <c r="T151" s="434"/>
      <c r="Y151"/>
      <c r="AD151" s="7"/>
      <c r="AP151" s="506"/>
    </row>
    <row r="152" spans="1:42" x14ac:dyDescent="0.25">
      <c r="L152"/>
      <c r="M152" s="434"/>
      <c r="R152"/>
      <c r="T152" s="434"/>
      <c r="Y152"/>
      <c r="AD152" s="7"/>
      <c r="AP152" s="506"/>
    </row>
  </sheetData>
  <mergeCells count="31">
    <mergeCell ref="A151:B151"/>
    <mergeCell ref="A106:B106"/>
    <mergeCell ref="A111:B111"/>
    <mergeCell ref="A120:B120"/>
    <mergeCell ref="A125:B125"/>
    <mergeCell ref="A133:B133"/>
    <mergeCell ref="A141:B141"/>
    <mergeCell ref="AD5:AO5"/>
    <mergeCell ref="A6:B6"/>
    <mergeCell ref="A11:B11"/>
    <mergeCell ref="A20:B20"/>
    <mergeCell ref="A55:B55"/>
    <mergeCell ref="A25:B25"/>
    <mergeCell ref="A33:B33"/>
    <mergeCell ref="A41:B41"/>
    <mergeCell ref="A51:B51"/>
    <mergeCell ref="A105:B105"/>
    <mergeCell ref="D3:N3"/>
    <mergeCell ref="D4:G4"/>
    <mergeCell ref="H4:H5"/>
    <mergeCell ref="I4:J4"/>
    <mergeCell ref="K4:L4"/>
    <mergeCell ref="M4:N4"/>
    <mergeCell ref="A5:B5"/>
    <mergeCell ref="A56:B56"/>
    <mergeCell ref="A61:B61"/>
    <mergeCell ref="A70:B70"/>
    <mergeCell ref="A75:B75"/>
    <mergeCell ref="A83:B83"/>
    <mergeCell ref="A91:B91"/>
    <mergeCell ref="A101:B101"/>
  </mergeCells>
  <conditionalFormatting sqref="F56:F104 I56:I104 F106:F151 I106:I151">
    <cfRule type="cellIs" dxfId="24" priority="1" operator="lessThan">
      <formula>0</formula>
    </cfRule>
    <cfRule type="cellIs" dxfId="23" priority="2" operator="greaterThan">
      <formula>0</formula>
    </cfRule>
  </conditionalFormatting>
  <conditionalFormatting sqref="G6:G51">
    <cfRule type="expression" dxfId="22" priority="7">
      <formula>G6&gt;H6</formula>
    </cfRule>
    <cfRule type="expression" dxfId="21" priority="8">
      <formula>G6&lt;H6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FADE-53B4-4BE5-BF1C-4096554A8F32}">
  <dimension ref="A1:H105"/>
  <sheetViews>
    <sheetView view="pageBreakPreview" zoomScaleNormal="100" zoomScaleSheetLayoutView="100" workbookViewId="0">
      <selection activeCell="AW24" sqref="AW24"/>
    </sheetView>
  </sheetViews>
  <sheetFormatPr defaultRowHeight="15" x14ac:dyDescent="0.25"/>
  <sheetData>
    <row r="1" spans="1:7" s="5" customFormat="1" x14ac:dyDescent="0.25">
      <c r="A1" s="5" t="str">
        <f>'HARVESTING ROUND'!A1</f>
        <v>HARVESTER PERFORMANCE CHART FOR THE MONTH OF JAN 2026 (1ST - 31ST)</v>
      </c>
    </row>
    <row r="2" spans="1:7" x14ac:dyDescent="0.25">
      <c r="A2" t="s">
        <v>11</v>
      </c>
    </row>
    <row r="3" spans="1:7" ht="3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1" t="s">
        <v>8</v>
      </c>
      <c r="B4" s="66">
        <f>'OVERALL BY GANG'!B10</f>
        <v>1413.59</v>
      </c>
      <c r="C4" s="532">
        <f>'OVERALL BY GANG'!C10</f>
        <v>1481.5800000000002</v>
      </c>
      <c r="D4" s="1">
        <f>'HARVESTING ROUND'!F36</f>
        <v>962.07999999999981</v>
      </c>
      <c r="E4" s="1">
        <f>'HARVESTING ROUND'!G36</f>
        <v>569.57000000000005</v>
      </c>
      <c r="F4" s="1">
        <f>'HARVESTING ROUND'!H36</f>
        <v>136.71</v>
      </c>
      <c r="G4" s="1">
        <f>SUM(D4:F4)</f>
        <v>1668.36</v>
      </c>
    </row>
    <row r="55" spans="5:8" ht="75" x14ac:dyDescent="0.25">
      <c r="E55" s="526" t="s">
        <v>167</v>
      </c>
      <c r="H55" t="s">
        <v>168</v>
      </c>
    </row>
    <row r="105" spans="5:8" ht="75" x14ac:dyDescent="0.25">
      <c r="E105" s="526" t="s">
        <v>169</v>
      </c>
      <c r="H105" s="526" t="s">
        <v>170</v>
      </c>
    </row>
  </sheetData>
  <conditionalFormatting sqref="G4">
    <cfRule type="expression" dxfId="26" priority="1">
      <formula>G4&gt;C4</formula>
    </cfRule>
    <cfRule type="expression" dxfId="25" priority="2">
      <formula>G4&lt;C4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3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9868-EFB3-4608-A7C4-9071E09ABA2B}">
  <dimension ref="A1:O105"/>
  <sheetViews>
    <sheetView tabSelected="1" view="pageBreakPreview" zoomScaleNormal="100" zoomScaleSheetLayoutView="100" workbookViewId="0">
      <selection activeCell="Q21" sqref="Q21"/>
    </sheetView>
  </sheetViews>
  <sheetFormatPr defaultRowHeight="15" x14ac:dyDescent="0.25"/>
  <cols>
    <col min="1" max="1" width="14.85546875" customWidth="1"/>
    <col min="8" max="8" width="1" customWidth="1"/>
    <col min="9" max="10" width="10.85546875" customWidth="1"/>
    <col min="12" max="12" width="9.140625" style="8"/>
    <col min="15" max="15" width="10.7109375" customWidth="1"/>
  </cols>
  <sheetData>
    <row r="1" spans="1:15" s="5" customFormat="1" x14ac:dyDescent="0.25">
      <c r="A1" s="5" t="str">
        <f>'HARVESTING ROUND'!A1</f>
        <v>HARVESTER PERFORMANCE CHART FOR THE MONTH OF JAN 2026 (1ST - 31ST)</v>
      </c>
      <c r="L1" s="168"/>
    </row>
    <row r="2" spans="1:15" ht="15.75" thickBot="1" x14ac:dyDescent="0.3">
      <c r="A2" t="s">
        <v>73</v>
      </c>
    </row>
    <row r="3" spans="1:15" ht="45" x14ac:dyDescent="0.25">
      <c r="A3" s="2" t="s">
        <v>74</v>
      </c>
      <c r="B3" s="2" t="s">
        <v>75</v>
      </c>
      <c r="C3" s="2" t="s">
        <v>260</v>
      </c>
      <c r="D3" s="2" t="s">
        <v>3</v>
      </c>
      <c r="E3" s="2" t="s">
        <v>4</v>
      </c>
      <c r="F3" s="2" t="s">
        <v>5</v>
      </c>
      <c r="G3" s="2" t="s">
        <v>6</v>
      </c>
      <c r="H3" s="181"/>
      <c r="I3" s="173" t="s">
        <v>104</v>
      </c>
      <c r="J3" s="174" t="s">
        <v>105</v>
      </c>
      <c r="K3" s="174" t="s">
        <v>98</v>
      </c>
      <c r="L3" s="175" t="s">
        <v>101</v>
      </c>
      <c r="M3" s="175" t="s">
        <v>102</v>
      </c>
      <c r="N3" s="175" t="s">
        <v>103</v>
      </c>
      <c r="O3" s="176" t="s">
        <v>106</v>
      </c>
    </row>
    <row r="4" spans="1:15" ht="26.25" x14ac:dyDescent="0.25">
      <c r="A4" s="73" t="s">
        <v>196</v>
      </c>
      <c r="B4" s="71">
        <f>'YUVENTUS UN GANG'!B10</f>
        <v>163.73000000000002</v>
      </c>
      <c r="C4" s="71">
        <f>'YUVENTUS UN GANG'!C10</f>
        <v>190.06</v>
      </c>
      <c r="D4" s="71">
        <f>'YUVENTUS UN GANG'!D10</f>
        <v>146.76000000000002</v>
      </c>
      <c r="E4" s="71">
        <f>'YUVENTUS UN GANG'!E10</f>
        <v>63.45</v>
      </c>
      <c r="F4" s="71">
        <f>'YUVENTUS UN GANG'!F10</f>
        <v>2.61</v>
      </c>
      <c r="G4" s="1">
        <f t="shared" ref="G4:G9" si="0">SUM(D4:F4)</f>
        <v>212.82000000000005</v>
      </c>
      <c r="H4" s="182"/>
      <c r="I4" s="177">
        <f>'YUVENTUS UN GANG'!$D$3</f>
        <v>10</v>
      </c>
      <c r="J4" s="172">
        <f>'YUVENTUS UN GANG'!$D$4</f>
        <v>0</v>
      </c>
      <c r="K4" s="12">
        <f>'YUVENTUS UN GANG'!I10</f>
        <v>229</v>
      </c>
      <c r="L4" s="12">
        <f t="shared" ref="L4:L10" si="1">G4/K4</f>
        <v>0.92934497816593908</v>
      </c>
      <c r="M4" s="12">
        <f>'YUVENTUS UN GANG'!$J$17</f>
        <v>16.373000000000001</v>
      </c>
      <c r="N4" s="12">
        <f>'YUVENTUS UN GANG'!$J$13</f>
        <v>21.282000000000004</v>
      </c>
      <c r="O4" s="178" t="str">
        <f>'YUVENTUS UN GANG'!J21</f>
        <v>1:1.3</v>
      </c>
    </row>
    <row r="5" spans="1:15" x14ac:dyDescent="0.25">
      <c r="A5" s="73" t="s">
        <v>64</v>
      </c>
      <c r="B5" s="71">
        <f>'DARSO GANG'!B14</f>
        <v>383.60999999999996</v>
      </c>
      <c r="C5" s="71">
        <f>'DARSO GANG'!C14</f>
        <v>466.2</v>
      </c>
      <c r="D5" s="71">
        <f>'DARSO GANG'!D14</f>
        <v>219.51</v>
      </c>
      <c r="E5" s="71">
        <f>'DARSO GANG'!E14</f>
        <v>135.79999999999998</v>
      </c>
      <c r="F5" s="71">
        <f>'DARSO GANG'!F14</f>
        <v>119.07999999999998</v>
      </c>
      <c r="G5" s="1">
        <f t="shared" si="0"/>
        <v>474.38999999999993</v>
      </c>
      <c r="H5" s="182"/>
      <c r="I5" s="177">
        <f>'DARSO GANG'!D3</f>
        <v>17</v>
      </c>
      <c r="J5" s="172">
        <f>'DARSO GANG'!D4</f>
        <v>0</v>
      </c>
      <c r="K5" s="12">
        <f>'DARSO GANG'!I14</f>
        <v>371</v>
      </c>
      <c r="L5" s="12">
        <f t="shared" si="1"/>
        <v>1.2786792452830187</v>
      </c>
      <c r="M5" s="12">
        <f>'DARSO GANG'!J21</f>
        <v>22.565294117647056</v>
      </c>
      <c r="N5" s="12">
        <f>'DARSO GANG'!J17</f>
        <v>27.90529411764706</v>
      </c>
      <c r="O5" s="178" t="str">
        <f>'DARSO GANG'!J25</f>
        <v>1:1.24</v>
      </c>
    </row>
    <row r="6" spans="1:15" ht="26.25" x14ac:dyDescent="0.25">
      <c r="A6" s="739" t="s">
        <v>199</v>
      </c>
      <c r="B6" s="71">
        <f>'YUDI GANG'!B10</f>
        <v>123.97000000000001</v>
      </c>
      <c r="C6" s="71">
        <f>'YUDI GANG'!C10</f>
        <v>119.86</v>
      </c>
      <c r="D6" s="71">
        <f>'YUDI GANG'!D10</f>
        <v>44.260000000000005</v>
      </c>
      <c r="E6" s="71">
        <f>'YUDI GANG'!E10</f>
        <v>106.02999999999999</v>
      </c>
      <c r="F6" s="71">
        <f>'YUDI GANG'!F10</f>
        <v>0</v>
      </c>
      <c r="G6" s="1">
        <f t="shared" si="0"/>
        <v>150.29</v>
      </c>
      <c r="H6" s="182"/>
      <c r="I6" s="177">
        <f>'YUDI GANG'!D3</f>
        <v>7</v>
      </c>
      <c r="J6" s="172">
        <f>'YUDI GANG'!D4</f>
        <v>0</v>
      </c>
      <c r="K6" s="12">
        <f>'YUDI GANG'!I10</f>
        <v>183</v>
      </c>
      <c r="L6" s="12">
        <f t="shared" si="1"/>
        <v>0.82125683060109289</v>
      </c>
      <c r="M6" s="12">
        <f>'YUDI GANG'!J17</f>
        <v>17.71</v>
      </c>
      <c r="N6" s="12">
        <f>'YUDI GANG'!J13</f>
        <v>21.47</v>
      </c>
      <c r="O6" s="178" t="str">
        <f>'YUDI GANG'!J21</f>
        <v>1:1.21</v>
      </c>
    </row>
    <row r="7" spans="1:15" ht="51.75" x14ac:dyDescent="0.25">
      <c r="A7" s="739" t="s">
        <v>198</v>
      </c>
      <c r="B7" s="71">
        <f>'SOFIO GANG'!B13</f>
        <v>262.38</v>
      </c>
      <c r="C7" s="71">
        <f>'SOFIO GANG'!C13</f>
        <v>291.64</v>
      </c>
      <c r="D7" s="71">
        <f>'SOFIO GANG'!D13</f>
        <v>197.07999999999998</v>
      </c>
      <c r="E7" s="71">
        <f>'SOFIO GANG'!E13</f>
        <v>68.679999999999993</v>
      </c>
      <c r="F7" s="71">
        <f>'SOFIO GANG'!F13</f>
        <v>2.5099999999999998</v>
      </c>
      <c r="G7" s="1">
        <f t="shared" si="0"/>
        <v>268.27</v>
      </c>
      <c r="H7" s="182"/>
      <c r="I7" s="177">
        <f>'SOFIO GANG'!D3</f>
        <v>12</v>
      </c>
      <c r="J7" s="172">
        <f>'SOFIO GANG'!D4</f>
        <v>0</v>
      </c>
      <c r="K7" s="12">
        <f>'SOFIO GANG'!I13</f>
        <v>267</v>
      </c>
      <c r="L7" s="12">
        <f t="shared" si="1"/>
        <v>1.004756554307116</v>
      </c>
      <c r="M7" s="12">
        <f>'SOFIO GANG'!J20</f>
        <v>21.864999999999998</v>
      </c>
      <c r="N7" s="12">
        <f>'SOFIO GANG'!J16</f>
        <v>22.355833333333333</v>
      </c>
      <c r="O7" s="178" t="str">
        <f>'SOFIO GANG'!J24</f>
        <v>1:1.02</v>
      </c>
    </row>
    <row r="8" spans="1:15" x14ac:dyDescent="0.25">
      <c r="A8" s="73" t="s">
        <v>67</v>
      </c>
      <c r="B8" s="71">
        <f>'NU AZANI GANG'!B13</f>
        <v>291.60000000000002</v>
      </c>
      <c r="C8" s="71">
        <f>'NU AZANI GANG'!C13</f>
        <v>339.92</v>
      </c>
      <c r="D8" s="71">
        <f>'NU AZANI GANG'!D13</f>
        <v>254.44999999999996</v>
      </c>
      <c r="E8" s="71">
        <f>'NU AZANI GANG'!E13</f>
        <v>134.25</v>
      </c>
      <c r="F8" s="71">
        <f>'NU AZANI GANG'!F13</f>
        <v>9.36</v>
      </c>
      <c r="G8" s="1">
        <f t="shared" si="0"/>
        <v>398.05999999999995</v>
      </c>
      <c r="H8" s="182"/>
      <c r="I8" s="177">
        <f>'NU AZANI GANG'!D3</f>
        <v>10</v>
      </c>
      <c r="J8" s="172">
        <f>'NU AZANI GANG'!D4</f>
        <v>0</v>
      </c>
      <c r="K8" s="12">
        <f>'NU AZANI GANG'!I13</f>
        <v>249</v>
      </c>
      <c r="L8" s="12">
        <f t="shared" si="1"/>
        <v>1.5986345381526101</v>
      </c>
      <c r="M8" s="12">
        <f>'NU AZANI GANG'!J20</f>
        <v>29.160000000000004</v>
      </c>
      <c r="N8" s="12">
        <f>'NU AZANI GANG'!J16</f>
        <v>39.805999999999997</v>
      </c>
      <c r="O8" s="178" t="str">
        <f>'NU AZANI GANG'!J24</f>
        <v>1:1.37</v>
      </c>
    </row>
    <row r="9" spans="1:15" ht="26.25" x14ac:dyDescent="0.25">
      <c r="A9" s="73" t="s">
        <v>68</v>
      </c>
      <c r="B9" s="71">
        <f>'WENDERLINUS GANG '!B15</f>
        <v>188.29999999999998</v>
      </c>
      <c r="C9" s="71">
        <f>'WENDERLINUS GANG '!C15</f>
        <v>73.900000000000006</v>
      </c>
      <c r="D9" s="71">
        <f>'WENDERLINUS GANG '!D15</f>
        <v>100.02</v>
      </c>
      <c r="E9" s="71">
        <f>'WENDERLINUS GANG '!E15</f>
        <v>61.360000000000007</v>
      </c>
      <c r="F9" s="71">
        <f>'WENDERLINUS GANG '!F15</f>
        <v>3.15</v>
      </c>
      <c r="G9" s="1">
        <f t="shared" si="0"/>
        <v>164.53</v>
      </c>
      <c r="H9" s="182"/>
      <c r="I9" s="177">
        <f>'WENDERLINUS GANG '!D3</f>
        <v>7</v>
      </c>
      <c r="J9" s="172">
        <f>'WENDERLINUS GANG '!D4</f>
        <v>0</v>
      </c>
      <c r="K9" s="12">
        <f>'WENDERLINUS GANG '!I15</f>
        <v>192</v>
      </c>
      <c r="L9" s="12">
        <f t="shared" si="1"/>
        <v>0.85692708333333334</v>
      </c>
      <c r="M9" s="12">
        <f>'WENDERLINUS GANG '!J22</f>
        <v>26.9</v>
      </c>
      <c r="N9" s="12">
        <f>'WENDERLINUS GANG '!J18</f>
        <v>23.504285714285714</v>
      </c>
      <c r="O9" s="178" t="str">
        <f>'WENDERLINUS GANG '!J26</f>
        <v>1:0.87</v>
      </c>
    </row>
    <row r="10" spans="1:15" s="7" customFormat="1" ht="15.75" thickBot="1" x14ac:dyDescent="0.3">
      <c r="A10" s="72" t="s">
        <v>8</v>
      </c>
      <c r="B10" s="70">
        <f t="shared" ref="B10:K10" si="2">SUM(B4:B9)</f>
        <v>1413.59</v>
      </c>
      <c r="C10" s="70">
        <f t="shared" si="2"/>
        <v>1481.5800000000002</v>
      </c>
      <c r="D10" s="70">
        <f t="shared" si="2"/>
        <v>962.07999999999981</v>
      </c>
      <c r="E10" s="70">
        <f t="shared" si="2"/>
        <v>569.56999999999994</v>
      </c>
      <c r="F10" s="70">
        <f t="shared" si="2"/>
        <v>136.71</v>
      </c>
      <c r="G10" s="70">
        <f>SUM(G4:G9)</f>
        <v>1668.36</v>
      </c>
      <c r="H10" s="183"/>
      <c r="I10" s="179">
        <f t="shared" si="2"/>
        <v>63</v>
      </c>
      <c r="J10" s="180">
        <f t="shared" si="2"/>
        <v>0</v>
      </c>
      <c r="K10" s="180">
        <f>SUM(K4:K9)</f>
        <v>1491</v>
      </c>
      <c r="L10" s="180">
        <f t="shared" si="1"/>
        <v>1.118953722334004</v>
      </c>
      <c r="M10" s="180">
        <f>B10/(I10-J10)</f>
        <v>22.437936507936506</v>
      </c>
      <c r="N10" s="180">
        <f>G10/(I10-J10)</f>
        <v>26.481904761904762</v>
      </c>
      <c r="O10" s="184" t="str">
        <f>B10/B10&amp;":"&amp;ROUND(G10/B10,2)</f>
        <v>1:1.18</v>
      </c>
    </row>
    <row r="12" spans="1:15" x14ac:dyDescent="0.25">
      <c r="L12"/>
    </row>
    <row r="13" spans="1:15" x14ac:dyDescent="0.25">
      <c r="L13"/>
    </row>
    <row r="14" spans="1:15" x14ac:dyDescent="0.25">
      <c r="L14"/>
    </row>
    <row r="15" spans="1:15" x14ac:dyDescent="0.25">
      <c r="L15"/>
    </row>
    <row r="16" spans="1:15" x14ac:dyDescent="0.25">
      <c r="L16"/>
    </row>
    <row r="17" spans="12:12" x14ac:dyDescent="0.25">
      <c r="L17"/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4:G10">
    <cfRule type="expression" dxfId="20" priority="3">
      <formula>G4&gt;C4</formula>
    </cfRule>
    <cfRule type="expression" dxfId="19" priority="4">
      <formula>G4&lt;C4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view="pageBreakPreview" zoomScaleNormal="100" zoomScaleSheetLayoutView="100" workbookViewId="0">
      <selection activeCell="I7" sqref="I7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200</v>
      </c>
    </row>
    <row r="3" spans="1:10" x14ac:dyDescent="0.25">
      <c r="A3" t="s">
        <v>99</v>
      </c>
      <c r="D3" s="167">
        <v>10</v>
      </c>
    </row>
    <row r="4" spans="1:10" x14ac:dyDescent="0.25">
      <c r="A4" t="s">
        <v>100</v>
      </c>
      <c r="D4" s="167">
        <v>0</v>
      </c>
    </row>
    <row r="6" spans="1:10" s="3" customFormat="1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98</v>
      </c>
      <c r="J6" s="169" t="s">
        <v>101</v>
      </c>
    </row>
    <row r="7" spans="1:10" x14ac:dyDescent="0.25">
      <c r="A7" s="1">
        <v>1</v>
      </c>
      <c r="B7" s="1">
        <f>VLOOKUP(A7,budget2026,6,FALSE)</f>
        <v>53.09</v>
      </c>
      <c r="C7" s="1">
        <f>VLOOKUP(A7,budget2026,7,FALSE)</f>
        <v>61.54</v>
      </c>
      <c r="D7" s="1">
        <f>VLOOKUP(A7,harvestinground,5,FALSE)</f>
        <v>44.13</v>
      </c>
      <c r="E7" s="1">
        <f>VLOOKUP(A7,harvestinground,6,FALSE)</f>
        <v>20.149999999999999</v>
      </c>
      <c r="F7" s="1">
        <f>VLOOKUP(A7,harvestinground,7,FALSE)</f>
        <v>0</v>
      </c>
      <c r="G7" s="1">
        <f>SUM(D7:F7)</f>
        <v>64.28</v>
      </c>
      <c r="H7" s="1"/>
      <c r="I7" s="1">
        <f>VLOOKUP(A7,manday,34,FALSE)</f>
        <v>80</v>
      </c>
      <c r="J7" s="12">
        <f>G7/I7</f>
        <v>0.80349999999999999</v>
      </c>
    </row>
    <row r="8" spans="1:10" x14ac:dyDescent="0.25">
      <c r="A8" s="1">
        <v>3</v>
      </c>
      <c r="B8" s="1">
        <f>VLOOKUP(A8,budget2026,6,FALSE)</f>
        <v>69.040000000000006</v>
      </c>
      <c r="C8" s="1">
        <f>VLOOKUP(A8,budget2026,7,FALSE)</f>
        <v>78.72</v>
      </c>
      <c r="D8" s="1">
        <f>VLOOKUP(A8,harvestinground,5,FALSE)</f>
        <v>60.980000000000004</v>
      </c>
      <c r="E8" s="1">
        <f>VLOOKUP(A8,harvestinground,6,FALSE)</f>
        <v>25.28</v>
      </c>
      <c r="F8" s="1">
        <f>VLOOKUP(A8,harvestinground,7,FALSE)</f>
        <v>0</v>
      </c>
      <c r="G8" s="1">
        <f>SUM(D8:F8)</f>
        <v>86.26</v>
      </c>
      <c r="H8" s="1"/>
      <c r="I8" s="1">
        <f>VLOOKUP(A8,manday,34,FALSE)</f>
        <v>72</v>
      </c>
      <c r="J8" s="12">
        <f>G8/I8</f>
        <v>1.1980555555555557</v>
      </c>
    </row>
    <row r="9" spans="1:10" x14ac:dyDescent="0.25">
      <c r="A9" s="1">
        <v>14</v>
      </c>
      <c r="B9" s="1">
        <f>VLOOKUP(A9,budget2026,6,FALSE)</f>
        <v>41.6</v>
      </c>
      <c r="C9" s="1">
        <f>VLOOKUP(A9,budget2026,7,FALSE)</f>
        <v>49.8</v>
      </c>
      <c r="D9" s="1">
        <f>VLOOKUP(A9,harvestinground,5,FALSE)</f>
        <v>41.65</v>
      </c>
      <c r="E9" s="1">
        <f>VLOOKUP(A9,harvestinground,6,FALSE)</f>
        <v>18.02</v>
      </c>
      <c r="F9" s="1">
        <f>VLOOKUP(A9,harvestinground,7,FALSE)</f>
        <v>2.61</v>
      </c>
      <c r="G9" s="1">
        <f>SUM(D9:F9)</f>
        <v>62.28</v>
      </c>
      <c r="H9" s="1"/>
      <c r="I9" s="1">
        <f>VLOOKUP(A9,manday,34,FALSE)</f>
        <v>77</v>
      </c>
      <c r="J9" s="12">
        <f>G9/I9</f>
        <v>0.8088311688311689</v>
      </c>
    </row>
    <row r="10" spans="1:10" s="6" customFormat="1" x14ac:dyDescent="0.25">
      <c r="B10" s="6">
        <f t="shared" ref="B10:G10" si="0">SUM(B7:B9)</f>
        <v>163.73000000000002</v>
      </c>
      <c r="C10" s="6">
        <f t="shared" si="0"/>
        <v>190.06</v>
      </c>
      <c r="D10" s="6">
        <f t="shared" si="0"/>
        <v>146.76000000000002</v>
      </c>
      <c r="E10" s="6">
        <f t="shared" si="0"/>
        <v>63.45</v>
      </c>
      <c r="F10" s="6">
        <f t="shared" si="0"/>
        <v>2.61</v>
      </c>
      <c r="G10" s="6">
        <f t="shared" si="0"/>
        <v>212.82000000000002</v>
      </c>
      <c r="I10" s="6">
        <f>SUM(I7:I9)</f>
        <v>229</v>
      </c>
    </row>
    <row r="11" spans="1:10" ht="15.75" thickBot="1" x14ac:dyDescent="0.3"/>
    <row r="12" spans="1:10" ht="30" x14ac:dyDescent="0.25">
      <c r="J12" s="170" t="s">
        <v>103</v>
      </c>
    </row>
    <row r="13" spans="1:10" ht="15.75" thickBot="1" x14ac:dyDescent="0.3">
      <c r="J13" s="171">
        <f>G10/(D3-D4)</f>
        <v>21.282000000000004</v>
      </c>
    </row>
    <row r="15" spans="1:10" ht="15.75" thickBot="1" x14ac:dyDescent="0.3"/>
    <row r="16" spans="1:10" ht="30" x14ac:dyDescent="0.25">
      <c r="J16" s="170" t="s">
        <v>102</v>
      </c>
    </row>
    <row r="17" spans="2:10" ht="15.75" thickBot="1" x14ac:dyDescent="0.3">
      <c r="J17" s="171">
        <f>B10/(D3-D4)</f>
        <v>16.373000000000001</v>
      </c>
    </row>
    <row r="19" spans="2:10" ht="15.75" thickBot="1" x14ac:dyDescent="0.3"/>
    <row r="20" spans="2:10" ht="60" x14ac:dyDescent="0.25">
      <c r="J20" s="170" t="s">
        <v>106</v>
      </c>
    </row>
    <row r="21" spans="2:10" ht="15.75" thickBot="1" x14ac:dyDescent="0.3">
      <c r="J21" s="171" t="str">
        <f>J17/J17&amp;":"&amp;ROUND(J13/J17,2)</f>
        <v>1:1.3</v>
      </c>
    </row>
    <row r="24" spans="2:10" x14ac:dyDescent="0.25">
      <c r="B24" t="s">
        <v>107</v>
      </c>
    </row>
    <row r="25" spans="2:10" x14ac:dyDescent="0.25">
      <c r="B25" t="s">
        <v>108</v>
      </c>
    </row>
    <row r="26" spans="2:10" x14ac:dyDescent="0.25">
      <c r="B26" t="s">
        <v>109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9">
    <cfRule type="expression" dxfId="18" priority="7">
      <formula>G7&gt;C7</formula>
    </cfRule>
    <cfRule type="expression" dxfId="17" priority="8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BC47-56DF-45D7-A7B9-21AE3141F103}">
  <dimension ref="A1:J105"/>
  <sheetViews>
    <sheetView view="pageBreakPreview" zoomScaleNormal="100" zoomScaleSheetLayoutView="100" workbookViewId="0">
      <selection activeCell="D4" sqref="D4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9</v>
      </c>
    </row>
    <row r="3" spans="1:10" x14ac:dyDescent="0.25">
      <c r="A3" t="s">
        <v>99</v>
      </c>
      <c r="D3" s="167">
        <v>17</v>
      </c>
    </row>
    <row r="4" spans="1:10" x14ac:dyDescent="0.25">
      <c r="A4" t="s">
        <v>100</v>
      </c>
      <c r="D4" s="167"/>
    </row>
    <row r="6" spans="1:10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I6" s="2" t="s">
        <v>98</v>
      </c>
      <c r="J6" s="169" t="s">
        <v>101</v>
      </c>
    </row>
    <row r="7" spans="1:10" x14ac:dyDescent="0.25">
      <c r="A7" s="1">
        <v>15</v>
      </c>
      <c r="B7" s="1">
        <f t="shared" ref="B7:B13" si="0">VLOOKUP(A7,budget2026,6,FALSE)</f>
        <v>49.17</v>
      </c>
      <c r="C7" s="1">
        <f t="shared" ref="C7:C13" si="1">VLOOKUP(A7,budget2026,7,FALSE)</f>
        <v>56.339999999999996</v>
      </c>
      <c r="D7" s="1">
        <f t="shared" ref="D7:D13" si="2">VLOOKUP(A7,harvestinground,5,FALSE)</f>
        <v>33.380000000000003</v>
      </c>
      <c r="E7" s="1">
        <f t="shared" ref="E7:E13" si="3">VLOOKUP(A7,harvestinground,6,FALSE)</f>
        <v>10.51</v>
      </c>
      <c r="F7" s="1">
        <f t="shared" ref="F7:F13" si="4">VLOOKUP(A7,harvestinground,7,FALSE)</f>
        <v>20.07</v>
      </c>
      <c r="G7" s="1">
        <f>SUM(D7:F7)</f>
        <v>63.96</v>
      </c>
      <c r="I7" s="1">
        <f t="shared" ref="I7:I13" si="5">VLOOKUP(A7,manday,34,FALSE)</f>
        <v>56</v>
      </c>
      <c r="J7" s="12">
        <f>IFERROR(G7/I7,0)</f>
        <v>1.1421428571428571</v>
      </c>
    </row>
    <row r="8" spans="1:10" x14ac:dyDescent="0.25">
      <c r="A8" s="1">
        <v>16</v>
      </c>
      <c r="B8" s="1">
        <f t="shared" si="0"/>
        <v>52.61</v>
      </c>
      <c r="C8" s="1">
        <f t="shared" si="1"/>
        <v>60.48</v>
      </c>
      <c r="D8" s="1">
        <f t="shared" si="2"/>
        <v>36.950000000000003</v>
      </c>
      <c r="E8" s="1">
        <f t="shared" si="3"/>
        <v>21.07</v>
      </c>
      <c r="F8" s="1">
        <f t="shared" si="4"/>
        <v>22.21</v>
      </c>
      <c r="G8" s="1">
        <f t="shared" ref="G8:G13" si="6">SUM(D8:F8)</f>
        <v>80.23</v>
      </c>
      <c r="I8" s="1">
        <f t="shared" si="5"/>
        <v>51</v>
      </c>
      <c r="J8" s="12">
        <f t="shared" ref="J8:J13" si="7">IFERROR(G8/I8,0)</f>
        <v>1.5731372549019609</v>
      </c>
    </row>
    <row r="9" spans="1:10" x14ac:dyDescent="0.25">
      <c r="A9" s="1">
        <v>17</v>
      </c>
      <c r="B9" s="1">
        <f t="shared" si="0"/>
        <v>45.58</v>
      </c>
      <c r="C9" s="1">
        <f t="shared" si="1"/>
        <v>57.419999999999995</v>
      </c>
      <c r="D9" s="1">
        <f t="shared" si="2"/>
        <v>25.86</v>
      </c>
      <c r="E9" s="1">
        <f t="shared" si="3"/>
        <v>13.43</v>
      </c>
      <c r="F9" s="1">
        <f t="shared" si="4"/>
        <v>18.86</v>
      </c>
      <c r="G9" s="1">
        <f t="shared" si="6"/>
        <v>58.15</v>
      </c>
      <c r="H9" s="2"/>
      <c r="I9" s="1">
        <f t="shared" si="5"/>
        <v>49</v>
      </c>
      <c r="J9" s="12">
        <f t="shared" si="7"/>
        <v>1.1867346938775509</v>
      </c>
    </row>
    <row r="10" spans="1:10" x14ac:dyDescent="0.25">
      <c r="A10" s="1">
        <v>19</v>
      </c>
      <c r="B10" s="1">
        <f t="shared" si="0"/>
        <v>50.6</v>
      </c>
      <c r="C10" s="1">
        <f t="shared" si="1"/>
        <v>60.48</v>
      </c>
      <c r="D10" s="1">
        <f t="shared" si="2"/>
        <v>19.59</v>
      </c>
      <c r="E10" s="1">
        <f t="shared" si="3"/>
        <v>14.64</v>
      </c>
      <c r="F10" s="1">
        <f t="shared" si="4"/>
        <v>10.050000000000001</v>
      </c>
      <c r="G10" s="1">
        <f t="shared" si="6"/>
        <v>44.28</v>
      </c>
      <c r="H10" s="1"/>
      <c r="I10" s="1">
        <f t="shared" si="5"/>
        <v>40</v>
      </c>
      <c r="J10" s="12">
        <f t="shared" si="7"/>
        <v>1.107</v>
      </c>
    </row>
    <row r="11" spans="1:10" x14ac:dyDescent="0.25">
      <c r="A11" s="1">
        <v>20</v>
      </c>
      <c r="B11" s="1">
        <f t="shared" si="0"/>
        <v>61.98</v>
      </c>
      <c r="C11" s="1">
        <f t="shared" si="1"/>
        <v>74.16</v>
      </c>
      <c r="D11" s="1">
        <f t="shared" si="2"/>
        <v>29.87</v>
      </c>
      <c r="E11" s="1">
        <f t="shared" si="3"/>
        <v>19.36</v>
      </c>
      <c r="F11" s="1">
        <f t="shared" si="4"/>
        <v>0</v>
      </c>
      <c r="G11" s="1">
        <f t="shared" si="6"/>
        <v>49.230000000000004</v>
      </c>
      <c r="H11" s="1"/>
      <c r="I11" s="1">
        <f t="shared" si="5"/>
        <v>50</v>
      </c>
      <c r="J11" s="12">
        <f t="shared" si="7"/>
        <v>0.98460000000000003</v>
      </c>
    </row>
    <row r="12" spans="1:10" x14ac:dyDescent="0.25">
      <c r="A12" s="1">
        <v>21</v>
      </c>
      <c r="B12" s="1">
        <f t="shared" si="0"/>
        <v>71.59</v>
      </c>
      <c r="C12" s="1">
        <f t="shared" si="1"/>
        <v>94.56</v>
      </c>
      <c r="D12" s="1">
        <f t="shared" si="2"/>
        <v>32.61</v>
      </c>
      <c r="E12" s="1">
        <f t="shared" si="3"/>
        <v>37.53</v>
      </c>
      <c r="F12" s="1">
        <f t="shared" si="4"/>
        <v>23.66</v>
      </c>
      <c r="G12" s="1">
        <f t="shared" si="6"/>
        <v>93.8</v>
      </c>
      <c r="H12" s="1"/>
      <c r="I12" s="1">
        <f t="shared" si="5"/>
        <v>71</v>
      </c>
      <c r="J12" s="12">
        <f t="shared" si="7"/>
        <v>1.3211267605633803</v>
      </c>
    </row>
    <row r="13" spans="1:10" x14ac:dyDescent="0.25">
      <c r="A13" s="1">
        <v>22</v>
      </c>
      <c r="B13" s="1">
        <f t="shared" si="0"/>
        <v>52.08</v>
      </c>
      <c r="C13" s="1">
        <f t="shared" si="1"/>
        <v>62.76</v>
      </c>
      <c r="D13" s="1">
        <f t="shared" si="2"/>
        <v>41.25</v>
      </c>
      <c r="E13" s="1">
        <f t="shared" si="3"/>
        <v>19.259999999999998</v>
      </c>
      <c r="F13" s="1">
        <f t="shared" si="4"/>
        <v>24.229999999999997</v>
      </c>
      <c r="G13" s="1">
        <f t="shared" si="6"/>
        <v>84.74</v>
      </c>
      <c r="H13" s="1"/>
      <c r="I13" s="1">
        <f t="shared" si="5"/>
        <v>54</v>
      </c>
      <c r="J13" s="12">
        <f t="shared" si="7"/>
        <v>1.5692592592592591</v>
      </c>
    </row>
    <row r="14" spans="1:10" s="6" customFormat="1" x14ac:dyDescent="0.25">
      <c r="B14" s="6">
        <f t="shared" ref="B14:G14" si="8">SUM(B7:B13)</f>
        <v>383.60999999999996</v>
      </c>
      <c r="C14" s="6">
        <f t="shared" si="8"/>
        <v>466.2</v>
      </c>
      <c r="D14" s="6">
        <f t="shared" si="8"/>
        <v>219.51</v>
      </c>
      <c r="E14" s="6">
        <f t="shared" si="8"/>
        <v>135.79999999999998</v>
      </c>
      <c r="F14" s="6">
        <f t="shared" si="8"/>
        <v>119.07999999999998</v>
      </c>
      <c r="G14" s="6">
        <f t="shared" si="8"/>
        <v>474.39000000000004</v>
      </c>
      <c r="H14"/>
      <c r="I14" s="6">
        <f>SUM(I7:I13)</f>
        <v>371</v>
      </c>
      <c r="J14" s="8"/>
    </row>
    <row r="15" spans="1:10" ht="15.75" thickBot="1" x14ac:dyDescent="0.3"/>
    <row r="16" spans="1:10" ht="30" x14ac:dyDescent="0.25">
      <c r="J16" s="170" t="s">
        <v>103</v>
      </c>
    </row>
    <row r="17" spans="10:10" ht="15.75" thickBot="1" x14ac:dyDescent="0.3">
      <c r="J17" s="171">
        <f>G14/(D3-D4)</f>
        <v>27.90529411764706</v>
      </c>
    </row>
    <row r="19" spans="10:10" ht="15.75" thickBot="1" x14ac:dyDescent="0.3"/>
    <row r="20" spans="10:10" ht="30" x14ac:dyDescent="0.25">
      <c r="J20" s="170" t="s">
        <v>102</v>
      </c>
    </row>
    <row r="21" spans="10:10" ht="15.75" thickBot="1" x14ac:dyDescent="0.3">
      <c r="J21" s="171">
        <f>B14/(D3-D4)</f>
        <v>22.565294117647056</v>
      </c>
    </row>
    <row r="23" spans="10:10" ht="15.75" thickBot="1" x14ac:dyDescent="0.3"/>
    <row r="24" spans="10:10" ht="60" x14ac:dyDescent="0.25">
      <c r="J24" s="170" t="s">
        <v>106</v>
      </c>
    </row>
    <row r="25" spans="10:10" ht="15.75" thickBot="1" x14ac:dyDescent="0.3">
      <c r="J25" s="171" t="str">
        <f>J21/J21&amp;":"&amp;ROUND(J17/J21,2)</f>
        <v>1:1.24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13">
    <cfRule type="expression" dxfId="16" priority="27">
      <formula>G7&gt;C7</formula>
    </cfRule>
    <cfRule type="expression" dxfId="15" priority="28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15C6-1C80-4BCB-BBF6-E66D6BAEB051}">
  <dimension ref="A1:J105"/>
  <sheetViews>
    <sheetView view="pageBreakPreview" zoomScaleNormal="100" zoomScaleSheetLayoutView="100" workbookViewId="0">
      <selection activeCell="D4" sqref="D4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222</v>
      </c>
    </row>
    <row r="3" spans="1:10" x14ac:dyDescent="0.25">
      <c r="A3" t="s">
        <v>99</v>
      </c>
      <c r="D3" s="167">
        <v>7</v>
      </c>
    </row>
    <row r="4" spans="1:10" x14ac:dyDescent="0.25">
      <c r="A4" t="s">
        <v>100</v>
      </c>
      <c r="D4" s="167">
        <v>0</v>
      </c>
    </row>
    <row r="6" spans="1:10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I6" s="2" t="s">
        <v>98</v>
      </c>
      <c r="J6" s="169" t="s">
        <v>101</v>
      </c>
    </row>
    <row r="7" spans="1:10" x14ac:dyDescent="0.25">
      <c r="A7" s="1">
        <v>2</v>
      </c>
      <c r="B7" s="1">
        <f>VLOOKUP(A7,budget2026,6,FALSE)</f>
        <v>60.27</v>
      </c>
      <c r="C7" s="1">
        <f>VLOOKUP(A7,budget2026,7,FALSE)</f>
        <v>68.06</v>
      </c>
      <c r="D7" s="1">
        <f>VLOOKUP(A7,harvestinground,5,FALSE)</f>
        <v>3.25</v>
      </c>
      <c r="E7" s="1">
        <f>VLOOKUP(A7,harvestinground,6,FALSE)</f>
        <v>86.719999999999985</v>
      </c>
      <c r="F7" s="1">
        <f>VLOOKUP(A7,harvestinground,7,FALSE)</f>
        <v>0</v>
      </c>
      <c r="G7" s="1">
        <f>SUM(D7:F7)</f>
        <v>89.969999999999985</v>
      </c>
      <c r="I7" s="1">
        <f>VLOOKUP(A7,manday,34,FALSE)</f>
        <v>102</v>
      </c>
      <c r="J7" s="12">
        <f>G7/I7</f>
        <v>0.88205882352941156</v>
      </c>
    </row>
    <row r="8" spans="1:10" x14ac:dyDescent="0.25">
      <c r="A8" s="1">
        <v>11</v>
      </c>
      <c r="B8" s="1">
        <f>VLOOKUP(A8,budget2026,6,FALSE)</f>
        <v>44.5</v>
      </c>
      <c r="C8" s="1">
        <f>VLOOKUP(A8,budget2026,7,FALSE)</f>
        <v>48.239999999999995</v>
      </c>
      <c r="D8" s="1">
        <f>VLOOKUP(A8,harvestinground,5,FALSE)</f>
        <v>34.840000000000003</v>
      </c>
      <c r="E8" s="1">
        <f>VLOOKUP(A8,harvestinground,6,FALSE)</f>
        <v>15.729999999999999</v>
      </c>
      <c r="F8" s="1">
        <f>VLOOKUP(A8,harvestinground,7,FALSE)</f>
        <v>0</v>
      </c>
      <c r="G8" s="1">
        <f>SUM(D8:F8)</f>
        <v>50.57</v>
      </c>
      <c r="I8" s="1">
        <f>VLOOKUP(A8,manday,34,FALSE)</f>
        <v>62</v>
      </c>
      <c r="J8" s="12">
        <f>G8/I8</f>
        <v>0.81564516129032261</v>
      </c>
    </row>
    <row r="9" spans="1:10" x14ac:dyDescent="0.25">
      <c r="A9" s="1">
        <v>29</v>
      </c>
      <c r="B9" s="1">
        <f>VLOOKUP(A9,budget2026,6,FALSE)</f>
        <v>19.2</v>
      </c>
      <c r="C9" s="1">
        <f>VLOOKUP(A9,budget2026,7,FALSE)</f>
        <v>3.5599999999999996</v>
      </c>
      <c r="D9" s="1">
        <f>VLOOKUP(A9,harvestinground,5,FALSE)</f>
        <v>6.17</v>
      </c>
      <c r="E9" s="1">
        <f>VLOOKUP(A9,harvestinground,6,FALSE)</f>
        <v>3.58</v>
      </c>
      <c r="F9" s="1">
        <f>VLOOKUP(A9,harvestinground,7,FALSE)</f>
        <v>0</v>
      </c>
      <c r="G9" s="1">
        <f>SUM(D9:F9)</f>
        <v>9.75</v>
      </c>
      <c r="I9" s="1">
        <f>VLOOKUP(A9,manday,34,FALSE)</f>
        <v>19</v>
      </c>
      <c r="J9" s="12">
        <f>G9/I9</f>
        <v>0.51315789473684215</v>
      </c>
    </row>
    <row r="10" spans="1:10" s="6" customFormat="1" x14ac:dyDescent="0.25">
      <c r="B10" s="6">
        <f t="shared" ref="B10:G10" si="0">SUM(B7:B9)</f>
        <v>123.97000000000001</v>
      </c>
      <c r="C10" s="6">
        <f t="shared" si="0"/>
        <v>119.86</v>
      </c>
      <c r="D10" s="6">
        <f t="shared" si="0"/>
        <v>44.260000000000005</v>
      </c>
      <c r="E10" s="6">
        <f t="shared" si="0"/>
        <v>106.02999999999999</v>
      </c>
      <c r="F10" s="6">
        <f t="shared" si="0"/>
        <v>0</v>
      </c>
      <c r="G10" s="6">
        <f t="shared" si="0"/>
        <v>150.29</v>
      </c>
      <c r="H10"/>
      <c r="I10" s="6">
        <f>SUM(I7:I9)</f>
        <v>183</v>
      </c>
    </row>
    <row r="11" spans="1:10" ht="15.75" thickBot="1" x14ac:dyDescent="0.3">
      <c r="I11" s="6"/>
      <c r="J11" s="6"/>
    </row>
    <row r="12" spans="1:10" ht="30" x14ac:dyDescent="0.25">
      <c r="J12" s="170" t="s">
        <v>103</v>
      </c>
    </row>
    <row r="13" spans="1:10" ht="15.75" thickBot="1" x14ac:dyDescent="0.3">
      <c r="J13" s="171">
        <f>G10/(D3-D4)</f>
        <v>21.47</v>
      </c>
    </row>
    <row r="14" spans="1:10" x14ac:dyDescent="0.25">
      <c r="H14" s="6"/>
    </row>
    <row r="15" spans="1:10" ht="15.75" thickBot="1" x14ac:dyDescent="0.3"/>
    <row r="16" spans="1:10" ht="30" x14ac:dyDescent="0.25">
      <c r="J16" s="170" t="s">
        <v>102</v>
      </c>
    </row>
    <row r="17" spans="10:10" ht="15.75" thickBot="1" x14ac:dyDescent="0.3">
      <c r="J17" s="171">
        <f>B10/(D3-D4)</f>
        <v>17.71</v>
      </c>
    </row>
    <row r="19" spans="10:10" ht="15.75" thickBot="1" x14ac:dyDescent="0.3"/>
    <row r="20" spans="10:10" ht="60" x14ac:dyDescent="0.25">
      <c r="J20" s="170" t="s">
        <v>106</v>
      </c>
    </row>
    <row r="21" spans="10:10" ht="15.75" thickBot="1" x14ac:dyDescent="0.3">
      <c r="J21" s="171" t="str">
        <f>J17/J17&amp;":"&amp;ROUND(J13/J17,2)</f>
        <v>1:1.21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9">
    <cfRule type="expression" dxfId="14" priority="27">
      <formula>G7&gt;C7</formula>
    </cfRule>
    <cfRule type="expression" dxfId="13" priority="28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2B0F-0F61-4A88-88D3-9539ABF82FAA}">
  <dimension ref="A1:J105"/>
  <sheetViews>
    <sheetView view="pageBreakPreview" zoomScaleNormal="100" zoomScaleSheetLayoutView="100" workbookViewId="0">
      <selection activeCell="AW24" sqref="AW24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201</v>
      </c>
    </row>
    <row r="3" spans="1:10" x14ac:dyDescent="0.25">
      <c r="A3" t="s">
        <v>99</v>
      </c>
      <c r="D3" s="167">
        <v>12</v>
      </c>
    </row>
    <row r="4" spans="1:10" x14ac:dyDescent="0.25">
      <c r="A4" t="s">
        <v>100</v>
      </c>
      <c r="D4" s="167">
        <v>0</v>
      </c>
    </row>
    <row r="6" spans="1:10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H6" s="1"/>
      <c r="I6" s="2" t="s">
        <v>98</v>
      </c>
      <c r="J6" s="169" t="s">
        <v>101</v>
      </c>
    </row>
    <row r="7" spans="1:10" x14ac:dyDescent="0.25">
      <c r="A7" s="1">
        <v>4</v>
      </c>
      <c r="B7" s="1">
        <f t="shared" ref="B7:B12" si="0">VLOOKUP(A7,budget2026,6,FALSE)</f>
        <v>70.510000000000005</v>
      </c>
      <c r="C7" s="1">
        <f t="shared" ref="C7:C12" si="1">VLOOKUP(A7,budget2026,7,FALSE)</f>
        <v>81.459999999999994</v>
      </c>
      <c r="D7" s="1">
        <f t="shared" ref="D7:D12" si="2">VLOOKUP(A7,harvestinground,5,FALSE)</f>
        <v>56.01</v>
      </c>
      <c r="E7" s="1">
        <f t="shared" ref="E7:E12" si="3">VLOOKUP(A7,harvestinground,6,FALSE)</f>
        <v>14.9</v>
      </c>
      <c r="F7" s="1">
        <f t="shared" ref="F7:F12" si="4">VLOOKUP(A7,harvestinground,7,FALSE)</f>
        <v>0</v>
      </c>
      <c r="G7" s="1">
        <f t="shared" ref="G7:G12" si="5">SUM(D7:F7)</f>
        <v>70.91</v>
      </c>
      <c r="H7" s="1"/>
      <c r="I7" s="1">
        <f t="shared" ref="I7:I12" si="6">VLOOKUP(A7,manday,34,FALSE)</f>
        <v>59</v>
      </c>
      <c r="J7" s="12">
        <f t="shared" ref="J7:J12" si="7">G7/I7</f>
        <v>1.2018644067796609</v>
      </c>
    </row>
    <row r="8" spans="1:10" x14ac:dyDescent="0.25">
      <c r="A8" s="1">
        <v>5</v>
      </c>
      <c r="B8" s="1">
        <f t="shared" si="0"/>
        <v>50.4</v>
      </c>
      <c r="C8" s="1">
        <f t="shared" si="1"/>
        <v>57.48</v>
      </c>
      <c r="D8" s="1">
        <f t="shared" si="2"/>
        <v>15.7</v>
      </c>
      <c r="E8" s="1">
        <f t="shared" si="3"/>
        <v>20.68</v>
      </c>
      <c r="F8" s="1">
        <f t="shared" si="4"/>
        <v>2.5099999999999998</v>
      </c>
      <c r="G8" s="1">
        <f t="shared" si="5"/>
        <v>38.889999999999993</v>
      </c>
      <c r="H8" s="1"/>
      <c r="I8" s="1">
        <f t="shared" si="6"/>
        <v>52</v>
      </c>
      <c r="J8" s="12">
        <f t="shared" si="7"/>
        <v>0.74788461538461526</v>
      </c>
    </row>
    <row r="9" spans="1:10" x14ac:dyDescent="0.25">
      <c r="A9" s="1">
        <v>6</v>
      </c>
      <c r="B9" s="1">
        <f t="shared" si="0"/>
        <v>58.6</v>
      </c>
      <c r="C9" s="1">
        <f t="shared" si="1"/>
        <v>66.84</v>
      </c>
      <c r="D9" s="1">
        <f t="shared" si="2"/>
        <v>40.300000000000004</v>
      </c>
      <c r="E9" s="1">
        <f t="shared" si="3"/>
        <v>15.989999999999998</v>
      </c>
      <c r="F9" s="1">
        <f t="shared" si="4"/>
        <v>0</v>
      </c>
      <c r="G9" s="1">
        <f t="shared" si="5"/>
        <v>56.290000000000006</v>
      </c>
      <c r="H9" s="1"/>
      <c r="I9" s="1">
        <f t="shared" si="6"/>
        <v>71</v>
      </c>
      <c r="J9" s="12">
        <f t="shared" si="7"/>
        <v>0.79281690140845085</v>
      </c>
    </row>
    <row r="10" spans="1:10" x14ac:dyDescent="0.25">
      <c r="A10" s="1">
        <v>7</v>
      </c>
      <c r="B10" s="1">
        <f t="shared" si="0"/>
        <v>23.6</v>
      </c>
      <c r="C10" s="1">
        <f t="shared" si="1"/>
        <v>22.86</v>
      </c>
      <c r="D10" s="1">
        <f t="shared" si="2"/>
        <v>24.72</v>
      </c>
      <c r="E10" s="1">
        <f t="shared" si="3"/>
        <v>0</v>
      </c>
      <c r="F10" s="1">
        <f t="shared" si="4"/>
        <v>0</v>
      </c>
      <c r="G10" s="1">
        <f t="shared" si="5"/>
        <v>24.72</v>
      </c>
      <c r="H10" s="1"/>
      <c r="I10" s="1">
        <f t="shared" si="6"/>
        <v>12</v>
      </c>
      <c r="J10" s="12">
        <f t="shared" si="7"/>
        <v>2.06</v>
      </c>
    </row>
    <row r="11" spans="1:10" x14ac:dyDescent="0.25">
      <c r="A11" s="1">
        <v>23</v>
      </c>
      <c r="B11" s="1">
        <f t="shared" si="0"/>
        <v>14.6</v>
      </c>
      <c r="C11" s="1">
        <f t="shared" si="1"/>
        <v>17.34</v>
      </c>
      <c r="D11" s="1">
        <f t="shared" si="2"/>
        <v>17.37</v>
      </c>
      <c r="E11" s="1">
        <f t="shared" si="3"/>
        <v>3.79</v>
      </c>
      <c r="F11" s="1">
        <f t="shared" si="4"/>
        <v>0</v>
      </c>
      <c r="G11" s="1">
        <f t="shared" si="5"/>
        <v>21.16</v>
      </c>
      <c r="H11" s="1"/>
      <c r="I11" s="1">
        <f t="shared" si="6"/>
        <v>18</v>
      </c>
      <c r="J11" s="12">
        <f t="shared" si="7"/>
        <v>1.1755555555555555</v>
      </c>
    </row>
    <row r="12" spans="1:10" x14ac:dyDescent="0.25">
      <c r="A12" s="1">
        <v>24</v>
      </c>
      <c r="B12" s="1">
        <f t="shared" si="0"/>
        <v>44.67</v>
      </c>
      <c r="C12" s="1">
        <f t="shared" si="1"/>
        <v>45.66</v>
      </c>
      <c r="D12" s="1">
        <f t="shared" si="2"/>
        <v>42.98</v>
      </c>
      <c r="E12" s="1">
        <f t="shared" si="3"/>
        <v>13.32</v>
      </c>
      <c r="F12" s="1">
        <f t="shared" si="4"/>
        <v>0</v>
      </c>
      <c r="G12" s="1">
        <f t="shared" si="5"/>
        <v>56.3</v>
      </c>
      <c r="H12" s="1"/>
      <c r="I12" s="1">
        <f t="shared" si="6"/>
        <v>55</v>
      </c>
      <c r="J12" s="12">
        <f t="shared" si="7"/>
        <v>1.0236363636363637</v>
      </c>
    </row>
    <row r="13" spans="1:10" s="6" customFormat="1" x14ac:dyDescent="0.25">
      <c r="B13" s="6">
        <f t="shared" ref="B13:G13" si="8">SUM(B7:B12)</f>
        <v>262.38</v>
      </c>
      <c r="C13" s="6">
        <f t="shared" si="8"/>
        <v>291.64</v>
      </c>
      <c r="D13" s="6">
        <f t="shared" si="8"/>
        <v>197.07999999999998</v>
      </c>
      <c r="E13" s="6">
        <f t="shared" si="8"/>
        <v>68.679999999999993</v>
      </c>
      <c r="F13" s="6">
        <f t="shared" si="8"/>
        <v>2.5099999999999998</v>
      </c>
      <c r="G13" s="6">
        <f t="shared" si="8"/>
        <v>268.27</v>
      </c>
      <c r="I13" s="6">
        <f>SUM(I7:I12)</f>
        <v>267</v>
      </c>
    </row>
    <row r="14" spans="1:10" ht="15.75" thickBot="1" x14ac:dyDescent="0.3"/>
    <row r="15" spans="1:10" ht="30" x14ac:dyDescent="0.25">
      <c r="J15" s="170" t="s">
        <v>103</v>
      </c>
    </row>
    <row r="16" spans="1:10" ht="15.75" thickBot="1" x14ac:dyDescent="0.3">
      <c r="J16" s="171">
        <f>G13/(D3-D4)</f>
        <v>22.355833333333333</v>
      </c>
    </row>
    <row r="18" spans="10:10" ht="15.75" thickBot="1" x14ac:dyDescent="0.3"/>
    <row r="19" spans="10:10" ht="30" x14ac:dyDescent="0.25">
      <c r="J19" s="170" t="s">
        <v>102</v>
      </c>
    </row>
    <row r="20" spans="10:10" ht="15.75" thickBot="1" x14ac:dyDescent="0.3">
      <c r="J20" s="171">
        <f>B13/(D3-D4)</f>
        <v>21.864999999999998</v>
      </c>
    </row>
    <row r="22" spans="10:10" ht="15.75" thickBot="1" x14ac:dyDescent="0.3"/>
    <row r="23" spans="10:10" ht="60" x14ac:dyDescent="0.25">
      <c r="J23" s="170" t="s">
        <v>106</v>
      </c>
    </row>
    <row r="24" spans="10:10" ht="15.75" thickBot="1" x14ac:dyDescent="0.3">
      <c r="J24" s="171" t="str">
        <f>J20/J20&amp;":"&amp;ROUND(J16/J20,2)</f>
        <v>1:1.02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12">
    <cfRule type="expression" dxfId="12" priority="27">
      <formula>G7&gt;C7</formula>
    </cfRule>
    <cfRule type="expression" dxfId="11" priority="28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8082-266A-4EC4-870C-35A0FFFA04D5}">
  <dimension ref="A1:J105"/>
  <sheetViews>
    <sheetView view="pageBreakPreview" zoomScaleNormal="100" zoomScaleSheetLayoutView="100" workbookViewId="0">
      <selection activeCell="D4" sqref="D4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72</v>
      </c>
    </row>
    <row r="3" spans="1:10" x14ac:dyDescent="0.25">
      <c r="A3" t="s">
        <v>99</v>
      </c>
      <c r="D3" s="167">
        <v>10</v>
      </c>
    </row>
    <row r="4" spans="1:10" x14ac:dyDescent="0.25">
      <c r="A4" t="s">
        <v>100</v>
      </c>
      <c r="D4" s="167">
        <v>0</v>
      </c>
    </row>
    <row r="6" spans="1:10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98</v>
      </c>
      <c r="J6" s="169" t="s">
        <v>101</v>
      </c>
    </row>
    <row r="7" spans="1:10" x14ac:dyDescent="0.25">
      <c r="A7" s="1">
        <v>8</v>
      </c>
      <c r="B7" s="1">
        <f t="shared" ref="B7:B12" si="0">VLOOKUP(A7,budget2026,6,FALSE)</f>
        <v>61.6</v>
      </c>
      <c r="C7" s="1">
        <f t="shared" ref="C7:C12" si="1">VLOOKUP(A7,budget2026,7,FALSE)</f>
        <v>70.3</v>
      </c>
      <c r="D7" s="1">
        <f t="shared" ref="D7:D12" si="2">VLOOKUP(A7,harvestinground,5,FALSE)</f>
        <v>43.65</v>
      </c>
      <c r="E7" s="1">
        <f t="shared" ref="E7:E12" si="3">VLOOKUP(A7,harvestinground,6,FALSE)</f>
        <v>36.49</v>
      </c>
      <c r="F7" s="1">
        <f t="shared" ref="F7:F12" si="4">VLOOKUP(A7,harvestinground,7,FALSE)</f>
        <v>9.36</v>
      </c>
      <c r="G7" s="1">
        <f t="shared" ref="G7:G12" si="5">SUM(D7:F7)</f>
        <v>89.5</v>
      </c>
      <c r="H7" s="1"/>
      <c r="I7" s="1">
        <f t="shared" ref="I7:I12" si="6">VLOOKUP(A7,manday,34,FALSE)</f>
        <v>44</v>
      </c>
      <c r="J7" s="12">
        <f t="shared" ref="J7:J12" si="7">G7/I7</f>
        <v>2.0340909090909092</v>
      </c>
    </row>
    <row r="8" spans="1:10" x14ac:dyDescent="0.25">
      <c r="A8" s="1">
        <v>9</v>
      </c>
      <c r="B8" s="1">
        <f t="shared" si="0"/>
        <v>38.299999999999997</v>
      </c>
      <c r="C8" s="1">
        <f t="shared" si="1"/>
        <v>39.479999999999997</v>
      </c>
      <c r="D8" s="1">
        <f t="shared" si="2"/>
        <v>28.68</v>
      </c>
      <c r="E8" s="1">
        <f t="shared" si="3"/>
        <v>17.309999999999999</v>
      </c>
      <c r="F8" s="1">
        <f t="shared" si="4"/>
        <v>0</v>
      </c>
      <c r="G8" s="1">
        <f t="shared" si="5"/>
        <v>45.989999999999995</v>
      </c>
      <c r="H8" s="1"/>
      <c r="I8" s="1">
        <f t="shared" si="6"/>
        <v>40</v>
      </c>
      <c r="J8" s="12">
        <f t="shared" si="7"/>
        <v>1.1497499999999998</v>
      </c>
    </row>
    <row r="9" spans="1:10" x14ac:dyDescent="0.25">
      <c r="A9" s="1">
        <v>12</v>
      </c>
      <c r="B9" s="1">
        <f t="shared" si="0"/>
        <v>71</v>
      </c>
      <c r="C9" s="1">
        <f t="shared" si="1"/>
        <v>81.88</v>
      </c>
      <c r="D9" s="1">
        <f t="shared" si="2"/>
        <v>62.379999999999995</v>
      </c>
      <c r="E9" s="1">
        <f t="shared" si="3"/>
        <v>22.2</v>
      </c>
      <c r="F9" s="1">
        <f t="shared" si="4"/>
        <v>0</v>
      </c>
      <c r="G9" s="1">
        <f t="shared" si="5"/>
        <v>84.58</v>
      </c>
      <c r="H9" s="1"/>
      <c r="I9" s="1">
        <f t="shared" si="6"/>
        <v>64</v>
      </c>
      <c r="J9" s="12">
        <f t="shared" si="7"/>
        <v>1.3215625</v>
      </c>
    </row>
    <row r="10" spans="1:10" x14ac:dyDescent="0.25">
      <c r="A10" s="1">
        <v>10</v>
      </c>
      <c r="B10" s="1">
        <f t="shared" si="0"/>
        <v>19.100000000000001</v>
      </c>
      <c r="C10" s="1">
        <f t="shared" si="1"/>
        <v>20.58</v>
      </c>
      <c r="D10" s="1">
        <f t="shared" si="2"/>
        <v>17.559999999999999</v>
      </c>
      <c r="E10" s="1">
        <f t="shared" si="3"/>
        <v>10.92</v>
      </c>
      <c r="F10" s="1">
        <f t="shared" si="4"/>
        <v>0</v>
      </c>
      <c r="G10" s="1">
        <f t="shared" si="5"/>
        <v>28.479999999999997</v>
      </c>
      <c r="H10" s="1"/>
      <c r="I10" s="1">
        <f t="shared" si="6"/>
        <v>13</v>
      </c>
      <c r="J10" s="12">
        <f t="shared" si="7"/>
        <v>2.1907692307692304</v>
      </c>
    </row>
    <row r="11" spans="1:10" x14ac:dyDescent="0.25">
      <c r="A11" s="1">
        <v>13</v>
      </c>
      <c r="B11" s="1">
        <f t="shared" si="0"/>
        <v>60.8</v>
      </c>
      <c r="C11" s="1">
        <f t="shared" si="1"/>
        <v>76.319999999999993</v>
      </c>
      <c r="D11" s="1">
        <f t="shared" si="2"/>
        <v>59.519999999999996</v>
      </c>
      <c r="E11" s="1">
        <f t="shared" si="3"/>
        <v>29.65</v>
      </c>
      <c r="F11" s="1">
        <f t="shared" si="4"/>
        <v>0</v>
      </c>
      <c r="G11" s="1">
        <f t="shared" si="5"/>
        <v>89.169999999999987</v>
      </c>
      <c r="H11" s="1"/>
      <c r="I11" s="1">
        <f t="shared" si="6"/>
        <v>53</v>
      </c>
      <c r="J11" s="12">
        <f t="shared" si="7"/>
        <v>1.682452830188679</v>
      </c>
    </row>
    <row r="12" spans="1:10" x14ac:dyDescent="0.25">
      <c r="A12" s="1">
        <v>18</v>
      </c>
      <c r="B12" s="1">
        <f t="shared" si="0"/>
        <v>40.799999999999997</v>
      </c>
      <c r="C12" s="1">
        <f t="shared" si="1"/>
        <v>51.36</v>
      </c>
      <c r="D12" s="1">
        <f t="shared" si="2"/>
        <v>42.66</v>
      </c>
      <c r="E12" s="1">
        <f t="shared" si="3"/>
        <v>17.68</v>
      </c>
      <c r="F12" s="1">
        <f t="shared" si="4"/>
        <v>0</v>
      </c>
      <c r="G12" s="1">
        <f t="shared" si="5"/>
        <v>60.339999999999996</v>
      </c>
      <c r="H12" s="1"/>
      <c r="I12" s="1">
        <f t="shared" si="6"/>
        <v>35</v>
      </c>
      <c r="J12" s="12">
        <f t="shared" si="7"/>
        <v>1.724</v>
      </c>
    </row>
    <row r="13" spans="1:10" s="6" customFormat="1" x14ac:dyDescent="0.25">
      <c r="B13" s="6">
        <f t="shared" ref="B13:G13" si="8">SUM(B7:B12)</f>
        <v>291.60000000000002</v>
      </c>
      <c r="C13" s="6">
        <f t="shared" si="8"/>
        <v>339.92</v>
      </c>
      <c r="D13" s="6">
        <f t="shared" si="8"/>
        <v>254.44999999999996</v>
      </c>
      <c r="E13" s="6">
        <f t="shared" si="8"/>
        <v>134.25</v>
      </c>
      <c r="F13" s="6">
        <f t="shared" si="8"/>
        <v>9.36</v>
      </c>
      <c r="G13" s="6">
        <f t="shared" si="8"/>
        <v>398.05999999999995</v>
      </c>
      <c r="I13" s="6">
        <f>SUM(I7:I12)</f>
        <v>249</v>
      </c>
    </row>
    <row r="14" spans="1:10" ht="15.75" thickBot="1" x14ac:dyDescent="0.3"/>
    <row r="15" spans="1:10" ht="30" x14ac:dyDescent="0.25">
      <c r="J15" s="170" t="s">
        <v>103</v>
      </c>
    </row>
    <row r="16" spans="1:10" ht="15.75" thickBot="1" x14ac:dyDescent="0.3">
      <c r="J16" s="171">
        <f>G13/(D3-D4)</f>
        <v>39.805999999999997</v>
      </c>
    </row>
    <row r="18" spans="10:10" ht="15.75" thickBot="1" x14ac:dyDescent="0.3"/>
    <row r="19" spans="10:10" ht="30" x14ac:dyDescent="0.25">
      <c r="J19" s="170" t="s">
        <v>102</v>
      </c>
    </row>
    <row r="20" spans="10:10" ht="15.75" thickBot="1" x14ac:dyDescent="0.3">
      <c r="J20" s="171">
        <f>B13/(D3-D4)</f>
        <v>29.160000000000004</v>
      </c>
    </row>
    <row r="22" spans="10:10" ht="15.75" thickBot="1" x14ac:dyDescent="0.3"/>
    <row r="23" spans="10:10" ht="60" x14ac:dyDescent="0.25">
      <c r="J23" s="170" t="s">
        <v>106</v>
      </c>
    </row>
    <row r="24" spans="10:10" ht="15.75" thickBot="1" x14ac:dyDescent="0.3">
      <c r="J24" s="171" t="str">
        <f>J20/J20&amp;":"&amp;ROUND(J16/J20,2)</f>
        <v>1:1.37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12">
    <cfRule type="expression" dxfId="10" priority="27">
      <formula>G7&gt;C7</formula>
    </cfRule>
    <cfRule type="expression" dxfId="9" priority="28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E049-B086-448F-9407-48C3FDDB643D}">
  <dimension ref="A1:J105"/>
  <sheetViews>
    <sheetView view="pageBreakPreview" zoomScaleNormal="100" zoomScaleSheetLayoutView="100" workbookViewId="0">
      <selection activeCell="AW24" sqref="AW24"/>
    </sheetView>
  </sheetViews>
  <sheetFormatPr defaultRowHeight="15" x14ac:dyDescent="0.25"/>
  <cols>
    <col min="8" max="8" width="0.5703125" customWidth="1"/>
    <col min="10" max="10" width="9.140625" style="8"/>
  </cols>
  <sheetData>
    <row r="1" spans="1:10" s="5" customFormat="1" x14ac:dyDescent="0.25">
      <c r="A1" s="5" t="str">
        <f>'HARVESTING ROUND'!A1</f>
        <v>HARVESTER PERFORMANCE CHART FOR THE MONTH OF JAN 2026 (1ST - 31ST)</v>
      </c>
      <c r="J1" s="168"/>
    </row>
    <row r="2" spans="1:10" x14ac:dyDescent="0.25">
      <c r="A2" t="s">
        <v>10</v>
      </c>
    </row>
    <row r="3" spans="1:10" x14ac:dyDescent="0.25">
      <c r="A3" t="s">
        <v>99</v>
      </c>
      <c r="D3" s="167">
        <v>7</v>
      </c>
    </row>
    <row r="4" spans="1:10" x14ac:dyDescent="0.25">
      <c r="A4" t="s">
        <v>100</v>
      </c>
      <c r="D4" s="167">
        <v>0</v>
      </c>
    </row>
    <row r="6" spans="1:10" ht="30" x14ac:dyDescent="0.25">
      <c r="A6" s="2" t="s">
        <v>0</v>
      </c>
      <c r="B6" s="2" t="s">
        <v>1</v>
      </c>
      <c r="C6" s="2" t="s">
        <v>260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98</v>
      </c>
      <c r="J6" s="169" t="s">
        <v>101</v>
      </c>
    </row>
    <row r="7" spans="1:10" x14ac:dyDescent="0.25">
      <c r="A7" s="4">
        <v>25</v>
      </c>
      <c r="B7" s="1">
        <f t="shared" ref="B7:B14" si="0">VLOOKUP(A7,budget2026,6,FALSE)</f>
        <v>38.200000000000003</v>
      </c>
      <c r="C7" s="1">
        <f t="shared" ref="C7:C14" si="1">VLOOKUP(A7,budget2026,7,FALSE)</f>
        <v>8.06</v>
      </c>
      <c r="D7" s="1">
        <f t="shared" ref="D7:D14" si="2">VLOOKUP(A7,harvestinground,5,FALSE)</f>
        <v>16.68</v>
      </c>
      <c r="E7" s="1">
        <f t="shared" ref="E7:E14" si="3">VLOOKUP(A7,harvestinground,6,FALSE)</f>
        <v>5.99</v>
      </c>
      <c r="F7" s="1">
        <f t="shared" ref="F7:F14" si="4">VLOOKUP(A7,harvestinground,7,FALSE)</f>
        <v>0</v>
      </c>
      <c r="G7" s="1">
        <f t="shared" ref="G7:G14" si="5">SUM(D7:F7)</f>
        <v>22.67</v>
      </c>
      <c r="H7" s="1"/>
      <c r="I7" s="1">
        <f t="shared" ref="I7:I14" si="6">VLOOKUP(A7,manday,34,FALSE)</f>
        <v>25</v>
      </c>
      <c r="J7" s="12">
        <f>IFERROR(G7/I7,0)</f>
        <v>0.90680000000000005</v>
      </c>
    </row>
    <row r="8" spans="1:10" x14ac:dyDescent="0.25">
      <c r="A8" s="4" t="s">
        <v>7</v>
      </c>
      <c r="B8" s="1">
        <f t="shared" si="0"/>
        <v>22.7</v>
      </c>
      <c r="C8" s="1">
        <f t="shared" si="1"/>
        <v>5.9799999999999995</v>
      </c>
      <c r="D8" s="1">
        <f t="shared" si="2"/>
        <v>14.24</v>
      </c>
      <c r="E8" s="1">
        <f t="shared" si="3"/>
        <v>10.84</v>
      </c>
      <c r="F8" s="1">
        <f t="shared" si="4"/>
        <v>0</v>
      </c>
      <c r="G8" s="1">
        <f t="shared" si="5"/>
        <v>25.08</v>
      </c>
      <c r="H8" s="1"/>
      <c r="I8" s="1">
        <f t="shared" si="6"/>
        <v>21</v>
      </c>
      <c r="J8" s="12">
        <f t="shared" ref="J8:J14" si="7">IFERROR(G8/I8,0)</f>
        <v>1.1942857142857142</v>
      </c>
    </row>
    <row r="9" spans="1:10" x14ac:dyDescent="0.25">
      <c r="A9" s="4">
        <v>27</v>
      </c>
      <c r="B9" s="1">
        <f t="shared" si="0"/>
        <v>14.3</v>
      </c>
      <c r="C9" s="1">
        <f t="shared" si="1"/>
        <v>5.0999999999999996</v>
      </c>
      <c r="D9" s="1">
        <f t="shared" si="2"/>
        <v>8.31</v>
      </c>
      <c r="E9" s="1">
        <f t="shared" si="3"/>
        <v>8.74</v>
      </c>
      <c r="F9" s="1">
        <f t="shared" si="4"/>
        <v>0</v>
      </c>
      <c r="G9" s="1">
        <f t="shared" si="5"/>
        <v>17.05</v>
      </c>
      <c r="H9" s="1"/>
      <c r="I9" s="1">
        <f t="shared" si="6"/>
        <v>22</v>
      </c>
      <c r="J9" s="12">
        <f t="shared" si="7"/>
        <v>0.77500000000000002</v>
      </c>
    </row>
    <row r="10" spans="1:10" x14ac:dyDescent="0.25">
      <c r="A10" s="4">
        <v>28</v>
      </c>
      <c r="B10" s="1">
        <f t="shared" si="0"/>
        <v>21.9</v>
      </c>
      <c r="C10" s="1">
        <f t="shared" si="1"/>
        <v>15.719999999999999</v>
      </c>
      <c r="D10" s="1">
        <f t="shared" si="2"/>
        <v>16.89</v>
      </c>
      <c r="E10" s="1">
        <f t="shared" si="3"/>
        <v>12.379999999999999</v>
      </c>
      <c r="F10" s="1">
        <f t="shared" si="4"/>
        <v>0</v>
      </c>
      <c r="G10" s="1">
        <f t="shared" si="5"/>
        <v>29.27</v>
      </c>
      <c r="H10" s="1"/>
      <c r="I10" s="1">
        <f t="shared" si="6"/>
        <v>28</v>
      </c>
      <c r="J10" s="12">
        <f t="shared" si="7"/>
        <v>1.0453571428571429</v>
      </c>
    </row>
    <row r="11" spans="1:10" x14ac:dyDescent="0.25">
      <c r="A11" s="4">
        <v>30</v>
      </c>
      <c r="B11" s="1">
        <f t="shared" si="0"/>
        <v>24.3</v>
      </c>
      <c r="C11" s="1">
        <f t="shared" si="1"/>
        <v>4.7</v>
      </c>
      <c r="D11" s="1">
        <f t="shared" si="2"/>
        <v>11.82</v>
      </c>
      <c r="E11" s="1">
        <f t="shared" si="3"/>
        <v>9.1300000000000008</v>
      </c>
      <c r="F11" s="1">
        <f t="shared" si="4"/>
        <v>0</v>
      </c>
      <c r="G11" s="1">
        <f t="shared" si="5"/>
        <v>20.950000000000003</v>
      </c>
      <c r="H11" s="1"/>
      <c r="I11" s="1">
        <f t="shared" si="6"/>
        <v>21</v>
      </c>
      <c r="J11" s="12">
        <f t="shared" si="7"/>
        <v>0.99761904761904774</v>
      </c>
    </row>
    <row r="12" spans="1:10" x14ac:dyDescent="0.25">
      <c r="A12" s="4">
        <v>31</v>
      </c>
      <c r="B12" s="1">
        <f t="shared" si="0"/>
        <v>34</v>
      </c>
      <c r="C12" s="1">
        <f t="shared" si="1"/>
        <v>7.1</v>
      </c>
      <c r="D12" s="1">
        <f t="shared" si="2"/>
        <v>10.940000000000001</v>
      </c>
      <c r="E12" s="1">
        <f t="shared" si="3"/>
        <v>6.92</v>
      </c>
      <c r="F12" s="1">
        <f t="shared" si="4"/>
        <v>3.15</v>
      </c>
      <c r="G12" s="1">
        <f t="shared" si="5"/>
        <v>21.009999999999998</v>
      </c>
      <c r="H12" s="1"/>
      <c r="I12" s="1">
        <f t="shared" si="6"/>
        <v>26</v>
      </c>
      <c r="J12" s="12">
        <f t="shared" si="7"/>
        <v>0.80807692307692303</v>
      </c>
    </row>
    <row r="13" spans="1:10" x14ac:dyDescent="0.25">
      <c r="A13" s="4">
        <v>33</v>
      </c>
      <c r="B13" s="1">
        <f t="shared" si="0"/>
        <v>28.4</v>
      </c>
      <c r="C13" s="1">
        <f t="shared" si="1"/>
        <v>26.619999999999997</v>
      </c>
      <c r="D13" s="1">
        <f t="shared" si="2"/>
        <v>19.080000000000002</v>
      </c>
      <c r="E13" s="1">
        <f t="shared" si="3"/>
        <v>6.49</v>
      </c>
      <c r="F13" s="1">
        <f t="shared" si="4"/>
        <v>0</v>
      </c>
      <c r="G13" s="1">
        <f t="shared" si="5"/>
        <v>25.57</v>
      </c>
      <c r="H13" s="1"/>
      <c r="I13" s="1">
        <f t="shared" si="6"/>
        <v>35</v>
      </c>
      <c r="J13" s="12">
        <f t="shared" si="7"/>
        <v>0.73057142857142854</v>
      </c>
    </row>
    <row r="14" spans="1:10" x14ac:dyDescent="0.25">
      <c r="A14" s="4">
        <v>39</v>
      </c>
      <c r="B14" s="1">
        <f t="shared" si="0"/>
        <v>4.5</v>
      </c>
      <c r="C14" s="1">
        <f t="shared" si="1"/>
        <v>0.61999999999999988</v>
      </c>
      <c r="D14" s="1">
        <f t="shared" si="2"/>
        <v>2.06</v>
      </c>
      <c r="E14" s="1">
        <f t="shared" si="3"/>
        <v>0.87</v>
      </c>
      <c r="F14" s="1">
        <f t="shared" si="4"/>
        <v>0</v>
      </c>
      <c r="G14" s="1">
        <f t="shared" si="5"/>
        <v>2.93</v>
      </c>
      <c r="H14" s="1"/>
      <c r="I14" s="1">
        <f t="shared" si="6"/>
        <v>14</v>
      </c>
      <c r="J14" s="12">
        <f t="shared" si="7"/>
        <v>0.2092857142857143</v>
      </c>
    </row>
    <row r="15" spans="1:10" s="6" customFormat="1" x14ac:dyDescent="0.25">
      <c r="B15" s="6">
        <f t="shared" ref="B15:G15" si="8">SUM(B7:B14)</f>
        <v>188.29999999999998</v>
      </c>
      <c r="C15" s="6">
        <f t="shared" si="8"/>
        <v>73.900000000000006</v>
      </c>
      <c r="D15" s="6">
        <f t="shared" si="8"/>
        <v>100.02</v>
      </c>
      <c r="E15" s="6">
        <f t="shared" si="8"/>
        <v>61.360000000000007</v>
      </c>
      <c r="F15" s="6">
        <f t="shared" si="8"/>
        <v>3.15</v>
      </c>
      <c r="G15" s="6">
        <f t="shared" si="8"/>
        <v>164.53</v>
      </c>
      <c r="H15"/>
      <c r="I15" s="6">
        <f>SUM(I7:I14)</f>
        <v>192</v>
      </c>
    </row>
    <row r="16" spans="1:10" ht="15.75" thickBot="1" x14ac:dyDescent="0.3"/>
    <row r="17" spans="10:10" ht="30" x14ac:dyDescent="0.25">
      <c r="J17" s="170" t="s">
        <v>103</v>
      </c>
    </row>
    <row r="18" spans="10:10" ht="15.75" thickBot="1" x14ac:dyDescent="0.3">
      <c r="J18" s="171">
        <f>G15/(D3-D4)</f>
        <v>23.504285714285714</v>
      </c>
    </row>
    <row r="20" spans="10:10" ht="15.75" thickBot="1" x14ac:dyDescent="0.3"/>
    <row r="21" spans="10:10" ht="30" x14ac:dyDescent="0.25">
      <c r="J21" s="170" t="s">
        <v>102</v>
      </c>
    </row>
    <row r="22" spans="10:10" ht="15.75" thickBot="1" x14ac:dyDescent="0.3">
      <c r="J22" s="171">
        <f>B15/(D3-D4)</f>
        <v>26.9</v>
      </c>
    </row>
    <row r="24" spans="10:10" ht="15.75" thickBot="1" x14ac:dyDescent="0.3"/>
    <row r="25" spans="10:10" ht="60" x14ac:dyDescent="0.25">
      <c r="J25" s="170" t="s">
        <v>106</v>
      </c>
    </row>
    <row r="26" spans="10:10" ht="15.75" thickBot="1" x14ac:dyDescent="0.3">
      <c r="J26" s="171" t="str">
        <f>J22/J22&amp;":"&amp;ROUND(J18/J22,2)</f>
        <v>1:0.87</v>
      </c>
    </row>
    <row r="55" spans="5:8" ht="75" x14ac:dyDescent="0.25">
      <c r="E55" s="526" t="s">
        <v>167</v>
      </c>
      <c r="H55" t="s">
        <v>168</v>
      </c>
    </row>
    <row r="105" spans="5:8" ht="375" x14ac:dyDescent="0.25">
      <c r="E105" s="526" t="s">
        <v>169</v>
      </c>
      <c r="H105" s="526" t="s">
        <v>170</v>
      </c>
    </row>
  </sheetData>
  <conditionalFormatting sqref="G7:G14">
    <cfRule type="expression" dxfId="8" priority="25">
      <formula>G7&gt;C7</formula>
    </cfRule>
    <cfRule type="expression" dxfId="7" priority="26">
      <formula>G7&lt;C7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1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98EA-4FC3-4685-8D4A-09C1AD832EF7}">
  <sheetPr>
    <pageSetUpPr fitToPage="1"/>
  </sheetPr>
  <dimension ref="A1:AD157"/>
  <sheetViews>
    <sheetView view="pageBreakPreview" topLeftCell="B1" zoomScaleNormal="100" zoomScaleSheetLayoutView="100" workbookViewId="0">
      <selection activeCell="D2" sqref="D2"/>
    </sheetView>
  </sheetViews>
  <sheetFormatPr defaultRowHeight="15" outlineLevelRow="1" x14ac:dyDescent="0.25"/>
  <cols>
    <col min="1" max="1" width="24.7109375" style="7" bestFit="1" customWidth="1"/>
    <col min="2" max="2" width="10" style="539" customWidth="1"/>
    <col min="3" max="3" width="10" bestFit="1" customWidth="1"/>
    <col min="4" max="4" width="9.140625" style="434"/>
    <col min="5" max="5" width="9.140625" style="540"/>
    <col min="6" max="8" width="9.140625" style="434"/>
    <col min="9" max="9" width="8.7109375" style="540" customWidth="1"/>
    <col min="10" max="12" width="9.140625" style="434"/>
    <col min="13" max="13" width="9.140625" style="540"/>
    <col min="14" max="14" width="9.140625" style="434"/>
    <col min="15" max="15" width="8.7109375" style="540" customWidth="1"/>
    <col min="16" max="16" width="1.140625" customWidth="1"/>
    <col min="17" max="17" width="9.140625" style="434"/>
    <col min="18" max="18" width="9.140625" style="541"/>
    <col min="19" max="21" width="9.140625" style="434"/>
    <col min="22" max="22" width="9.140625" style="541"/>
    <col min="23" max="24" width="9.140625" style="434"/>
    <col min="26" max="26" width="9.140625" style="506"/>
    <col min="28" max="28" width="10.5703125" style="539" customWidth="1"/>
  </cols>
  <sheetData>
    <row r="1" spans="1:28" x14ac:dyDescent="0.25">
      <c r="A1" s="5" t="s">
        <v>203</v>
      </c>
    </row>
    <row r="2" spans="1:28" ht="15.75" thickBot="1" x14ac:dyDescent="0.3"/>
    <row r="3" spans="1:28" s="7" customFormat="1" outlineLevel="1" x14ac:dyDescent="0.25">
      <c r="B3" s="435"/>
      <c r="D3" s="961">
        <v>2025</v>
      </c>
      <c r="E3" s="962"/>
      <c r="F3" s="962"/>
      <c r="G3" s="962"/>
      <c r="H3" s="962"/>
      <c r="I3" s="962"/>
      <c r="J3" s="962"/>
      <c r="K3" s="962"/>
      <c r="L3" s="962"/>
      <c r="M3" s="962"/>
      <c r="N3" s="962"/>
      <c r="O3" s="963"/>
      <c r="Q3" s="961">
        <v>2026</v>
      </c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3"/>
    </row>
    <row r="4" spans="1:28" s="552" customFormat="1" ht="75.75" outlineLevel="1" thickBot="1" x14ac:dyDescent="0.3">
      <c r="A4" s="542" t="s">
        <v>78</v>
      </c>
      <c r="B4" s="542" t="s">
        <v>69</v>
      </c>
      <c r="C4" s="543" t="s">
        <v>80</v>
      </c>
      <c r="D4" s="544" t="s">
        <v>172</v>
      </c>
      <c r="E4" s="545" t="s">
        <v>173</v>
      </c>
      <c r="F4" s="546" t="s">
        <v>174</v>
      </c>
      <c r="G4" s="549" t="s">
        <v>192</v>
      </c>
      <c r="H4" s="547" t="s">
        <v>175</v>
      </c>
      <c r="I4" s="548" t="s">
        <v>173</v>
      </c>
      <c r="J4" s="547" t="s">
        <v>174</v>
      </c>
      <c r="K4" s="549" t="s">
        <v>194</v>
      </c>
      <c r="L4" s="549" t="s">
        <v>176</v>
      </c>
      <c r="M4" s="550" t="s">
        <v>173</v>
      </c>
      <c r="N4" s="549" t="s">
        <v>174</v>
      </c>
      <c r="O4" s="551" t="s">
        <v>177</v>
      </c>
      <c r="Q4" s="544" t="s">
        <v>172</v>
      </c>
      <c r="R4" s="553" t="s">
        <v>173</v>
      </c>
      <c r="S4" s="546" t="s">
        <v>174</v>
      </c>
      <c r="T4" s="549" t="s">
        <v>193</v>
      </c>
      <c r="U4" s="547" t="s">
        <v>175</v>
      </c>
      <c r="V4" s="554" t="s">
        <v>173</v>
      </c>
      <c r="W4" s="547" t="s">
        <v>174</v>
      </c>
      <c r="X4" s="549" t="s">
        <v>204</v>
      </c>
      <c r="Y4" s="549" t="s">
        <v>176</v>
      </c>
      <c r="Z4" s="550" t="s">
        <v>173</v>
      </c>
      <c r="AA4" s="549" t="s">
        <v>174</v>
      </c>
      <c r="AB4" s="551" t="s">
        <v>177</v>
      </c>
    </row>
    <row r="5" spans="1:28" ht="15" customHeight="1" outlineLevel="1" thickBot="1" x14ac:dyDescent="0.3">
      <c r="A5" s="950" t="s">
        <v>111</v>
      </c>
      <c r="B5" s="555">
        <v>2010</v>
      </c>
      <c r="C5" s="556">
        <v>1</v>
      </c>
      <c r="D5" s="557">
        <f t="shared" ref="D5:D39" si="0">VLOOKUP(C5,october2024,35,FALSE)+VLOOKUP(C5,october2024,36,FALSE)</f>
        <v>111.05</v>
      </c>
      <c r="E5" s="558" t="str">
        <f t="shared" ref="E5:E39" si="1">VLOOKUP(C5,october2024,39,FALSE)</f>
        <v>0</v>
      </c>
      <c r="F5" s="559">
        <f t="shared" ref="F5:F39" si="2">VLOOKUP(C5,october2024,40,FALSE)</f>
        <v>0</v>
      </c>
      <c r="G5" s="562" t="str">
        <f t="shared" ref="G5:G39" si="3">IF(VALUE(I5)=0,"",VLOOKUP(C5,october2024,43,FALSE)-VLOOKUP(C5,october2024,39,FALSE))</f>
        <v/>
      </c>
      <c r="H5" s="560">
        <f t="shared" ref="H5:H39" si="4">VLOOKUP(C5,october2024,41,FALSE)+VLOOKUP(C5,october2024,42,FALSE)</f>
        <v>40.630000000000003</v>
      </c>
      <c r="I5" s="561" t="str">
        <f t="shared" ref="I5:I39" si="5">VLOOKUP(C5,october2024,45,FALSE)</f>
        <v>0</v>
      </c>
      <c r="J5" s="560">
        <f t="shared" ref="J5:J39" si="6">VLOOKUP(C5,october2024,46,FALSE)</f>
        <v>0</v>
      </c>
      <c r="K5" s="744" t="str">
        <f t="shared" ref="K5:K39" si="7">IF(VALUE(M5)=0, "", VLOOKUP(C5, october2024, 49, FALSE) - VLOOKUP(C5, october2024, 45, FALSE))</f>
        <v/>
      </c>
      <c r="L5" s="562">
        <f>VLOOKUP(C5,october2024,47,FALSE)</f>
        <v>0</v>
      </c>
      <c r="M5" s="563" t="str">
        <f>VLOOKUP(C5,october2024,51,FALSE)</f>
        <v>0</v>
      </c>
      <c r="N5" s="562">
        <f>VLOOKUP(C5,october2024,49,FALSE)</f>
        <v>0</v>
      </c>
      <c r="O5" s="564">
        <f t="shared" ref="O5:O39" si="8">VLOOKUP(C5,october2024,34,FALSE)</f>
        <v>80</v>
      </c>
      <c r="P5" s="565"/>
      <c r="Q5" s="557">
        <f t="shared" ref="Q5:Q39" si="9">VLOOKUP(C5,manday,35,FALSE)</f>
        <v>111.05</v>
      </c>
      <c r="R5" s="566" t="str">
        <f t="shared" ref="R5:R39" si="10">VLOOKUP(C5,manday,39,FALSE)</f>
        <v>0</v>
      </c>
      <c r="S5" s="559">
        <f>IFERROR(Q5/R5,0)</f>
        <v>0</v>
      </c>
      <c r="T5" s="562" t="str">
        <f t="shared" ref="T5:T39" si="11">IF(VALUE(V5)=0,"",VLOOKUP(C5,manday,43,FALSE)-VLOOKUP(C5,manday,39,FALSE)-VLOOKUP(C5,manday,37,FALSE)+1)</f>
        <v/>
      </c>
      <c r="U5" s="560">
        <f t="shared" ref="U5:U39" si="12">VLOOKUP(C5,manday,41,FALSE)</f>
        <v>40.630000000000003</v>
      </c>
      <c r="V5" s="567" t="str">
        <f t="shared" ref="V5:V39" si="13">VLOOKUP(C5,manday,45,FALSE)</f>
        <v>0</v>
      </c>
      <c r="W5" s="560">
        <f>IFERROR(U5/V5,0)</f>
        <v>0</v>
      </c>
      <c r="X5" s="744" t="str">
        <f t="shared" ref="X5:X39" si="14">IF(VALUE(Z5)=0, "", VLOOKUP(C5, manday, 49, FALSE) - VLOOKUP(C5, manday, 45, FALSE))</f>
        <v/>
      </c>
      <c r="Y5" s="742">
        <f t="shared" ref="Y5:Y39" si="15">VLOOKUP(C5,manday,47,FALSE)</f>
        <v>0</v>
      </c>
      <c r="Z5" s="563" t="str">
        <f t="shared" ref="Z5:Z39" si="16">VLOOKUP(C5,manday,51,FALSE)</f>
        <v>0</v>
      </c>
      <c r="AA5" s="742">
        <f t="shared" ref="AA5:AA39" si="17">VLOOKUP(C5,manday,49,FALSE)</f>
        <v>0</v>
      </c>
      <c r="AB5" s="568">
        <f t="shared" ref="AB5:AB39" si="18">VLOOKUP(C5,manday,34,FALSE)</f>
        <v>80</v>
      </c>
    </row>
    <row r="6" spans="1:28" ht="15" customHeight="1" outlineLevel="1" x14ac:dyDescent="0.25">
      <c r="A6" s="951"/>
      <c r="B6" s="569">
        <v>2010</v>
      </c>
      <c r="C6" s="570">
        <v>3</v>
      </c>
      <c r="D6" s="571">
        <f t="shared" si="0"/>
        <v>65.929999999999993</v>
      </c>
      <c r="E6" s="572" t="str">
        <f t="shared" si="1"/>
        <v>0</v>
      </c>
      <c r="F6" s="573">
        <f t="shared" si="2"/>
        <v>0</v>
      </c>
      <c r="G6" s="562" t="str">
        <f t="shared" si="3"/>
        <v/>
      </c>
      <c r="H6" s="491">
        <f t="shared" si="4"/>
        <v>16.14</v>
      </c>
      <c r="I6" s="574" t="str">
        <f t="shared" si="5"/>
        <v>0</v>
      </c>
      <c r="J6" s="491">
        <f t="shared" si="6"/>
        <v>0</v>
      </c>
      <c r="K6" s="744" t="str">
        <f t="shared" si="7"/>
        <v/>
      </c>
      <c r="L6" s="66">
        <f t="shared" ref="L6:L39" si="19">VLOOKUP(C6,october2024,47,FALSE)</f>
        <v>0</v>
      </c>
      <c r="M6" s="575" t="str">
        <f t="shared" ref="M6:M39" si="20">VLOOKUP(C6,october2024,51,FALSE)</f>
        <v>0</v>
      </c>
      <c r="N6" s="66">
        <f t="shared" ref="N6:N39" si="21">VLOOKUP(C6,october2024,49,FALSE)</f>
        <v>0</v>
      </c>
      <c r="O6" s="576">
        <f t="shared" si="8"/>
        <v>72</v>
      </c>
      <c r="Q6" s="571">
        <f t="shared" si="9"/>
        <v>65.929999999999993</v>
      </c>
      <c r="R6" s="577" t="str">
        <f t="shared" si="10"/>
        <v>0</v>
      </c>
      <c r="S6" s="573">
        <f t="shared" ref="S6:S39" si="22">IFERROR(Q6/R6,0)</f>
        <v>0</v>
      </c>
      <c r="T6" s="562" t="str">
        <f t="shared" si="11"/>
        <v/>
      </c>
      <c r="U6" s="491">
        <f t="shared" si="12"/>
        <v>16.14</v>
      </c>
      <c r="V6" s="578" t="str">
        <f t="shared" si="13"/>
        <v>0</v>
      </c>
      <c r="W6" s="491">
        <f t="shared" ref="W6:W39" si="23">IFERROR(U6/V6,0)</f>
        <v>0</v>
      </c>
      <c r="X6" s="744" t="str">
        <f t="shared" si="14"/>
        <v/>
      </c>
      <c r="Y6" s="740">
        <f t="shared" si="15"/>
        <v>0</v>
      </c>
      <c r="Z6" s="575" t="str">
        <f t="shared" si="16"/>
        <v>0</v>
      </c>
      <c r="AA6" s="740">
        <f t="shared" si="17"/>
        <v>0</v>
      </c>
      <c r="AB6" s="579">
        <f t="shared" si="18"/>
        <v>72</v>
      </c>
    </row>
    <row r="7" spans="1:28" ht="15" customHeight="1" outlineLevel="1" thickBot="1" x14ac:dyDescent="0.3">
      <c r="A7" s="952"/>
      <c r="B7" s="580">
        <v>2011</v>
      </c>
      <c r="C7" s="581">
        <v>14</v>
      </c>
      <c r="D7" s="582">
        <f t="shared" si="0"/>
        <v>59.760000000000005</v>
      </c>
      <c r="E7" s="583" t="str">
        <f t="shared" si="1"/>
        <v>0</v>
      </c>
      <c r="F7" s="584">
        <f t="shared" si="2"/>
        <v>0</v>
      </c>
      <c r="G7" s="587" t="str">
        <f t="shared" si="3"/>
        <v/>
      </c>
      <c r="H7" s="585">
        <f t="shared" si="4"/>
        <v>34.15</v>
      </c>
      <c r="I7" s="586" t="str">
        <f t="shared" si="5"/>
        <v>0</v>
      </c>
      <c r="J7" s="585">
        <f t="shared" si="6"/>
        <v>0</v>
      </c>
      <c r="K7" s="745" t="str">
        <f t="shared" si="7"/>
        <v/>
      </c>
      <c r="L7" s="587">
        <f t="shared" si="19"/>
        <v>0</v>
      </c>
      <c r="M7" s="588" t="str">
        <f t="shared" si="20"/>
        <v>0</v>
      </c>
      <c r="N7" s="587">
        <f t="shared" si="21"/>
        <v>0</v>
      </c>
      <c r="O7" s="589">
        <f t="shared" si="8"/>
        <v>77</v>
      </c>
      <c r="P7" s="590"/>
      <c r="Q7" s="582">
        <f t="shared" si="9"/>
        <v>59.760000000000005</v>
      </c>
      <c r="R7" s="591" t="str">
        <f t="shared" si="10"/>
        <v>0</v>
      </c>
      <c r="S7" s="584">
        <f t="shared" si="22"/>
        <v>0</v>
      </c>
      <c r="T7" s="587" t="str">
        <f t="shared" si="11"/>
        <v/>
      </c>
      <c r="U7" s="585">
        <f t="shared" si="12"/>
        <v>34.15</v>
      </c>
      <c r="V7" s="592" t="str">
        <f t="shared" si="13"/>
        <v>0</v>
      </c>
      <c r="W7" s="585">
        <f t="shared" si="23"/>
        <v>0</v>
      </c>
      <c r="X7" s="745" t="str">
        <f t="shared" si="14"/>
        <v/>
      </c>
      <c r="Y7" s="741">
        <f t="shared" si="15"/>
        <v>0</v>
      </c>
      <c r="Z7" s="588" t="str">
        <f t="shared" si="16"/>
        <v>0</v>
      </c>
      <c r="AA7" s="741">
        <f t="shared" si="17"/>
        <v>0</v>
      </c>
      <c r="AB7" s="593">
        <f t="shared" si="18"/>
        <v>77</v>
      </c>
    </row>
    <row r="8" spans="1:28" ht="15" customHeight="1" outlineLevel="1" x14ac:dyDescent="0.25">
      <c r="A8" s="964" t="s">
        <v>198</v>
      </c>
      <c r="B8" s="555">
        <v>2010</v>
      </c>
      <c r="C8" s="556">
        <v>4</v>
      </c>
      <c r="D8" s="557">
        <f t="shared" si="0"/>
        <v>70.53</v>
      </c>
      <c r="E8" s="558" t="str">
        <f t="shared" si="1"/>
        <v>0</v>
      </c>
      <c r="F8" s="559">
        <f t="shared" si="2"/>
        <v>0</v>
      </c>
      <c r="G8" s="562" t="str">
        <f t="shared" si="3"/>
        <v/>
      </c>
      <c r="H8" s="560">
        <f t="shared" si="4"/>
        <v>0</v>
      </c>
      <c r="I8" s="561" t="str">
        <f t="shared" si="5"/>
        <v>0</v>
      </c>
      <c r="J8" s="560">
        <f t="shared" si="6"/>
        <v>0</v>
      </c>
      <c r="K8" s="746" t="str">
        <f t="shared" si="7"/>
        <v/>
      </c>
      <c r="L8" s="562">
        <f t="shared" si="19"/>
        <v>0</v>
      </c>
      <c r="M8" s="563" t="str">
        <f t="shared" si="20"/>
        <v>0</v>
      </c>
      <c r="N8" s="562">
        <f t="shared" si="21"/>
        <v>0</v>
      </c>
      <c r="O8" s="564">
        <f t="shared" si="8"/>
        <v>59</v>
      </c>
      <c r="P8" s="565"/>
      <c r="Q8" s="557">
        <f t="shared" si="9"/>
        <v>70.53</v>
      </c>
      <c r="R8" s="566" t="str">
        <f t="shared" si="10"/>
        <v>0</v>
      </c>
      <c r="S8" s="559">
        <f t="shared" si="22"/>
        <v>0</v>
      </c>
      <c r="T8" s="562" t="str">
        <f t="shared" si="11"/>
        <v/>
      </c>
      <c r="U8" s="560">
        <f t="shared" si="12"/>
        <v>0</v>
      </c>
      <c r="V8" s="567" t="str">
        <f t="shared" si="13"/>
        <v>0</v>
      </c>
      <c r="W8" s="560">
        <f t="shared" si="23"/>
        <v>0</v>
      </c>
      <c r="X8" s="746" t="str">
        <f t="shared" si="14"/>
        <v/>
      </c>
      <c r="Y8" s="742">
        <f t="shared" si="15"/>
        <v>0</v>
      </c>
      <c r="Z8" s="563" t="str">
        <f t="shared" si="16"/>
        <v>0</v>
      </c>
      <c r="AA8" s="742">
        <f t="shared" si="17"/>
        <v>0</v>
      </c>
      <c r="AB8" s="568">
        <f t="shared" si="18"/>
        <v>59</v>
      </c>
    </row>
    <row r="9" spans="1:28" ht="15" customHeight="1" outlineLevel="1" x14ac:dyDescent="0.25">
      <c r="A9" s="965"/>
      <c r="B9" s="569">
        <v>2010</v>
      </c>
      <c r="C9" s="570">
        <v>5</v>
      </c>
      <c r="D9" s="571">
        <f t="shared" si="0"/>
        <v>37.130000000000003</v>
      </c>
      <c r="E9" s="572" t="str">
        <f t="shared" si="1"/>
        <v>0</v>
      </c>
      <c r="F9" s="573">
        <f t="shared" si="2"/>
        <v>0</v>
      </c>
      <c r="G9" s="66" t="str">
        <f t="shared" si="3"/>
        <v/>
      </c>
      <c r="H9" s="491">
        <f t="shared" si="4"/>
        <v>39.159999999999997</v>
      </c>
      <c r="I9" s="574" t="str">
        <f t="shared" si="5"/>
        <v>0</v>
      </c>
      <c r="J9" s="491">
        <f t="shared" si="6"/>
        <v>0</v>
      </c>
      <c r="K9" s="744" t="str">
        <f t="shared" si="7"/>
        <v/>
      </c>
      <c r="L9" s="66">
        <f t="shared" si="19"/>
        <v>0</v>
      </c>
      <c r="M9" s="575" t="str">
        <f t="shared" si="20"/>
        <v>0</v>
      </c>
      <c r="N9" s="66">
        <f t="shared" si="21"/>
        <v>0</v>
      </c>
      <c r="O9" s="576">
        <f t="shared" si="8"/>
        <v>52</v>
      </c>
      <c r="Q9" s="571">
        <f t="shared" si="9"/>
        <v>37.130000000000003</v>
      </c>
      <c r="R9" s="577" t="str">
        <f t="shared" si="10"/>
        <v>0</v>
      </c>
      <c r="S9" s="573">
        <f t="shared" si="22"/>
        <v>0</v>
      </c>
      <c r="T9" s="66" t="str">
        <f t="shared" si="11"/>
        <v/>
      </c>
      <c r="U9" s="491">
        <f t="shared" si="12"/>
        <v>39.159999999999997</v>
      </c>
      <c r="V9" s="578" t="str">
        <f t="shared" si="13"/>
        <v>0</v>
      </c>
      <c r="W9" s="491">
        <f t="shared" si="23"/>
        <v>0</v>
      </c>
      <c r="X9" s="744" t="str">
        <f t="shared" si="14"/>
        <v/>
      </c>
      <c r="Y9" s="740">
        <f t="shared" si="15"/>
        <v>0</v>
      </c>
      <c r="Z9" s="575" t="str">
        <f t="shared" si="16"/>
        <v>0</v>
      </c>
      <c r="AA9" s="740">
        <f t="shared" si="17"/>
        <v>0</v>
      </c>
      <c r="AB9" s="579">
        <f t="shared" si="18"/>
        <v>52</v>
      </c>
    </row>
    <row r="10" spans="1:28" ht="15" customHeight="1" outlineLevel="1" x14ac:dyDescent="0.25">
      <c r="A10" s="965"/>
      <c r="B10" s="569">
        <v>2010</v>
      </c>
      <c r="C10" s="570">
        <v>6</v>
      </c>
      <c r="D10" s="571">
        <f t="shared" si="0"/>
        <v>44.18</v>
      </c>
      <c r="E10" s="572" t="str">
        <f t="shared" si="1"/>
        <v>0</v>
      </c>
      <c r="F10" s="573">
        <f t="shared" si="2"/>
        <v>0</v>
      </c>
      <c r="G10" s="66" t="str">
        <f t="shared" si="3"/>
        <v/>
      </c>
      <c r="H10" s="491">
        <f t="shared" si="4"/>
        <v>63.39</v>
      </c>
      <c r="I10" s="574" t="str">
        <f t="shared" si="5"/>
        <v>0</v>
      </c>
      <c r="J10" s="491">
        <f t="shared" si="6"/>
        <v>0</v>
      </c>
      <c r="K10" s="744" t="str">
        <f t="shared" si="7"/>
        <v/>
      </c>
      <c r="L10" s="66">
        <f t="shared" si="19"/>
        <v>0</v>
      </c>
      <c r="M10" s="575" t="str">
        <f t="shared" si="20"/>
        <v>0</v>
      </c>
      <c r="N10" s="66">
        <f t="shared" si="21"/>
        <v>0</v>
      </c>
      <c r="O10" s="576">
        <f t="shared" si="8"/>
        <v>71</v>
      </c>
      <c r="Q10" s="571">
        <f t="shared" si="9"/>
        <v>44.18</v>
      </c>
      <c r="R10" s="577" t="str">
        <f t="shared" si="10"/>
        <v>0</v>
      </c>
      <c r="S10" s="573">
        <f t="shared" si="22"/>
        <v>0</v>
      </c>
      <c r="T10" s="66" t="str">
        <f t="shared" si="11"/>
        <v/>
      </c>
      <c r="U10" s="491">
        <f t="shared" si="12"/>
        <v>63.39</v>
      </c>
      <c r="V10" s="578" t="str">
        <f t="shared" si="13"/>
        <v>0</v>
      </c>
      <c r="W10" s="491">
        <f t="shared" si="23"/>
        <v>0</v>
      </c>
      <c r="X10" s="744" t="str">
        <f t="shared" si="14"/>
        <v/>
      </c>
      <c r="Y10" s="740">
        <f t="shared" si="15"/>
        <v>0</v>
      </c>
      <c r="Z10" s="575" t="str">
        <f t="shared" si="16"/>
        <v>0</v>
      </c>
      <c r="AA10" s="740">
        <f t="shared" si="17"/>
        <v>0</v>
      </c>
      <c r="AB10" s="579">
        <f t="shared" si="18"/>
        <v>71</v>
      </c>
    </row>
    <row r="11" spans="1:28" ht="15" customHeight="1" outlineLevel="1" x14ac:dyDescent="0.25">
      <c r="A11" s="965"/>
      <c r="B11" s="569">
        <v>2010</v>
      </c>
      <c r="C11" s="570">
        <v>7</v>
      </c>
      <c r="D11" s="571">
        <f t="shared" si="0"/>
        <v>25.65</v>
      </c>
      <c r="E11" s="572" t="str">
        <f t="shared" si="1"/>
        <v>0</v>
      </c>
      <c r="F11" s="573">
        <f t="shared" si="2"/>
        <v>0</v>
      </c>
      <c r="G11" s="66" t="str">
        <f t="shared" si="3"/>
        <v/>
      </c>
      <c r="H11" s="491">
        <f t="shared" si="4"/>
        <v>19.72</v>
      </c>
      <c r="I11" s="574" t="str">
        <f t="shared" si="5"/>
        <v>0</v>
      </c>
      <c r="J11" s="491">
        <f t="shared" si="6"/>
        <v>0</v>
      </c>
      <c r="K11" s="744" t="str">
        <f t="shared" si="7"/>
        <v/>
      </c>
      <c r="L11" s="66">
        <f t="shared" si="19"/>
        <v>0</v>
      </c>
      <c r="M11" s="575" t="str">
        <f t="shared" si="20"/>
        <v>0</v>
      </c>
      <c r="N11" s="66">
        <f t="shared" si="21"/>
        <v>0</v>
      </c>
      <c r="O11" s="576">
        <f t="shared" si="8"/>
        <v>12</v>
      </c>
      <c r="Q11" s="571">
        <f t="shared" si="9"/>
        <v>25.65</v>
      </c>
      <c r="R11" s="577" t="str">
        <f t="shared" si="10"/>
        <v>0</v>
      </c>
      <c r="S11" s="573">
        <f t="shared" si="22"/>
        <v>0</v>
      </c>
      <c r="T11" s="66" t="str">
        <f t="shared" si="11"/>
        <v/>
      </c>
      <c r="U11" s="491">
        <f t="shared" si="12"/>
        <v>19.72</v>
      </c>
      <c r="V11" s="578" t="str">
        <f t="shared" si="13"/>
        <v>0</v>
      </c>
      <c r="W11" s="491">
        <f t="shared" si="23"/>
        <v>0</v>
      </c>
      <c r="X11" s="744" t="str">
        <f t="shared" si="14"/>
        <v/>
      </c>
      <c r="Y11" s="740">
        <f t="shared" si="15"/>
        <v>0</v>
      </c>
      <c r="Z11" s="575" t="str">
        <f t="shared" si="16"/>
        <v>0</v>
      </c>
      <c r="AA11" s="740">
        <f t="shared" si="17"/>
        <v>0</v>
      </c>
      <c r="AB11" s="579">
        <f t="shared" si="18"/>
        <v>12</v>
      </c>
    </row>
    <row r="12" spans="1:28" ht="15" customHeight="1" outlineLevel="1" x14ac:dyDescent="0.25">
      <c r="A12" s="965"/>
      <c r="B12" s="569">
        <v>2010</v>
      </c>
      <c r="C12" s="570">
        <v>23</v>
      </c>
      <c r="D12" s="571">
        <f t="shared" si="0"/>
        <v>4</v>
      </c>
      <c r="E12" s="572" t="str">
        <f t="shared" si="1"/>
        <v>0</v>
      </c>
      <c r="F12" s="573">
        <f t="shared" si="2"/>
        <v>0</v>
      </c>
      <c r="G12" s="66" t="str">
        <f t="shared" si="3"/>
        <v/>
      </c>
      <c r="H12" s="491">
        <f t="shared" si="4"/>
        <v>17.66</v>
      </c>
      <c r="I12" s="574" t="str">
        <f t="shared" si="5"/>
        <v>0</v>
      </c>
      <c r="J12" s="491">
        <f t="shared" si="6"/>
        <v>0</v>
      </c>
      <c r="K12" s="744" t="str">
        <f t="shared" si="7"/>
        <v/>
      </c>
      <c r="L12" s="66">
        <f t="shared" si="19"/>
        <v>0</v>
      </c>
      <c r="M12" s="575" t="str">
        <f t="shared" si="20"/>
        <v>0</v>
      </c>
      <c r="N12" s="66">
        <f t="shared" si="21"/>
        <v>0</v>
      </c>
      <c r="O12" s="576">
        <f t="shared" si="8"/>
        <v>18</v>
      </c>
      <c r="Q12" s="571">
        <f t="shared" si="9"/>
        <v>4</v>
      </c>
      <c r="R12" s="577" t="str">
        <f t="shared" si="10"/>
        <v>0</v>
      </c>
      <c r="S12" s="573">
        <f t="shared" si="22"/>
        <v>0</v>
      </c>
      <c r="T12" s="66" t="str">
        <f t="shared" si="11"/>
        <v/>
      </c>
      <c r="U12" s="491">
        <f t="shared" si="12"/>
        <v>17.66</v>
      </c>
      <c r="V12" s="578" t="str">
        <f t="shared" si="13"/>
        <v>0</v>
      </c>
      <c r="W12" s="491">
        <f t="shared" si="23"/>
        <v>0</v>
      </c>
      <c r="X12" s="744" t="str">
        <f t="shared" si="14"/>
        <v/>
      </c>
      <c r="Y12" s="740">
        <f t="shared" si="15"/>
        <v>0</v>
      </c>
      <c r="Z12" s="575" t="str">
        <f t="shared" si="16"/>
        <v>0</v>
      </c>
      <c r="AA12" s="740">
        <f t="shared" si="17"/>
        <v>0</v>
      </c>
      <c r="AB12" s="579">
        <f t="shared" si="18"/>
        <v>18</v>
      </c>
    </row>
    <row r="13" spans="1:28" ht="15" customHeight="1" outlineLevel="1" thickBot="1" x14ac:dyDescent="0.3">
      <c r="A13" s="966"/>
      <c r="B13" s="580">
        <v>2012</v>
      </c>
      <c r="C13" s="581">
        <v>24</v>
      </c>
      <c r="D13" s="582">
        <f t="shared" si="0"/>
        <v>29.610000000000003</v>
      </c>
      <c r="E13" s="583" t="str">
        <f t="shared" si="1"/>
        <v>0</v>
      </c>
      <c r="F13" s="584">
        <f t="shared" si="2"/>
        <v>0</v>
      </c>
      <c r="G13" s="587" t="str">
        <f t="shared" si="3"/>
        <v/>
      </c>
      <c r="H13" s="585">
        <f t="shared" si="4"/>
        <v>57.949999999999996</v>
      </c>
      <c r="I13" s="586" t="str">
        <f t="shared" si="5"/>
        <v>0</v>
      </c>
      <c r="J13" s="585">
        <f t="shared" si="6"/>
        <v>0</v>
      </c>
      <c r="K13" s="745" t="str">
        <f t="shared" si="7"/>
        <v/>
      </c>
      <c r="L13" s="587">
        <f t="shared" si="19"/>
        <v>0</v>
      </c>
      <c r="M13" s="588" t="str">
        <f t="shared" si="20"/>
        <v>0</v>
      </c>
      <c r="N13" s="587">
        <f t="shared" si="21"/>
        <v>0</v>
      </c>
      <c r="O13" s="589">
        <f t="shared" si="8"/>
        <v>55</v>
      </c>
      <c r="P13" s="590"/>
      <c r="Q13" s="582">
        <f t="shared" si="9"/>
        <v>29.610000000000003</v>
      </c>
      <c r="R13" s="591" t="str">
        <f t="shared" si="10"/>
        <v>0</v>
      </c>
      <c r="S13" s="584">
        <f t="shared" si="22"/>
        <v>0</v>
      </c>
      <c r="T13" s="587" t="str">
        <f t="shared" si="11"/>
        <v/>
      </c>
      <c r="U13" s="585">
        <f t="shared" si="12"/>
        <v>57.949999999999996</v>
      </c>
      <c r="V13" s="592" t="str">
        <f t="shared" si="13"/>
        <v>0</v>
      </c>
      <c r="W13" s="585">
        <f t="shared" si="23"/>
        <v>0</v>
      </c>
      <c r="X13" s="745" t="str">
        <f t="shared" si="14"/>
        <v/>
      </c>
      <c r="Y13" s="741">
        <f t="shared" si="15"/>
        <v>0</v>
      </c>
      <c r="Z13" s="588" t="str">
        <f t="shared" si="16"/>
        <v>0</v>
      </c>
      <c r="AA13" s="741">
        <f t="shared" si="17"/>
        <v>0</v>
      </c>
      <c r="AB13" s="593">
        <f t="shared" si="18"/>
        <v>55</v>
      </c>
    </row>
    <row r="14" spans="1:28" ht="15" customHeight="1" outlineLevel="1" x14ac:dyDescent="0.25">
      <c r="A14" s="950" t="s">
        <v>64</v>
      </c>
      <c r="B14" s="555">
        <v>2011</v>
      </c>
      <c r="C14" s="556">
        <v>15</v>
      </c>
      <c r="D14" s="557">
        <f t="shared" si="0"/>
        <v>62.25</v>
      </c>
      <c r="E14" s="558" t="str">
        <f t="shared" si="1"/>
        <v>0</v>
      </c>
      <c r="F14" s="559">
        <f t="shared" si="2"/>
        <v>0</v>
      </c>
      <c r="G14" s="562" t="str">
        <f t="shared" si="3"/>
        <v/>
      </c>
      <c r="H14" s="560">
        <f t="shared" si="4"/>
        <v>8.74</v>
      </c>
      <c r="I14" s="561" t="str">
        <f t="shared" si="5"/>
        <v>0</v>
      </c>
      <c r="J14" s="560">
        <f t="shared" si="6"/>
        <v>0</v>
      </c>
      <c r="K14" s="746" t="str">
        <f t="shared" si="7"/>
        <v/>
      </c>
      <c r="L14" s="562">
        <f t="shared" si="19"/>
        <v>0</v>
      </c>
      <c r="M14" s="563" t="str">
        <f t="shared" si="20"/>
        <v>0</v>
      </c>
      <c r="N14" s="562">
        <f t="shared" si="21"/>
        <v>0</v>
      </c>
      <c r="O14" s="564">
        <f t="shared" si="8"/>
        <v>56</v>
      </c>
      <c r="P14" s="565"/>
      <c r="Q14" s="557">
        <f t="shared" si="9"/>
        <v>62.25</v>
      </c>
      <c r="R14" s="566" t="str">
        <f t="shared" si="10"/>
        <v>0</v>
      </c>
      <c r="S14" s="559">
        <f t="shared" si="22"/>
        <v>0</v>
      </c>
      <c r="T14" s="562" t="str">
        <f t="shared" si="11"/>
        <v/>
      </c>
      <c r="U14" s="560">
        <f t="shared" si="12"/>
        <v>8.74</v>
      </c>
      <c r="V14" s="567" t="str">
        <f t="shared" si="13"/>
        <v>0</v>
      </c>
      <c r="W14" s="560">
        <f t="shared" si="23"/>
        <v>0</v>
      </c>
      <c r="X14" s="746" t="str">
        <f t="shared" si="14"/>
        <v/>
      </c>
      <c r="Y14" s="742">
        <f t="shared" si="15"/>
        <v>0</v>
      </c>
      <c r="Z14" s="563" t="str">
        <f t="shared" si="16"/>
        <v>0</v>
      </c>
      <c r="AA14" s="742">
        <f t="shared" si="17"/>
        <v>0</v>
      </c>
      <c r="AB14" s="568">
        <f t="shared" si="18"/>
        <v>56</v>
      </c>
    </row>
    <row r="15" spans="1:28" ht="15" customHeight="1" outlineLevel="1" x14ac:dyDescent="0.25">
      <c r="A15" s="951"/>
      <c r="B15" s="569">
        <v>2011</v>
      </c>
      <c r="C15" s="570">
        <v>16</v>
      </c>
      <c r="D15" s="571">
        <f t="shared" si="0"/>
        <v>34.21</v>
      </c>
      <c r="E15" s="572" t="str">
        <f t="shared" si="1"/>
        <v>0</v>
      </c>
      <c r="F15" s="573">
        <f t="shared" si="2"/>
        <v>0</v>
      </c>
      <c r="G15" s="66" t="str">
        <f t="shared" si="3"/>
        <v/>
      </c>
      <c r="H15" s="491">
        <f t="shared" si="4"/>
        <v>26.28</v>
      </c>
      <c r="I15" s="574" t="str">
        <f t="shared" si="5"/>
        <v>0</v>
      </c>
      <c r="J15" s="491">
        <f t="shared" si="6"/>
        <v>0</v>
      </c>
      <c r="K15" s="744" t="str">
        <f t="shared" si="7"/>
        <v/>
      </c>
      <c r="L15" s="66">
        <f t="shared" si="19"/>
        <v>0</v>
      </c>
      <c r="M15" s="575" t="str">
        <f t="shared" si="20"/>
        <v>0</v>
      </c>
      <c r="N15" s="66">
        <f t="shared" si="21"/>
        <v>0</v>
      </c>
      <c r="O15" s="576">
        <f t="shared" si="8"/>
        <v>51</v>
      </c>
      <c r="Q15" s="571">
        <f t="shared" si="9"/>
        <v>34.21</v>
      </c>
      <c r="R15" s="577" t="str">
        <f t="shared" si="10"/>
        <v>0</v>
      </c>
      <c r="S15" s="573">
        <f t="shared" si="22"/>
        <v>0</v>
      </c>
      <c r="T15" s="66" t="str">
        <f t="shared" si="11"/>
        <v/>
      </c>
      <c r="U15" s="491">
        <f t="shared" si="12"/>
        <v>26.28</v>
      </c>
      <c r="V15" s="578" t="str">
        <f t="shared" si="13"/>
        <v>0</v>
      </c>
      <c r="W15" s="491">
        <f t="shared" si="23"/>
        <v>0</v>
      </c>
      <c r="X15" s="744" t="str">
        <f t="shared" si="14"/>
        <v/>
      </c>
      <c r="Y15" s="740">
        <f t="shared" si="15"/>
        <v>0</v>
      </c>
      <c r="Z15" s="575" t="str">
        <f t="shared" si="16"/>
        <v>0</v>
      </c>
      <c r="AA15" s="740">
        <f t="shared" si="17"/>
        <v>0</v>
      </c>
      <c r="AB15" s="579">
        <f t="shared" si="18"/>
        <v>51</v>
      </c>
    </row>
    <row r="16" spans="1:28" ht="15" customHeight="1" outlineLevel="1" x14ac:dyDescent="0.25">
      <c r="A16" s="951"/>
      <c r="B16" s="569">
        <v>2011</v>
      </c>
      <c r="C16" s="570">
        <v>17</v>
      </c>
      <c r="D16" s="571">
        <f t="shared" si="0"/>
        <v>28.6</v>
      </c>
      <c r="E16" s="572" t="str">
        <f t="shared" si="1"/>
        <v>0</v>
      </c>
      <c r="F16" s="573">
        <f t="shared" si="2"/>
        <v>0</v>
      </c>
      <c r="G16" s="66" t="str">
        <f t="shared" si="3"/>
        <v/>
      </c>
      <c r="H16" s="491">
        <f t="shared" si="4"/>
        <v>27.35</v>
      </c>
      <c r="I16" s="574" t="str">
        <f t="shared" si="5"/>
        <v>0</v>
      </c>
      <c r="J16" s="491">
        <f t="shared" si="6"/>
        <v>0</v>
      </c>
      <c r="K16" s="744" t="str">
        <f t="shared" si="7"/>
        <v/>
      </c>
      <c r="L16" s="66">
        <f t="shared" si="19"/>
        <v>31.71</v>
      </c>
      <c r="M16" s="575" t="str">
        <f t="shared" si="20"/>
        <v>0</v>
      </c>
      <c r="N16" s="66">
        <f t="shared" si="21"/>
        <v>0</v>
      </c>
      <c r="O16" s="576">
        <f t="shared" si="8"/>
        <v>49</v>
      </c>
      <c r="Q16" s="571">
        <f t="shared" si="9"/>
        <v>28.6</v>
      </c>
      <c r="R16" s="577" t="str">
        <f t="shared" si="10"/>
        <v>0</v>
      </c>
      <c r="S16" s="573">
        <f t="shared" si="22"/>
        <v>0</v>
      </c>
      <c r="T16" s="66" t="str">
        <f t="shared" si="11"/>
        <v/>
      </c>
      <c r="U16" s="491">
        <f t="shared" si="12"/>
        <v>27.35</v>
      </c>
      <c r="V16" s="578" t="str">
        <f t="shared" si="13"/>
        <v>0</v>
      </c>
      <c r="W16" s="491">
        <f t="shared" si="23"/>
        <v>0</v>
      </c>
      <c r="X16" s="744" t="str">
        <f t="shared" si="14"/>
        <v/>
      </c>
      <c r="Y16" s="740">
        <f t="shared" si="15"/>
        <v>31.71</v>
      </c>
      <c r="Z16" s="575" t="str">
        <f t="shared" si="16"/>
        <v>0</v>
      </c>
      <c r="AA16" s="740">
        <f t="shared" si="17"/>
        <v>0</v>
      </c>
      <c r="AB16" s="579">
        <f t="shared" si="18"/>
        <v>49</v>
      </c>
    </row>
    <row r="17" spans="1:28" ht="15" customHeight="1" outlineLevel="1" x14ac:dyDescent="0.25">
      <c r="A17" s="951"/>
      <c r="B17" s="569">
        <v>2012</v>
      </c>
      <c r="C17" s="570">
        <v>19</v>
      </c>
      <c r="D17" s="571">
        <f t="shared" si="0"/>
        <v>28.849999999999998</v>
      </c>
      <c r="E17" s="572" t="str">
        <f t="shared" si="1"/>
        <v>0</v>
      </c>
      <c r="F17" s="573">
        <f t="shared" si="2"/>
        <v>0</v>
      </c>
      <c r="G17" s="66" t="str">
        <f t="shared" si="3"/>
        <v/>
      </c>
      <c r="H17" s="491">
        <f t="shared" si="4"/>
        <v>35.46</v>
      </c>
      <c r="I17" s="574" t="str">
        <f t="shared" si="5"/>
        <v>0</v>
      </c>
      <c r="J17" s="491">
        <f t="shared" si="6"/>
        <v>0</v>
      </c>
      <c r="K17" s="744" t="str">
        <f t="shared" si="7"/>
        <v/>
      </c>
      <c r="L17" s="66">
        <f t="shared" si="19"/>
        <v>32.58</v>
      </c>
      <c r="M17" s="575" t="str">
        <f t="shared" si="20"/>
        <v>0</v>
      </c>
      <c r="N17" s="66">
        <f t="shared" si="21"/>
        <v>0</v>
      </c>
      <c r="O17" s="576">
        <f t="shared" si="8"/>
        <v>40</v>
      </c>
      <c r="Q17" s="571">
        <f t="shared" si="9"/>
        <v>28.849999999999998</v>
      </c>
      <c r="R17" s="577" t="str">
        <f t="shared" si="10"/>
        <v>0</v>
      </c>
      <c r="S17" s="573">
        <f t="shared" si="22"/>
        <v>0</v>
      </c>
      <c r="T17" s="66" t="str">
        <f t="shared" si="11"/>
        <v/>
      </c>
      <c r="U17" s="491">
        <f t="shared" si="12"/>
        <v>35.46</v>
      </c>
      <c r="V17" s="578" t="str">
        <f t="shared" si="13"/>
        <v>0</v>
      </c>
      <c r="W17" s="491">
        <f t="shared" si="23"/>
        <v>0</v>
      </c>
      <c r="X17" s="744" t="str">
        <f t="shared" si="14"/>
        <v/>
      </c>
      <c r="Y17" s="740">
        <f t="shared" si="15"/>
        <v>32.58</v>
      </c>
      <c r="Z17" s="575" t="str">
        <f t="shared" si="16"/>
        <v>0</v>
      </c>
      <c r="AA17" s="740">
        <f t="shared" si="17"/>
        <v>0</v>
      </c>
      <c r="AB17" s="579">
        <f t="shared" si="18"/>
        <v>40</v>
      </c>
    </row>
    <row r="18" spans="1:28" ht="15" customHeight="1" outlineLevel="1" x14ac:dyDescent="0.25">
      <c r="A18" s="951"/>
      <c r="B18" s="569">
        <v>2012</v>
      </c>
      <c r="C18" s="570">
        <v>20</v>
      </c>
      <c r="D18" s="571">
        <f t="shared" si="0"/>
        <v>40.1</v>
      </c>
      <c r="E18" s="572" t="str">
        <f t="shared" si="1"/>
        <v>0</v>
      </c>
      <c r="F18" s="573">
        <f t="shared" si="2"/>
        <v>0</v>
      </c>
      <c r="G18" s="66" t="str">
        <f t="shared" si="3"/>
        <v/>
      </c>
      <c r="H18" s="491">
        <f t="shared" si="4"/>
        <v>9.11</v>
      </c>
      <c r="I18" s="574" t="str">
        <f t="shared" si="5"/>
        <v>0</v>
      </c>
      <c r="J18" s="491">
        <f t="shared" si="6"/>
        <v>0</v>
      </c>
      <c r="K18" s="744" t="str">
        <f t="shared" si="7"/>
        <v/>
      </c>
      <c r="L18" s="66">
        <f t="shared" si="19"/>
        <v>0</v>
      </c>
      <c r="M18" s="575" t="str">
        <f t="shared" si="20"/>
        <v>0</v>
      </c>
      <c r="N18" s="66">
        <f t="shared" si="21"/>
        <v>0</v>
      </c>
      <c r="O18" s="576">
        <f t="shared" si="8"/>
        <v>50</v>
      </c>
      <c r="Q18" s="571">
        <f t="shared" si="9"/>
        <v>40.1</v>
      </c>
      <c r="R18" s="577" t="str">
        <f t="shared" si="10"/>
        <v>0</v>
      </c>
      <c r="S18" s="573">
        <f t="shared" si="22"/>
        <v>0</v>
      </c>
      <c r="T18" s="66" t="str">
        <f t="shared" si="11"/>
        <v/>
      </c>
      <c r="U18" s="491">
        <f t="shared" si="12"/>
        <v>9.11</v>
      </c>
      <c r="V18" s="578" t="str">
        <f t="shared" si="13"/>
        <v>0</v>
      </c>
      <c r="W18" s="491">
        <f t="shared" si="23"/>
        <v>0</v>
      </c>
      <c r="X18" s="744" t="str">
        <f t="shared" si="14"/>
        <v/>
      </c>
      <c r="Y18" s="740">
        <f t="shared" si="15"/>
        <v>0</v>
      </c>
      <c r="Z18" s="575" t="str">
        <f t="shared" si="16"/>
        <v>0</v>
      </c>
      <c r="AA18" s="740">
        <f t="shared" si="17"/>
        <v>0</v>
      </c>
      <c r="AB18" s="579">
        <f t="shared" si="18"/>
        <v>50</v>
      </c>
    </row>
    <row r="19" spans="1:28" ht="15" customHeight="1" outlineLevel="1" x14ac:dyDescent="0.25">
      <c r="A19" s="951"/>
      <c r="B19" s="569">
        <v>2012</v>
      </c>
      <c r="C19" s="570">
        <v>21</v>
      </c>
      <c r="D19" s="571">
        <f t="shared" si="0"/>
        <v>47.959999999999994</v>
      </c>
      <c r="E19" s="572" t="str">
        <f t="shared" si="1"/>
        <v>0</v>
      </c>
      <c r="F19" s="573">
        <f t="shared" si="2"/>
        <v>0</v>
      </c>
      <c r="G19" s="66" t="str">
        <f t="shared" si="3"/>
        <v/>
      </c>
      <c r="H19" s="491">
        <f t="shared" si="4"/>
        <v>21.04</v>
      </c>
      <c r="I19" s="574" t="str">
        <f t="shared" si="5"/>
        <v>0</v>
      </c>
      <c r="J19" s="491">
        <f t="shared" si="6"/>
        <v>0</v>
      </c>
      <c r="K19" s="744" t="str">
        <f t="shared" si="7"/>
        <v/>
      </c>
      <c r="L19" s="66">
        <f t="shared" si="19"/>
        <v>0</v>
      </c>
      <c r="M19" s="575" t="str">
        <f t="shared" si="20"/>
        <v>0</v>
      </c>
      <c r="N19" s="66">
        <f t="shared" si="21"/>
        <v>0</v>
      </c>
      <c r="O19" s="576">
        <f t="shared" si="8"/>
        <v>71</v>
      </c>
      <c r="Q19" s="571">
        <f t="shared" si="9"/>
        <v>47.959999999999994</v>
      </c>
      <c r="R19" s="577" t="str">
        <f t="shared" si="10"/>
        <v>0</v>
      </c>
      <c r="S19" s="573">
        <f t="shared" si="22"/>
        <v>0</v>
      </c>
      <c r="T19" s="66" t="str">
        <f t="shared" si="11"/>
        <v/>
      </c>
      <c r="U19" s="491">
        <f t="shared" si="12"/>
        <v>21.04</v>
      </c>
      <c r="V19" s="578" t="str">
        <f t="shared" si="13"/>
        <v>0</v>
      </c>
      <c r="W19" s="491">
        <f t="shared" si="23"/>
        <v>0</v>
      </c>
      <c r="X19" s="744" t="str">
        <f t="shared" si="14"/>
        <v/>
      </c>
      <c r="Y19" s="740">
        <f t="shared" si="15"/>
        <v>0</v>
      </c>
      <c r="Z19" s="575" t="str">
        <f t="shared" si="16"/>
        <v>0</v>
      </c>
      <c r="AA19" s="740">
        <f t="shared" si="17"/>
        <v>0</v>
      </c>
      <c r="AB19" s="579">
        <f t="shared" si="18"/>
        <v>71</v>
      </c>
    </row>
    <row r="20" spans="1:28" ht="15" customHeight="1" outlineLevel="1" thickBot="1" x14ac:dyDescent="0.3">
      <c r="A20" s="952"/>
      <c r="B20" s="580">
        <v>2012</v>
      </c>
      <c r="C20" s="581">
        <v>22</v>
      </c>
      <c r="D20" s="582">
        <f t="shared" si="0"/>
        <v>46.57</v>
      </c>
      <c r="E20" s="583" t="str">
        <f t="shared" si="1"/>
        <v>0</v>
      </c>
      <c r="F20" s="584">
        <f t="shared" si="2"/>
        <v>0</v>
      </c>
      <c r="G20" s="587" t="str">
        <f t="shared" si="3"/>
        <v/>
      </c>
      <c r="H20" s="585">
        <f t="shared" si="4"/>
        <v>49.48</v>
      </c>
      <c r="I20" s="586" t="str">
        <f t="shared" si="5"/>
        <v>0</v>
      </c>
      <c r="J20" s="585">
        <f t="shared" si="6"/>
        <v>0</v>
      </c>
      <c r="K20" s="745" t="str">
        <f t="shared" si="7"/>
        <v/>
      </c>
      <c r="L20" s="587">
        <f t="shared" si="19"/>
        <v>0</v>
      </c>
      <c r="M20" s="588" t="str">
        <f t="shared" si="20"/>
        <v>0</v>
      </c>
      <c r="N20" s="587">
        <f t="shared" si="21"/>
        <v>0</v>
      </c>
      <c r="O20" s="589">
        <f t="shared" si="8"/>
        <v>54</v>
      </c>
      <c r="P20" s="590"/>
      <c r="Q20" s="582">
        <f t="shared" si="9"/>
        <v>46.57</v>
      </c>
      <c r="R20" s="591" t="str">
        <f t="shared" si="10"/>
        <v>0</v>
      </c>
      <c r="S20" s="584">
        <f t="shared" si="22"/>
        <v>0</v>
      </c>
      <c r="T20" s="587" t="str">
        <f t="shared" si="11"/>
        <v/>
      </c>
      <c r="U20" s="585">
        <f t="shared" si="12"/>
        <v>49.48</v>
      </c>
      <c r="V20" s="592" t="str">
        <f t="shared" si="13"/>
        <v>0</v>
      </c>
      <c r="W20" s="585">
        <f t="shared" si="23"/>
        <v>0</v>
      </c>
      <c r="X20" s="745" t="str">
        <f t="shared" si="14"/>
        <v/>
      </c>
      <c r="Y20" s="741">
        <f t="shared" si="15"/>
        <v>0</v>
      </c>
      <c r="Z20" s="588" t="str">
        <f t="shared" si="16"/>
        <v>0</v>
      </c>
      <c r="AA20" s="741">
        <f t="shared" si="17"/>
        <v>0</v>
      </c>
      <c r="AB20" s="593">
        <f t="shared" si="18"/>
        <v>54</v>
      </c>
    </row>
    <row r="21" spans="1:28" ht="15" customHeight="1" outlineLevel="1" x14ac:dyDescent="0.25">
      <c r="A21" s="950" t="s">
        <v>112</v>
      </c>
      <c r="B21" s="555">
        <v>2010</v>
      </c>
      <c r="C21" s="556">
        <v>8</v>
      </c>
      <c r="D21" s="557">
        <f t="shared" si="0"/>
        <v>29.380000000000003</v>
      </c>
      <c r="E21" s="558" t="str">
        <f t="shared" si="1"/>
        <v>0</v>
      </c>
      <c r="F21" s="559">
        <f t="shared" si="2"/>
        <v>0</v>
      </c>
      <c r="G21" s="562" t="str">
        <f t="shared" si="3"/>
        <v/>
      </c>
      <c r="H21" s="560">
        <f t="shared" si="4"/>
        <v>22.619999999999997</v>
      </c>
      <c r="I21" s="561" t="str">
        <f t="shared" si="5"/>
        <v>0</v>
      </c>
      <c r="J21" s="560">
        <f t="shared" si="6"/>
        <v>0</v>
      </c>
      <c r="K21" s="746" t="str">
        <f t="shared" si="7"/>
        <v/>
      </c>
      <c r="L21" s="562">
        <f t="shared" si="19"/>
        <v>0</v>
      </c>
      <c r="M21" s="563" t="str">
        <f t="shared" si="20"/>
        <v>0</v>
      </c>
      <c r="N21" s="562">
        <f t="shared" si="21"/>
        <v>0</v>
      </c>
      <c r="O21" s="564">
        <f t="shared" si="8"/>
        <v>44</v>
      </c>
      <c r="P21" s="565"/>
      <c r="Q21" s="557">
        <f t="shared" si="9"/>
        <v>29.380000000000003</v>
      </c>
      <c r="R21" s="566" t="str">
        <f t="shared" si="10"/>
        <v>0</v>
      </c>
      <c r="S21" s="559">
        <f t="shared" si="22"/>
        <v>0</v>
      </c>
      <c r="T21" s="562" t="str">
        <f t="shared" si="11"/>
        <v/>
      </c>
      <c r="U21" s="560">
        <f t="shared" si="12"/>
        <v>22.619999999999997</v>
      </c>
      <c r="V21" s="567" t="str">
        <f t="shared" si="13"/>
        <v>0</v>
      </c>
      <c r="W21" s="560">
        <f t="shared" si="23"/>
        <v>0</v>
      </c>
      <c r="X21" s="746" t="str">
        <f t="shared" si="14"/>
        <v/>
      </c>
      <c r="Y21" s="742">
        <f t="shared" si="15"/>
        <v>0</v>
      </c>
      <c r="Z21" s="563" t="str">
        <f t="shared" si="16"/>
        <v>0</v>
      </c>
      <c r="AA21" s="742">
        <f t="shared" si="17"/>
        <v>0</v>
      </c>
      <c r="AB21" s="568">
        <f t="shared" si="18"/>
        <v>44</v>
      </c>
    </row>
    <row r="22" spans="1:28" ht="15" customHeight="1" outlineLevel="1" x14ac:dyDescent="0.25">
      <c r="A22" s="951"/>
      <c r="B22" s="594">
        <v>2010</v>
      </c>
      <c r="C22" s="570">
        <v>9</v>
      </c>
      <c r="D22" s="571">
        <f t="shared" si="0"/>
        <v>7.25</v>
      </c>
      <c r="E22" s="572" t="str">
        <f t="shared" si="1"/>
        <v>0</v>
      </c>
      <c r="F22" s="573">
        <f t="shared" si="2"/>
        <v>0</v>
      </c>
      <c r="G22" s="66" t="str">
        <f t="shared" si="3"/>
        <v/>
      </c>
      <c r="H22" s="491">
        <f t="shared" si="4"/>
        <v>29.27</v>
      </c>
      <c r="I22" s="574" t="str">
        <f t="shared" si="5"/>
        <v>0</v>
      </c>
      <c r="J22" s="491">
        <f t="shared" si="6"/>
        <v>0</v>
      </c>
      <c r="K22" s="744" t="str">
        <f t="shared" si="7"/>
        <v/>
      </c>
      <c r="L22" s="66">
        <f t="shared" si="19"/>
        <v>31.16</v>
      </c>
      <c r="M22" s="575" t="str">
        <f t="shared" si="20"/>
        <v>0</v>
      </c>
      <c r="N22" s="66">
        <f t="shared" si="21"/>
        <v>0</v>
      </c>
      <c r="O22" s="576">
        <f t="shared" si="8"/>
        <v>40</v>
      </c>
      <c r="Q22" s="571">
        <f t="shared" si="9"/>
        <v>7.25</v>
      </c>
      <c r="R22" s="577" t="str">
        <f t="shared" si="10"/>
        <v>0</v>
      </c>
      <c r="S22" s="573">
        <f t="shared" si="22"/>
        <v>0</v>
      </c>
      <c r="T22" s="66" t="str">
        <f t="shared" si="11"/>
        <v/>
      </c>
      <c r="U22" s="491">
        <f t="shared" si="12"/>
        <v>29.27</v>
      </c>
      <c r="V22" s="578" t="str">
        <f t="shared" si="13"/>
        <v>0</v>
      </c>
      <c r="W22" s="491">
        <f t="shared" si="23"/>
        <v>0</v>
      </c>
      <c r="X22" s="744" t="str">
        <f t="shared" si="14"/>
        <v/>
      </c>
      <c r="Y22" s="740">
        <f t="shared" si="15"/>
        <v>31.16</v>
      </c>
      <c r="Z22" s="575" t="str">
        <f t="shared" si="16"/>
        <v>0</v>
      </c>
      <c r="AA22" s="740">
        <f t="shared" si="17"/>
        <v>0</v>
      </c>
      <c r="AB22" s="579">
        <f t="shared" si="18"/>
        <v>40</v>
      </c>
    </row>
    <row r="23" spans="1:28" ht="15" customHeight="1" outlineLevel="1" x14ac:dyDescent="0.25">
      <c r="A23" s="951"/>
      <c r="B23" s="594">
        <v>2010</v>
      </c>
      <c r="C23" s="570">
        <v>12</v>
      </c>
      <c r="D23" s="571">
        <f t="shared" si="0"/>
        <v>14.74</v>
      </c>
      <c r="E23" s="572" t="str">
        <f t="shared" si="1"/>
        <v>0</v>
      </c>
      <c r="F23" s="573">
        <f t="shared" si="2"/>
        <v>0</v>
      </c>
      <c r="G23" s="66" t="str">
        <f t="shared" si="3"/>
        <v/>
      </c>
      <c r="H23" s="491">
        <f t="shared" si="4"/>
        <v>14.57</v>
      </c>
      <c r="I23" s="574" t="str">
        <f t="shared" si="5"/>
        <v>0</v>
      </c>
      <c r="J23" s="491">
        <f t="shared" si="6"/>
        <v>0</v>
      </c>
      <c r="K23" s="744" t="str">
        <f t="shared" si="7"/>
        <v/>
      </c>
      <c r="L23" s="66">
        <f t="shared" si="19"/>
        <v>0</v>
      </c>
      <c r="M23" s="575" t="str">
        <f t="shared" si="20"/>
        <v>0</v>
      </c>
      <c r="N23" s="66">
        <f t="shared" si="21"/>
        <v>0</v>
      </c>
      <c r="O23" s="576">
        <f t="shared" si="8"/>
        <v>64</v>
      </c>
      <c r="Q23" s="571">
        <f t="shared" si="9"/>
        <v>14.74</v>
      </c>
      <c r="R23" s="577" t="str">
        <f t="shared" si="10"/>
        <v>0</v>
      </c>
      <c r="S23" s="573">
        <f t="shared" si="22"/>
        <v>0</v>
      </c>
      <c r="T23" s="66" t="str">
        <f t="shared" si="11"/>
        <v/>
      </c>
      <c r="U23" s="491">
        <f t="shared" si="12"/>
        <v>14.57</v>
      </c>
      <c r="V23" s="578" t="str">
        <f t="shared" si="13"/>
        <v>0</v>
      </c>
      <c r="W23" s="491">
        <f t="shared" si="23"/>
        <v>0</v>
      </c>
      <c r="X23" s="744" t="str">
        <f t="shared" si="14"/>
        <v/>
      </c>
      <c r="Y23" s="740">
        <f t="shared" si="15"/>
        <v>0</v>
      </c>
      <c r="Z23" s="575" t="str">
        <f t="shared" si="16"/>
        <v>0</v>
      </c>
      <c r="AA23" s="740">
        <f t="shared" si="17"/>
        <v>0</v>
      </c>
      <c r="AB23" s="579">
        <f t="shared" si="18"/>
        <v>64</v>
      </c>
    </row>
    <row r="24" spans="1:28" ht="15" customHeight="1" outlineLevel="1" x14ac:dyDescent="0.25">
      <c r="A24" s="951"/>
      <c r="B24" s="594">
        <v>2011</v>
      </c>
      <c r="C24" s="570">
        <v>10</v>
      </c>
      <c r="D24" s="571">
        <f t="shared" si="0"/>
        <v>61.179999999999993</v>
      </c>
      <c r="E24" s="572" t="str">
        <f t="shared" si="1"/>
        <v>0</v>
      </c>
      <c r="F24" s="573">
        <f t="shared" si="2"/>
        <v>0</v>
      </c>
      <c r="G24" s="66" t="str">
        <f t="shared" si="3"/>
        <v/>
      </c>
      <c r="H24" s="491">
        <f t="shared" si="4"/>
        <v>61.97</v>
      </c>
      <c r="I24" s="574" t="str">
        <f t="shared" si="5"/>
        <v>0</v>
      </c>
      <c r="J24" s="491">
        <f t="shared" si="6"/>
        <v>0</v>
      </c>
      <c r="K24" s="744" t="str">
        <f t="shared" si="7"/>
        <v/>
      </c>
      <c r="L24" s="66">
        <f t="shared" si="19"/>
        <v>0</v>
      </c>
      <c r="M24" s="575" t="str">
        <f t="shared" si="20"/>
        <v>0</v>
      </c>
      <c r="N24" s="66">
        <f t="shared" si="21"/>
        <v>0</v>
      </c>
      <c r="O24" s="576">
        <f t="shared" si="8"/>
        <v>13</v>
      </c>
      <c r="Q24" s="571">
        <f t="shared" si="9"/>
        <v>61.179999999999993</v>
      </c>
      <c r="R24" s="577" t="str">
        <f t="shared" si="10"/>
        <v>0</v>
      </c>
      <c r="S24" s="573">
        <f t="shared" si="22"/>
        <v>0</v>
      </c>
      <c r="T24" s="66" t="str">
        <f t="shared" si="11"/>
        <v/>
      </c>
      <c r="U24" s="491">
        <f t="shared" si="12"/>
        <v>61.97</v>
      </c>
      <c r="V24" s="578" t="str">
        <f t="shared" si="13"/>
        <v>0</v>
      </c>
      <c r="W24" s="491">
        <f t="shared" si="23"/>
        <v>0</v>
      </c>
      <c r="X24" s="744" t="str">
        <f t="shared" si="14"/>
        <v/>
      </c>
      <c r="Y24" s="740">
        <f t="shared" si="15"/>
        <v>0</v>
      </c>
      <c r="Z24" s="575" t="str">
        <f t="shared" si="16"/>
        <v>0</v>
      </c>
      <c r="AA24" s="740">
        <f t="shared" si="17"/>
        <v>0</v>
      </c>
      <c r="AB24" s="579">
        <f t="shared" si="18"/>
        <v>13</v>
      </c>
    </row>
    <row r="25" spans="1:28" ht="15" customHeight="1" outlineLevel="1" x14ac:dyDescent="0.25">
      <c r="A25" s="951"/>
      <c r="B25" s="594">
        <v>2011</v>
      </c>
      <c r="C25" s="570">
        <v>13</v>
      </c>
      <c r="D25" s="571">
        <f t="shared" si="0"/>
        <v>27.910000000000004</v>
      </c>
      <c r="E25" s="572" t="str">
        <f t="shared" si="1"/>
        <v>0</v>
      </c>
      <c r="F25" s="573">
        <f t="shared" si="2"/>
        <v>0</v>
      </c>
      <c r="G25" s="66" t="str">
        <f t="shared" si="3"/>
        <v/>
      </c>
      <c r="H25" s="491">
        <f t="shared" si="4"/>
        <v>34.54</v>
      </c>
      <c r="I25" s="574" t="str">
        <f t="shared" si="5"/>
        <v>0</v>
      </c>
      <c r="J25" s="491">
        <f t="shared" si="6"/>
        <v>0</v>
      </c>
      <c r="K25" s="744" t="str">
        <f t="shared" si="7"/>
        <v/>
      </c>
      <c r="L25" s="66">
        <f t="shared" si="19"/>
        <v>0</v>
      </c>
      <c r="M25" s="575" t="str">
        <f t="shared" si="20"/>
        <v>0</v>
      </c>
      <c r="N25" s="66">
        <f t="shared" si="21"/>
        <v>0</v>
      </c>
      <c r="O25" s="576">
        <f t="shared" si="8"/>
        <v>53</v>
      </c>
      <c r="Q25" s="571">
        <f t="shared" si="9"/>
        <v>27.910000000000004</v>
      </c>
      <c r="R25" s="577" t="str">
        <f t="shared" si="10"/>
        <v>0</v>
      </c>
      <c r="S25" s="573">
        <f t="shared" si="22"/>
        <v>0</v>
      </c>
      <c r="T25" s="66" t="str">
        <f t="shared" si="11"/>
        <v/>
      </c>
      <c r="U25" s="491">
        <f t="shared" si="12"/>
        <v>34.54</v>
      </c>
      <c r="V25" s="578" t="str">
        <f t="shared" si="13"/>
        <v>0</v>
      </c>
      <c r="W25" s="491">
        <f t="shared" si="23"/>
        <v>0</v>
      </c>
      <c r="X25" s="744" t="str">
        <f t="shared" si="14"/>
        <v/>
      </c>
      <c r="Y25" s="740">
        <f t="shared" si="15"/>
        <v>0</v>
      </c>
      <c r="Z25" s="575" t="str">
        <f t="shared" si="16"/>
        <v>0</v>
      </c>
      <c r="AA25" s="740">
        <f t="shared" si="17"/>
        <v>0</v>
      </c>
      <c r="AB25" s="579">
        <f t="shared" si="18"/>
        <v>53</v>
      </c>
    </row>
    <row r="26" spans="1:28" ht="15" customHeight="1" outlineLevel="1" thickBot="1" x14ac:dyDescent="0.3">
      <c r="A26" s="952"/>
      <c r="B26" s="595">
        <v>2011</v>
      </c>
      <c r="C26" s="581">
        <v>18</v>
      </c>
      <c r="D26" s="582">
        <f t="shared" si="0"/>
        <v>58.8</v>
      </c>
      <c r="E26" s="583" t="str">
        <f t="shared" si="1"/>
        <v>0</v>
      </c>
      <c r="F26" s="584">
        <f t="shared" si="2"/>
        <v>0</v>
      </c>
      <c r="G26" s="587" t="str">
        <f t="shared" si="3"/>
        <v/>
      </c>
      <c r="H26" s="585">
        <f t="shared" si="4"/>
        <v>39.67</v>
      </c>
      <c r="I26" s="586" t="str">
        <f t="shared" si="5"/>
        <v>0</v>
      </c>
      <c r="J26" s="585">
        <f t="shared" si="6"/>
        <v>0</v>
      </c>
      <c r="K26" s="745" t="str">
        <f t="shared" si="7"/>
        <v/>
      </c>
      <c r="L26" s="587">
        <f t="shared" si="19"/>
        <v>0</v>
      </c>
      <c r="M26" s="588" t="str">
        <f t="shared" si="20"/>
        <v>0</v>
      </c>
      <c r="N26" s="587">
        <f t="shared" si="21"/>
        <v>0</v>
      </c>
      <c r="O26" s="589">
        <f t="shared" si="8"/>
        <v>35</v>
      </c>
      <c r="P26" s="590"/>
      <c r="Q26" s="582">
        <f t="shared" si="9"/>
        <v>58.8</v>
      </c>
      <c r="R26" s="591" t="str">
        <f t="shared" si="10"/>
        <v>0</v>
      </c>
      <c r="S26" s="584">
        <f t="shared" si="22"/>
        <v>0</v>
      </c>
      <c r="T26" s="587" t="str">
        <f t="shared" si="11"/>
        <v/>
      </c>
      <c r="U26" s="585">
        <f t="shared" si="12"/>
        <v>39.67</v>
      </c>
      <c r="V26" s="592" t="str">
        <f t="shared" si="13"/>
        <v>0</v>
      </c>
      <c r="W26" s="585">
        <f t="shared" si="23"/>
        <v>0</v>
      </c>
      <c r="X26" s="745" t="str">
        <f t="shared" si="14"/>
        <v/>
      </c>
      <c r="Y26" s="741">
        <f t="shared" si="15"/>
        <v>0</v>
      </c>
      <c r="Z26" s="588" t="str">
        <f t="shared" si="16"/>
        <v>0</v>
      </c>
      <c r="AA26" s="741">
        <f t="shared" si="17"/>
        <v>0</v>
      </c>
      <c r="AB26" s="593">
        <f t="shared" si="18"/>
        <v>35</v>
      </c>
    </row>
    <row r="27" spans="1:28" ht="15" customHeight="1" outlineLevel="1" x14ac:dyDescent="0.25">
      <c r="A27" s="950" t="s">
        <v>91</v>
      </c>
      <c r="B27" s="596">
        <v>2015</v>
      </c>
      <c r="C27" s="556">
        <v>25</v>
      </c>
      <c r="D27" s="557">
        <f t="shared" si="0"/>
        <v>28.759999999999998</v>
      </c>
      <c r="E27" s="558" t="str">
        <f t="shared" si="1"/>
        <v>0</v>
      </c>
      <c r="F27" s="559">
        <f t="shared" si="2"/>
        <v>0</v>
      </c>
      <c r="G27" s="562" t="str">
        <f t="shared" si="3"/>
        <v/>
      </c>
      <c r="H27" s="560">
        <f t="shared" si="4"/>
        <v>42.980000000000004</v>
      </c>
      <c r="I27" s="561" t="str">
        <f t="shared" si="5"/>
        <v>0</v>
      </c>
      <c r="J27" s="560">
        <f t="shared" si="6"/>
        <v>0</v>
      </c>
      <c r="K27" s="746" t="str">
        <f t="shared" si="7"/>
        <v/>
      </c>
      <c r="L27" s="562">
        <f t="shared" si="19"/>
        <v>8.58</v>
      </c>
      <c r="M27" s="563" t="str">
        <f t="shared" si="20"/>
        <v>0</v>
      </c>
      <c r="N27" s="562">
        <f t="shared" si="21"/>
        <v>0</v>
      </c>
      <c r="O27" s="564">
        <f t="shared" si="8"/>
        <v>25</v>
      </c>
      <c r="P27" s="565"/>
      <c r="Q27" s="557">
        <f t="shared" si="9"/>
        <v>28.759999999999998</v>
      </c>
      <c r="R27" s="566" t="str">
        <f t="shared" si="10"/>
        <v>0</v>
      </c>
      <c r="S27" s="559">
        <f t="shared" si="22"/>
        <v>0</v>
      </c>
      <c r="T27" s="562" t="str">
        <f t="shared" si="11"/>
        <v/>
      </c>
      <c r="U27" s="560">
        <f t="shared" si="12"/>
        <v>42.980000000000004</v>
      </c>
      <c r="V27" s="567" t="str">
        <f t="shared" si="13"/>
        <v>0</v>
      </c>
      <c r="W27" s="560">
        <f t="shared" si="23"/>
        <v>0</v>
      </c>
      <c r="X27" s="746" t="str">
        <f t="shared" si="14"/>
        <v/>
      </c>
      <c r="Y27" s="742">
        <f t="shared" si="15"/>
        <v>8.58</v>
      </c>
      <c r="Z27" s="563" t="str">
        <f t="shared" si="16"/>
        <v>0</v>
      </c>
      <c r="AA27" s="742">
        <f t="shared" si="17"/>
        <v>0</v>
      </c>
      <c r="AB27" s="568">
        <f t="shared" si="18"/>
        <v>25</v>
      </c>
    </row>
    <row r="28" spans="1:28" ht="15" customHeight="1" outlineLevel="1" x14ac:dyDescent="0.25">
      <c r="A28" s="951"/>
      <c r="B28" s="594">
        <v>2015</v>
      </c>
      <c r="C28" s="570" t="s">
        <v>7</v>
      </c>
      <c r="D28" s="571">
        <f t="shared" si="0"/>
        <v>45.2</v>
      </c>
      <c r="E28" s="572" t="str">
        <f t="shared" si="1"/>
        <v>0</v>
      </c>
      <c r="F28" s="573">
        <f t="shared" si="2"/>
        <v>0</v>
      </c>
      <c r="G28" s="66" t="str">
        <f t="shared" si="3"/>
        <v/>
      </c>
      <c r="H28" s="491">
        <f t="shared" si="4"/>
        <v>32.75</v>
      </c>
      <c r="I28" s="574" t="str">
        <f t="shared" si="5"/>
        <v>0</v>
      </c>
      <c r="J28" s="491">
        <f t="shared" si="6"/>
        <v>0</v>
      </c>
      <c r="K28" s="744" t="str">
        <f t="shared" si="7"/>
        <v/>
      </c>
      <c r="L28" s="66">
        <f t="shared" si="19"/>
        <v>24.38</v>
      </c>
      <c r="M28" s="575" t="str">
        <f t="shared" si="20"/>
        <v>0</v>
      </c>
      <c r="N28" s="66">
        <f t="shared" si="21"/>
        <v>0</v>
      </c>
      <c r="O28" s="576">
        <f t="shared" si="8"/>
        <v>21</v>
      </c>
      <c r="Q28" s="571">
        <f t="shared" si="9"/>
        <v>45.2</v>
      </c>
      <c r="R28" s="577" t="str">
        <f t="shared" si="10"/>
        <v>0</v>
      </c>
      <c r="S28" s="573">
        <f t="shared" si="22"/>
        <v>0</v>
      </c>
      <c r="T28" s="66" t="str">
        <f t="shared" si="11"/>
        <v/>
      </c>
      <c r="U28" s="491">
        <f t="shared" si="12"/>
        <v>32.75</v>
      </c>
      <c r="V28" s="578" t="str">
        <f t="shared" si="13"/>
        <v>0</v>
      </c>
      <c r="W28" s="491">
        <f t="shared" si="23"/>
        <v>0</v>
      </c>
      <c r="X28" s="744" t="str">
        <f t="shared" si="14"/>
        <v/>
      </c>
      <c r="Y28" s="740">
        <f t="shared" si="15"/>
        <v>24.38</v>
      </c>
      <c r="Z28" s="575" t="str">
        <f t="shared" si="16"/>
        <v>0</v>
      </c>
      <c r="AA28" s="740">
        <f t="shared" si="17"/>
        <v>0</v>
      </c>
      <c r="AB28" s="579">
        <f t="shared" si="18"/>
        <v>21</v>
      </c>
    </row>
    <row r="29" spans="1:28" ht="15" customHeight="1" outlineLevel="1" x14ac:dyDescent="0.25">
      <c r="A29" s="951"/>
      <c r="B29" s="594">
        <v>2015</v>
      </c>
      <c r="C29" s="570">
        <v>27</v>
      </c>
      <c r="D29" s="571">
        <f t="shared" si="0"/>
        <v>1.19</v>
      </c>
      <c r="E29" s="572" t="str">
        <f t="shared" si="1"/>
        <v>0</v>
      </c>
      <c r="F29" s="573">
        <f t="shared" si="2"/>
        <v>0</v>
      </c>
      <c r="G29" s="66" t="str">
        <f t="shared" si="3"/>
        <v/>
      </c>
      <c r="H29" s="491">
        <f t="shared" si="4"/>
        <v>2.02</v>
      </c>
      <c r="I29" s="574" t="str">
        <f t="shared" si="5"/>
        <v>0</v>
      </c>
      <c r="J29" s="491">
        <f t="shared" si="6"/>
        <v>0</v>
      </c>
      <c r="K29" s="744" t="str">
        <f t="shared" si="7"/>
        <v/>
      </c>
      <c r="L29" s="66">
        <f t="shared" si="19"/>
        <v>0</v>
      </c>
      <c r="M29" s="575" t="str">
        <f t="shared" si="20"/>
        <v>0</v>
      </c>
      <c r="N29" s="66">
        <f t="shared" si="21"/>
        <v>0</v>
      </c>
      <c r="O29" s="576">
        <f t="shared" si="8"/>
        <v>22</v>
      </c>
      <c r="Q29" s="571">
        <f t="shared" si="9"/>
        <v>1.19</v>
      </c>
      <c r="R29" s="577" t="str">
        <f t="shared" si="10"/>
        <v>0</v>
      </c>
      <c r="S29" s="573">
        <f t="shared" si="22"/>
        <v>0</v>
      </c>
      <c r="T29" s="66" t="str">
        <f t="shared" si="11"/>
        <v/>
      </c>
      <c r="U29" s="491">
        <f t="shared" si="12"/>
        <v>2.02</v>
      </c>
      <c r="V29" s="578" t="str">
        <f t="shared" si="13"/>
        <v>0</v>
      </c>
      <c r="W29" s="491">
        <f t="shared" si="23"/>
        <v>0</v>
      </c>
      <c r="X29" s="744" t="str">
        <f t="shared" si="14"/>
        <v/>
      </c>
      <c r="Y29" s="740">
        <f t="shared" si="15"/>
        <v>0</v>
      </c>
      <c r="Z29" s="575" t="str">
        <f t="shared" si="16"/>
        <v>0</v>
      </c>
      <c r="AA29" s="740">
        <f t="shared" si="17"/>
        <v>0</v>
      </c>
      <c r="AB29" s="579">
        <f t="shared" si="18"/>
        <v>22</v>
      </c>
    </row>
    <row r="30" spans="1:28" ht="15" customHeight="1" outlineLevel="1" x14ac:dyDescent="0.25">
      <c r="A30" s="951"/>
      <c r="B30" s="594">
        <v>2015</v>
      </c>
      <c r="C30" s="570">
        <v>28</v>
      </c>
      <c r="D30" s="571">
        <f t="shared" si="0"/>
        <v>20.59</v>
      </c>
      <c r="E30" s="572" t="str">
        <f t="shared" si="1"/>
        <v>0</v>
      </c>
      <c r="F30" s="573">
        <f t="shared" si="2"/>
        <v>0</v>
      </c>
      <c r="G30" s="66" t="str">
        <f t="shared" si="3"/>
        <v/>
      </c>
      <c r="H30" s="491">
        <f t="shared" si="4"/>
        <v>10.199999999999999</v>
      </c>
      <c r="I30" s="574" t="str">
        <f t="shared" si="5"/>
        <v>0</v>
      </c>
      <c r="J30" s="491">
        <f t="shared" si="6"/>
        <v>0</v>
      </c>
      <c r="K30" s="744" t="str">
        <f t="shared" si="7"/>
        <v/>
      </c>
      <c r="L30" s="66">
        <f t="shared" si="19"/>
        <v>0</v>
      </c>
      <c r="M30" s="575" t="str">
        <f t="shared" si="20"/>
        <v>0</v>
      </c>
      <c r="N30" s="66">
        <f t="shared" si="21"/>
        <v>0</v>
      </c>
      <c r="O30" s="576">
        <f t="shared" si="8"/>
        <v>28</v>
      </c>
      <c r="Q30" s="571">
        <f t="shared" si="9"/>
        <v>20.59</v>
      </c>
      <c r="R30" s="577" t="str">
        <f t="shared" si="10"/>
        <v>0</v>
      </c>
      <c r="S30" s="573">
        <f t="shared" si="22"/>
        <v>0</v>
      </c>
      <c r="T30" s="66" t="str">
        <f t="shared" si="11"/>
        <v/>
      </c>
      <c r="U30" s="491">
        <f t="shared" si="12"/>
        <v>10.199999999999999</v>
      </c>
      <c r="V30" s="578" t="str">
        <f t="shared" si="13"/>
        <v>0</v>
      </c>
      <c r="W30" s="491">
        <f t="shared" si="23"/>
        <v>0</v>
      </c>
      <c r="X30" s="744" t="str">
        <f t="shared" si="14"/>
        <v/>
      </c>
      <c r="Y30" s="740">
        <f t="shared" si="15"/>
        <v>0</v>
      </c>
      <c r="Z30" s="575" t="str">
        <f t="shared" si="16"/>
        <v>0</v>
      </c>
      <c r="AA30" s="740">
        <f t="shared" si="17"/>
        <v>0</v>
      </c>
      <c r="AB30" s="579">
        <f t="shared" si="18"/>
        <v>28</v>
      </c>
    </row>
    <row r="31" spans="1:28" ht="15" customHeight="1" outlineLevel="1" x14ac:dyDescent="0.25">
      <c r="A31" s="951"/>
      <c r="B31" s="594">
        <v>2015</v>
      </c>
      <c r="C31" s="570">
        <v>30</v>
      </c>
      <c r="D31" s="571">
        <f t="shared" si="0"/>
        <v>8.5400000000000009</v>
      </c>
      <c r="E31" s="572" t="str">
        <f t="shared" si="1"/>
        <v>0</v>
      </c>
      <c r="F31" s="573">
        <f t="shared" si="2"/>
        <v>0</v>
      </c>
      <c r="G31" s="66" t="str">
        <f t="shared" si="3"/>
        <v/>
      </c>
      <c r="H31" s="491">
        <f t="shared" si="4"/>
        <v>11.07</v>
      </c>
      <c r="I31" s="574" t="str">
        <f t="shared" si="5"/>
        <v>0</v>
      </c>
      <c r="J31" s="491">
        <f t="shared" si="6"/>
        <v>0</v>
      </c>
      <c r="K31" s="744" t="str">
        <f t="shared" si="7"/>
        <v/>
      </c>
      <c r="L31" s="66">
        <f t="shared" si="19"/>
        <v>0</v>
      </c>
      <c r="M31" s="575" t="str">
        <f t="shared" si="20"/>
        <v>0</v>
      </c>
      <c r="N31" s="66">
        <f t="shared" si="21"/>
        <v>0</v>
      </c>
      <c r="O31" s="576">
        <f t="shared" si="8"/>
        <v>21</v>
      </c>
      <c r="Q31" s="571">
        <f t="shared" si="9"/>
        <v>8.5400000000000009</v>
      </c>
      <c r="R31" s="577" t="str">
        <f t="shared" si="10"/>
        <v>0</v>
      </c>
      <c r="S31" s="573">
        <f t="shared" si="22"/>
        <v>0</v>
      </c>
      <c r="T31" s="66" t="str">
        <f t="shared" si="11"/>
        <v/>
      </c>
      <c r="U31" s="491">
        <f t="shared" si="12"/>
        <v>11.07</v>
      </c>
      <c r="V31" s="578" t="str">
        <f t="shared" si="13"/>
        <v>0</v>
      </c>
      <c r="W31" s="491">
        <f t="shared" si="23"/>
        <v>0</v>
      </c>
      <c r="X31" s="744" t="str">
        <f t="shared" si="14"/>
        <v/>
      </c>
      <c r="Y31" s="740">
        <f t="shared" si="15"/>
        <v>0</v>
      </c>
      <c r="Z31" s="575" t="str">
        <f t="shared" si="16"/>
        <v>0</v>
      </c>
      <c r="AA31" s="740">
        <f t="shared" si="17"/>
        <v>0</v>
      </c>
      <c r="AB31" s="579">
        <f t="shared" si="18"/>
        <v>21</v>
      </c>
    </row>
    <row r="32" spans="1:28" ht="15" customHeight="1" outlineLevel="1" x14ac:dyDescent="0.25">
      <c r="A32" s="951"/>
      <c r="B32" s="594">
        <v>2015</v>
      </c>
      <c r="C32" s="570">
        <v>31</v>
      </c>
      <c r="D32" s="571">
        <f t="shared" si="0"/>
        <v>6.3599999999999994</v>
      </c>
      <c r="E32" s="572" t="str">
        <f t="shared" si="1"/>
        <v>0</v>
      </c>
      <c r="F32" s="573">
        <f t="shared" si="2"/>
        <v>0</v>
      </c>
      <c r="G32" s="66" t="str">
        <f t="shared" si="3"/>
        <v/>
      </c>
      <c r="H32" s="491">
        <f t="shared" si="4"/>
        <v>7.39</v>
      </c>
      <c r="I32" s="574" t="str">
        <f t="shared" si="5"/>
        <v>0</v>
      </c>
      <c r="J32" s="491">
        <f t="shared" si="6"/>
        <v>0</v>
      </c>
      <c r="K32" s="744" t="str">
        <f t="shared" si="7"/>
        <v/>
      </c>
      <c r="L32" s="66">
        <f t="shared" si="19"/>
        <v>0</v>
      </c>
      <c r="M32" s="575" t="str">
        <f t="shared" si="20"/>
        <v>0</v>
      </c>
      <c r="N32" s="66">
        <f t="shared" si="21"/>
        <v>0</v>
      </c>
      <c r="O32" s="576">
        <f t="shared" si="8"/>
        <v>26</v>
      </c>
      <c r="Q32" s="571">
        <f t="shared" si="9"/>
        <v>6.3599999999999994</v>
      </c>
      <c r="R32" s="577" t="str">
        <f t="shared" si="10"/>
        <v>0</v>
      </c>
      <c r="S32" s="573">
        <f t="shared" si="22"/>
        <v>0</v>
      </c>
      <c r="T32" s="66" t="str">
        <f t="shared" si="11"/>
        <v/>
      </c>
      <c r="U32" s="491">
        <f t="shared" si="12"/>
        <v>7.39</v>
      </c>
      <c r="V32" s="578" t="str">
        <f t="shared" si="13"/>
        <v>0</v>
      </c>
      <c r="W32" s="491">
        <f t="shared" si="23"/>
        <v>0</v>
      </c>
      <c r="X32" s="744" t="str">
        <f t="shared" si="14"/>
        <v/>
      </c>
      <c r="Y32" s="740">
        <f t="shared" si="15"/>
        <v>0</v>
      </c>
      <c r="Z32" s="575" t="str">
        <f t="shared" si="16"/>
        <v>0</v>
      </c>
      <c r="AA32" s="740">
        <f t="shared" si="17"/>
        <v>0</v>
      </c>
      <c r="AB32" s="579">
        <f t="shared" si="18"/>
        <v>26</v>
      </c>
    </row>
    <row r="33" spans="1:28" ht="15" customHeight="1" outlineLevel="1" x14ac:dyDescent="0.25">
      <c r="A33" s="951"/>
      <c r="B33" s="594">
        <v>2016</v>
      </c>
      <c r="C33" s="570">
        <v>33</v>
      </c>
      <c r="D33" s="571">
        <f t="shared" si="0"/>
        <v>4.58</v>
      </c>
      <c r="E33" s="572" t="str">
        <f t="shared" si="1"/>
        <v>0</v>
      </c>
      <c r="F33" s="573">
        <f t="shared" si="2"/>
        <v>0</v>
      </c>
      <c r="G33" s="66" t="str">
        <f t="shared" si="3"/>
        <v/>
      </c>
      <c r="H33" s="491">
        <f t="shared" si="4"/>
        <v>4.53</v>
      </c>
      <c r="I33" s="574" t="str">
        <f t="shared" si="5"/>
        <v>0</v>
      </c>
      <c r="J33" s="491">
        <f t="shared" si="6"/>
        <v>0</v>
      </c>
      <c r="K33" s="744" t="str">
        <f t="shared" si="7"/>
        <v/>
      </c>
      <c r="L33" s="66">
        <f t="shared" si="19"/>
        <v>0</v>
      </c>
      <c r="M33" s="575" t="str">
        <f t="shared" si="20"/>
        <v>0</v>
      </c>
      <c r="N33" s="66">
        <f t="shared" si="21"/>
        <v>0</v>
      </c>
      <c r="O33" s="576">
        <f t="shared" si="8"/>
        <v>35</v>
      </c>
      <c r="Q33" s="571">
        <f t="shared" si="9"/>
        <v>4.58</v>
      </c>
      <c r="R33" s="577" t="str">
        <f t="shared" si="10"/>
        <v>0</v>
      </c>
      <c r="S33" s="573">
        <f t="shared" si="22"/>
        <v>0</v>
      </c>
      <c r="T33" s="66" t="str">
        <f t="shared" si="11"/>
        <v/>
      </c>
      <c r="U33" s="491">
        <f t="shared" si="12"/>
        <v>4.53</v>
      </c>
      <c r="V33" s="578" t="str">
        <f t="shared" si="13"/>
        <v>0</v>
      </c>
      <c r="W33" s="491">
        <f t="shared" si="23"/>
        <v>0</v>
      </c>
      <c r="X33" s="744" t="str">
        <f t="shared" si="14"/>
        <v/>
      </c>
      <c r="Y33" s="740">
        <f t="shared" si="15"/>
        <v>0</v>
      </c>
      <c r="Z33" s="575" t="str">
        <f t="shared" si="16"/>
        <v>0</v>
      </c>
      <c r="AA33" s="740">
        <f t="shared" si="17"/>
        <v>0</v>
      </c>
      <c r="AB33" s="579">
        <f t="shared" si="18"/>
        <v>35</v>
      </c>
    </row>
    <row r="34" spans="1:28" ht="15" customHeight="1" outlineLevel="1" thickBot="1" x14ac:dyDescent="0.3">
      <c r="A34" s="952"/>
      <c r="B34" s="595">
        <v>2016</v>
      </c>
      <c r="C34" s="581">
        <v>39</v>
      </c>
      <c r="D34" s="582">
        <f t="shared" si="0"/>
        <v>7.88</v>
      </c>
      <c r="E34" s="583" t="str">
        <f t="shared" si="1"/>
        <v>0</v>
      </c>
      <c r="F34" s="584">
        <f t="shared" si="2"/>
        <v>0</v>
      </c>
      <c r="G34" s="587" t="str">
        <f t="shared" si="3"/>
        <v/>
      </c>
      <c r="H34" s="585">
        <f t="shared" si="4"/>
        <v>14.17</v>
      </c>
      <c r="I34" s="586" t="str">
        <f t="shared" si="5"/>
        <v>0</v>
      </c>
      <c r="J34" s="585">
        <f t="shared" si="6"/>
        <v>0</v>
      </c>
      <c r="K34" s="745" t="str">
        <f t="shared" si="7"/>
        <v/>
      </c>
      <c r="L34" s="587">
        <f t="shared" si="19"/>
        <v>0</v>
      </c>
      <c r="M34" s="588" t="str">
        <f t="shared" si="20"/>
        <v>0</v>
      </c>
      <c r="N34" s="587">
        <f t="shared" si="21"/>
        <v>0</v>
      </c>
      <c r="O34" s="589">
        <f t="shared" si="8"/>
        <v>14</v>
      </c>
      <c r="P34" s="590"/>
      <c r="Q34" s="582">
        <f t="shared" si="9"/>
        <v>7.88</v>
      </c>
      <c r="R34" s="591" t="str">
        <f t="shared" si="10"/>
        <v>0</v>
      </c>
      <c r="S34" s="584">
        <f t="shared" si="22"/>
        <v>0</v>
      </c>
      <c r="T34" s="587" t="str">
        <f t="shared" si="11"/>
        <v/>
      </c>
      <c r="U34" s="585">
        <f t="shared" si="12"/>
        <v>14.17</v>
      </c>
      <c r="V34" s="592" t="str">
        <f t="shared" si="13"/>
        <v>0</v>
      </c>
      <c r="W34" s="585">
        <f t="shared" si="23"/>
        <v>0</v>
      </c>
      <c r="X34" s="745" t="str">
        <f t="shared" si="14"/>
        <v/>
      </c>
      <c r="Y34" s="741">
        <f t="shared" si="15"/>
        <v>0</v>
      </c>
      <c r="Z34" s="588" t="str">
        <f t="shared" si="16"/>
        <v>0</v>
      </c>
      <c r="AA34" s="741">
        <f t="shared" si="17"/>
        <v>0</v>
      </c>
      <c r="AB34" s="593">
        <f t="shared" si="18"/>
        <v>14</v>
      </c>
    </row>
    <row r="35" spans="1:28" ht="15" customHeight="1" outlineLevel="1" x14ac:dyDescent="0.25">
      <c r="A35" s="953" t="s">
        <v>202</v>
      </c>
      <c r="B35" s="596">
        <v>2010</v>
      </c>
      <c r="C35" s="597">
        <v>2</v>
      </c>
      <c r="D35" s="557">
        <f t="shared" si="0"/>
        <v>2.2400000000000002</v>
      </c>
      <c r="E35" s="558" t="str">
        <f t="shared" si="1"/>
        <v>0</v>
      </c>
      <c r="F35" s="559">
        <f t="shared" si="2"/>
        <v>0</v>
      </c>
      <c r="G35" s="562" t="str">
        <f t="shared" si="3"/>
        <v/>
      </c>
      <c r="H35" s="560">
        <f t="shared" si="4"/>
        <v>0</v>
      </c>
      <c r="I35" s="561" t="str">
        <f t="shared" si="5"/>
        <v>0</v>
      </c>
      <c r="J35" s="560">
        <f t="shared" si="6"/>
        <v>0</v>
      </c>
      <c r="K35" s="746" t="str">
        <f t="shared" si="7"/>
        <v/>
      </c>
      <c r="L35" s="562">
        <f t="shared" si="19"/>
        <v>0</v>
      </c>
      <c r="M35" s="563" t="str">
        <f t="shared" si="20"/>
        <v>0</v>
      </c>
      <c r="N35" s="562">
        <f t="shared" si="21"/>
        <v>0</v>
      </c>
      <c r="O35" s="564">
        <f t="shared" si="8"/>
        <v>102</v>
      </c>
      <c r="P35" s="565"/>
      <c r="Q35" s="557">
        <f t="shared" si="9"/>
        <v>2.2400000000000002</v>
      </c>
      <c r="R35" s="566" t="str">
        <f t="shared" si="10"/>
        <v>0</v>
      </c>
      <c r="S35" s="559">
        <f t="shared" si="22"/>
        <v>0</v>
      </c>
      <c r="T35" s="562" t="str">
        <f t="shared" si="11"/>
        <v/>
      </c>
      <c r="U35" s="560">
        <f t="shared" si="12"/>
        <v>0</v>
      </c>
      <c r="V35" s="567" t="str">
        <f t="shared" si="13"/>
        <v>0</v>
      </c>
      <c r="W35" s="560">
        <f t="shared" si="23"/>
        <v>0</v>
      </c>
      <c r="X35" s="746" t="str">
        <f t="shared" si="14"/>
        <v/>
      </c>
      <c r="Y35" s="742">
        <f t="shared" si="15"/>
        <v>0</v>
      </c>
      <c r="Z35" s="563" t="str">
        <f t="shared" si="16"/>
        <v>0</v>
      </c>
      <c r="AA35" s="742">
        <f t="shared" si="17"/>
        <v>0</v>
      </c>
      <c r="AB35" s="568">
        <f t="shared" si="18"/>
        <v>102</v>
      </c>
    </row>
    <row r="36" spans="1:28" ht="15" customHeight="1" outlineLevel="1" x14ac:dyDescent="0.25">
      <c r="A36" s="954"/>
      <c r="B36" s="594">
        <v>2010</v>
      </c>
      <c r="C36" s="598">
        <v>11</v>
      </c>
      <c r="D36" s="571">
        <f t="shared" si="0"/>
        <v>3.33</v>
      </c>
      <c r="E36" s="572" t="str">
        <f t="shared" si="1"/>
        <v>0</v>
      </c>
      <c r="F36" s="573">
        <f t="shared" si="2"/>
        <v>0</v>
      </c>
      <c r="G36" s="66" t="str">
        <f t="shared" si="3"/>
        <v/>
      </c>
      <c r="H36" s="491">
        <f t="shared" si="4"/>
        <v>0</v>
      </c>
      <c r="I36" s="574" t="str">
        <f t="shared" si="5"/>
        <v>0</v>
      </c>
      <c r="J36" s="491">
        <f t="shared" si="6"/>
        <v>0</v>
      </c>
      <c r="K36" s="744" t="str">
        <f t="shared" si="7"/>
        <v/>
      </c>
      <c r="L36" s="66">
        <f t="shared" si="19"/>
        <v>0</v>
      </c>
      <c r="M36" s="575" t="str">
        <f t="shared" si="20"/>
        <v>0</v>
      </c>
      <c r="N36" s="66">
        <f t="shared" si="21"/>
        <v>0</v>
      </c>
      <c r="O36" s="576">
        <f t="shared" si="8"/>
        <v>62</v>
      </c>
      <c r="Q36" s="571">
        <f t="shared" si="9"/>
        <v>3.33</v>
      </c>
      <c r="R36" s="577" t="str">
        <f t="shared" si="10"/>
        <v>0</v>
      </c>
      <c r="S36" s="573">
        <f t="shared" si="22"/>
        <v>0</v>
      </c>
      <c r="T36" s="66" t="str">
        <f t="shared" si="11"/>
        <v/>
      </c>
      <c r="U36" s="491">
        <f t="shared" si="12"/>
        <v>0</v>
      </c>
      <c r="V36" s="578" t="str">
        <f t="shared" si="13"/>
        <v>0</v>
      </c>
      <c r="W36" s="491">
        <f t="shared" si="23"/>
        <v>0</v>
      </c>
      <c r="X36" s="744" t="str">
        <f t="shared" si="14"/>
        <v/>
      </c>
      <c r="Y36" s="740">
        <f t="shared" si="15"/>
        <v>0</v>
      </c>
      <c r="Z36" s="575" t="str">
        <f t="shared" si="16"/>
        <v>0</v>
      </c>
      <c r="AA36" s="740">
        <f t="shared" si="17"/>
        <v>0</v>
      </c>
      <c r="AB36" s="579">
        <f t="shared" si="18"/>
        <v>62</v>
      </c>
    </row>
    <row r="37" spans="1:28" ht="15" customHeight="1" outlineLevel="1" thickBot="1" x14ac:dyDescent="0.3">
      <c r="A37" s="955"/>
      <c r="B37" s="595">
        <v>2015</v>
      </c>
      <c r="C37" s="599">
        <v>29</v>
      </c>
      <c r="D37" s="582">
        <f t="shared" si="0"/>
        <v>1.3</v>
      </c>
      <c r="E37" s="583" t="str">
        <f t="shared" si="1"/>
        <v>0</v>
      </c>
      <c r="F37" s="584">
        <f t="shared" si="2"/>
        <v>0</v>
      </c>
      <c r="G37" s="587" t="str">
        <f t="shared" si="3"/>
        <v/>
      </c>
      <c r="H37" s="585">
        <f t="shared" si="4"/>
        <v>1.4</v>
      </c>
      <c r="I37" s="586" t="str">
        <f t="shared" si="5"/>
        <v>0</v>
      </c>
      <c r="J37" s="585">
        <f t="shared" si="6"/>
        <v>0</v>
      </c>
      <c r="K37" s="745" t="str">
        <f t="shared" si="7"/>
        <v/>
      </c>
      <c r="L37" s="587">
        <f t="shared" si="19"/>
        <v>0</v>
      </c>
      <c r="M37" s="588" t="str">
        <f t="shared" si="20"/>
        <v>0</v>
      </c>
      <c r="N37" s="587">
        <f t="shared" si="21"/>
        <v>0</v>
      </c>
      <c r="O37" s="589">
        <f t="shared" si="8"/>
        <v>19</v>
      </c>
      <c r="P37" s="590"/>
      <c r="Q37" s="582">
        <f t="shared" si="9"/>
        <v>1.3</v>
      </c>
      <c r="R37" s="591" t="str">
        <f t="shared" si="10"/>
        <v>0</v>
      </c>
      <c r="S37" s="584">
        <f t="shared" si="22"/>
        <v>0</v>
      </c>
      <c r="T37" s="587" t="str">
        <f t="shared" si="11"/>
        <v/>
      </c>
      <c r="U37" s="585">
        <f t="shared" si="12"/>
        <v>1.4</v>
      </c>
      <c r="V37" s="592" t="str">
        <f t="shared" si="13"/>
        <v>0</v>
      </c>
      <c r="W37" s="585">
        <f t="shared" si="23"/>
        <v>0</v>
      </c>
      <c r="X37" s="745" t="str">
        <f t="shared" si="14"/>
        <v/>
      </c>
      <c r="Y37" s="741">
        <f t="shared" si="15"/>
        <v>0</v>
      </c>
      <c r="Z37" s="588" t="str">
        <f t="shared" si="16"/>
        <v>0</v>
      </c>
      <c r="AA37" s="741">
        <f t="shared" si="17"/>
        <v>0</v>
      </c>
      <c r="AB37" s="593">
        <f t="shared" si="18"/>
        <v>19</v>
      </c>
    </row>
    <row r="38" spans="1:28" ht="15" customHeight="1" outlineLevel="1" x14ac:dyDescent="0.25">
      <c r="A38" s="600"/>
      <c r="B38" s="601">
        <v>2014</v>
      </c>
      <c r="C38" s="602">
        <v>105</v>
      </c>
      <c r="D38" s="603">
        <f t="shared" si="0"/>
        <v>0</v>
      </c>
      <c r="E38" s="604">
        <f t="shared" si="1"/>
        <v>0</v>
      </c>
      <c r="F38" s="605">
        <f t="shared" si="2"/>
        <v>0</v>
      </c>
      <c r="G38" s="473" t="str">
        <f t="shared" si="3"/>
        <v/>
      </c>
      <c r="H38" s="490">
        <f t="shared" si="4"/>
        <v>0</v>
      </c>
      <c r="I38" s="606">
        <f t="shared" si="5"/>
        <v>0</v>
      </c>
      <c r="J38" s="490">
        <f t="shared" si="6"/>
        <v>0</v>
      </c>
      <c r="K38" s="747" t="str">
        <f t="shared" si="7"/>
        <v/>
      </c>
      <c r="L38" s="473">
        <f t="shared" si="19"/>
        <v>0</v>
      </c>
      <c r="M38" s="607">
        <f t="shared" si="20"/>
        <v>0</v>
      </c>
      <c r="N38" s="473">
        <f t="shared" si="21"/>
        <v>0</v>
      </c>
      <c r="O38" s="608">
        <f t="shared" si="8"/>
        <v>0</v>
      </c>
      <c r="Q38" s="603">
        <f t="shared" si="9"/>
        <v>0</v>
      </c>
      <c r="R38" s="609">
        <f t="shared" si="10"/>
        <v>0</v>
      </c>
      <c r="S38" s="605">
        <f t="shared" si="22"/>
        <v>0</v>
      </c>
      <c r="T38" s="473" t="str">
        <f t="shared" si="11"/>
        <v/>
      </c>
      <c r="U38" s="490">
        <f t="shared" si="12"/>
        <v>0</v>
      </c>
      <c r="V38" s="610">
        <f t="shared" si="13"/>
        <v>0</v>
      </c>
      <c r="W38" s="490">
        <f t="shared" si="23"/>
        <v>0</v>
      </c>
      <c r="X38" s="747" t="str">
        <f t="shared" si="14"/>
        <v/>
      </c>
      <c r="Y38" s="743">
        <f t="shared" si="15"/>
        <v>0</v>
      </c>
      <c r="Z38" s="607">
        <f t="shared" si="16"/>
        <v>0</v>
      </c>
      <c r="AA38" s="743">
        <f t="shared" si="17"/>
        <v>0</v>
      </c>
      <c r="AB38" s="611">
        <f t="shared" si="18"/>
        <v>0</v>
      </c>
    </row>
    <row r="39" spans="1:28" ht="15" customHeight="1" outlineLevel="1" thickBot="1" x14ac:dyDescent="0.3">
      <c r="A39" s="72"/>
      <c r="B39" s="594">
        <v>2008</v>
      </c>
      <c r="C39" s="570">
        <v>114</v>
      </c>
      <c r="D39" s="582">
        <f t="shared" si="0"/>
        <v>0</v>
      </c>
      <c r="E39" s="583">
        <f t="shared" si="1"/>
        <v>0</v>
      </c>
      <c r="F39" s="584">
        <f t="shared" si="2"/>
        <v>0</v>
      </c>
      <c r="G39" s="587" t="str">
        <f t="shared" si="3"/>
        <v/>
      </c>
      <c r="H39" s="585">
        <f t="shared" si="4"/>
        <v>0</v>
      </c>
      <c r="I39" s="586">
        <f t="shared" si="5"/>
        <v>0</v>
      </c>
      <c r="J39" s="585">
        <f t="shared" si="6"/>
        <v>0</v>
      </c>
      <c r="K39" s="745" t="str">
        <f t="shared" si="7"/>
        <v/>
      </c>
      <c r="L39" s="587">
        <f t="shared" si="19"/>
        <v>0</v>
      </c>
      <c r="M39" s="588">
        <f t="shared" si="20"/>
        <v>0</v>
      </c>
      <c r="N39" s="587">
        <f t="shared" si="21"/>
        <v>0</v>
      </c>
      <c r="O39" s="589">
        <f t="shared" si="8"/>
        <v>0</v>
      </c>
      <c r="Q39" s="582">
        <f t="shared" si="9"/>
        <v>0</v>
      </c>
      <c r="R39" s="591">
        <f t="shared" si="10"/>
        <v>0</v>
      </c>
      <c r="S39" s="584">
        <f t="shared" si="22"/>
        <v>0</v>
      </c>
      <c r="T39" s="587" t="str">
        <f t="shared" si="11"/>
        <v/>
      </c>
      <c r="U39" s="585">
        <f t="shared" si="12"/>
        <v>0</v>
      </c>
      <c r="V39" s="592">
        <f t="shared" si="13"/>
        <v>0</v>
      </c>
      <c r="W39" s="585">
        <f t="shared" si="23"/>
        <v>0</v>
      </c>
      <c r="X39" s="745" t="str">
        <f t="shared" si="14"/>
        <v/>
      </c>
      <c r="Y39" s="741">
        <f t="shared" si="15"/>
        <v>0</v>
      </c>
      <c r="Z39" s="588">
        <f t="shared" si="16"/>
        <v>0</v>
      </c>
      <c r="AA39" s="741">
        <f t="shared" si="17"/>
        <v>0</v>
      </c>
      <c r="AB39" s="593">
        <f t="shared" si="18"/>
        <v>0</v>
      </c>
    </row>
    <row r="40" spans="1:28" s="7" customFormat="1" ht="15" customHeight="1" outlineLevel="1" x14ac:dyDescent="0.25">
      <c r="B40" s="435"/>
      <c r="D40" s="428">
        <f>SUM(D5:D39)</f>
        <v>1065.6099999999999</v>
      </c>
      <c r="E40" s="612">
        <f>SUM(E5:E39)</f>
        <v>0</v>
      </c>
      <c r="F40" s="428" t="e">
        <f>D40/E40</f>
        <v>#DIV/0!</v>
      </c>
      <c r="G40" s="428">
        <f>SUM(G5:G39)</f>
        <v>0</v>
      </c>
      <c r="H40" s="428">
        <f>SUM(H5:H39)</f>
        <v>795.41</v>
      </c>
      <c r="I40" s="612">
        <f>SUM(I5:I39)</f>
        <v>0</v>
      </c>
      <c r="J40" s="428" t="e">
        <f>H40/I40</f>
        <v>#DIV/0!</v>
      </c>
      <c r="K40" s="428">
        <f>SUM(K5:K39)</f>
        <v>0</v>
      </c>
      <c r="L40" s="428">
        <f>SUM(L5:L39)</f>
        <v>128.41</v>
      </c>
      <c r="M40" s="612">
        <f>SUM(M5:M39)</f>
        <v>0</v>
      </c>
      <c r="N40" s="428" t="e">
        <f>L40/M40</f>
        <v>#DIV/0!</v>
      </c>
      <c r="O40" s="612">
        <f>SUM(O5:O39)/33</f>
        <v>45.18181818181818</v>
      </c>
      <c r="Q40" s="428">
        <f>SUM(Q5:Q39)</f>
        <v>1065.6099999999999</v>
      </c>
      <c r="R40" s="612">
        <f>SUM(R5:R39)</f>
        <v>0</v>
      </c>
      <c r="S40" s="428" t="e">
        <f>Q40/R40</f>
        <v>#DIV/0!</v>
      </c>
      <c r="T40" s="428">
        <f>SUM(T5:T39)</f>
        <v>0</v>
      </c>
      <c r="U40" s="428">
        <f>SUM(U5:U39)</f>
        <v>795.41</v>
      </c>
      <c r="V40" s="612">
        <f>SUM(V5:V39)</f>
        <v>0</v>
      </c>
      <c r="W40" s="428" t="e">
        <f>U40/V40</f>
        <v>#DIV/0!</v>
      </c>
      <c r="X40" s="428"/>
      <c r="Z40" s="749"/>
      <c r="AB40" s="612">
        <f>SUM(AB5:AB39)/33</f>
        <v>45.18181818181818</v>
      </c>
    </row>
    <row r="41" spans="1:28" ht="15" customHeight="1" outlineLevel="1" x14ac:dyDescent="0.25"/>
    <row r="42" spans="1:28" ht="15" customHeight="1" outlineLevel="1" x14ac:dyDescent="0.25">
      <c r="B42" s="613">
        <v>2</v>
      </c>
      <c r="C42" t="s">
        <v>178</v>
      </c>
    </row>
    <row r="43" spans="1:28" ht="15" customHeight="1" outlineLevel="1" x14ac:dyDescent="0.25">
      <c r="B43" s="613">
        <v>11</v>
      </c>
      <c r="C43" t="s">
        <v>178</v>
      </c>
    </row>
    <row r="44" spans="1:28" ht="15" customHeight="1" outlineLevel="1" x14ac:dyDescent="0.25">
      <c r="B44" s="613">
        <v>29</v>
      </c>
      <c r="C44" t="s">
        <v>179</v>
      </c>
    </row>
    <row r="45" spans="1:28" ht="15" customHeight="1" outlineLevel="1" x14ac:dyDescent="0.25"/>
    <row r="46" spans="1:28" ht="30.75" customHeight="1" outlineLevel="1" x14ac:dyDescent="0.25">
      <c r="B46" s="614" t="s">
        <v>111</v>
      </c>
      <c r="C46" t="s">
        <v>180</v>
      </c>
    </row>
    <row r="47" spans="1:28" ht="15" customHeight="1" outlineLevel="1" x14ac:dyDescent="0.25"/>
    <row r="48" spans="1:28" ht="15" customHeight="1" outlineLevel="1" x14ac:dyDescent="0.25"/>
    <row r="49" ht="15" customHeight="1" outlineLevel="1" x14ac:dyDescent="0.25"/>
    <row r="50" ht="15" customHeight="1" outlineLevel="1" x14ac:dyDescent="0.25"/>
    <row r="51" ht="15" customHeight="1" outlineLevel="1" x14ac:dyDescent="0.25"/>
    <row r="52" ht="15" customHeight="1" outlineLevel="1" x14ac:dyDescent="0.25"/>
    <row r="53" ht="15" customHeight="1" outlineLevel="1" x14ac:dyDescent="0.25"/>
    <row r="54" ht="15" customHeight="1" outlineLevel="1" x14ac:dyDescent="0.25"/>
    <row r="55" ht="15" customHeight="1" outlineLevel="1" x14ac:dyDescent="0.25"/>
    <row r="56" ht="15" customHeight="1" outlineLevel="1" x14ac:dyDescent="0.25"/>
    <row r="57" ht="15" customHeight="1" outlineLevel="1" x14ac:dyDescent="0.25"/>
    <row r="58" ht="15" customHeight="1" outlineLevel="1" x14ac:dyDescent="0.25"/>
    <row r="59" ht="15" customHeight="1" outlineLevel="1" x14ac:dyDescent="0.25"/>
    <row r="60" ht="15" customHeight="1" outlineLevel="1" x14ac:dyDescent="0.25"/>
    <row r="61" ht="15" customHeight="1" outlineLevel="1" x14ac:dyDescent="0.25"/>
    <row r="62" ht="15" customHeight="1" outlineLevel="1" x14ac:dyDescent="0.25"/>
    <row r="63" ht="15" customHeight="1" outlineLevel="1" x14ac:dyDescent="0.25"/>
    <row r="64" ht="15" customHeight="1" outlineLevel="1" x14ac:dyDescent="0.25"/>
    <row r="65" ht="15" customHeight="1" outlineLevel="1" x14ac:dyDescent="0.25"/>
    <row r="66" ht="15" customHeight="1" outlineLevel="1" x14ac:dyDescent="0.25"/>
    <row r="67" ht="15" customHeight="1" outlineLevel="1" x14ac:dyDescent="0.25"/>
    <row r="68" ht="15" customHeight="1" outlineLevel="1" x14ac:dyDescent="0.25"/>
    <row r="69" ht="15" customHeight="1" outlineLevel="1" x14ac:dyDescent="0.25"/>
    <row r="70" ht="15" customHeight="1" outlineLevel="1" x14ac:dyDescent="0.25"/>
    <row r="71" ht="15" customHeight="1" outlineLevel="1" x14ac:dyDescent="0.25"/>
    <row r="72" ht="15" customHeight="1" outlineLevel="1" x14ac:dyDescent="0.25"/>
    <row r="73" ht="15" customHeight="1" outlineLevel="1" x14ac:dyDescent="0.25"/>
    <row r="74" ht="15" customHeight="1" outlineLevel="1" x14ac:dyDescent="0.25"/>
    <row r="75" ht="15" customHeight="1" outlineLevel="1" x14ac:dyDescent="0.25"/>
    <row r="76" ht="15" customHeight="1" outlineLevel="1" x14ac:dyDescent="0.25"/>
    <row r="77" ht="15" customHeight="1" outlineLevel="1" x14ac:dyDescent="0.25"/>
    <row r="78" ht="15" customHeight="1" outlineLevel="1" x14ac:dyDescent="0.25"/>
    <row r="79" ht="15" customHeight="1" outlineLevel="1" x14ac:dyDescent="0.25"/>
    <row r="80" ht="15" customHeight="1" outlineLevel="1" x14ac:dyDescent="0.25"/>
    <row r="81" ht="15" customHeight="1" outlineLevel="1" x14ac:dyDescent="0.25"/>
    <row r="82" ht="15" customHeight="1" outlineLevel="1" x14ac:dyDescent="0.25"/>
    <row r="83" ht="15" customHeight="1" outlineLevel="1" x14ac:dyDescent="0.25"/>
    <row r="84" ht="15" customHeight="1" outlineLevel="1" x14ac:dyDescent="0.25"/>
    <row r="85" ht="15" customHeight="1" outlineLevel="1" x14ac:dyDescent="0.25"/>
    <row r="86" ht="15" customHeight="1" outlineLevel="1" x14ac:dyDescent="0.25"/>
    <row r="87" ht="15" customHeight="1" outlineLevel="1" x14ac:dyDescent="0.25"/>
    <row r="88" ht="15" customHeight="1" outlineLevel="1" x14ac:dyDescent="0.25"/>
    <row r="89" ht="15" customHeight="1" outlineLevel="1" x14ac:dyDescent="0.25"/>
    <row r="90" ht="15" customHeight="1" outlineLevel="1" x14ac:dyDescent="0.25"/>
    <row r="91" ht="15" customHeight="1" outlineLevel="1" x14ac:dyDescent="0.25"/>
    <row r="92" ht="15" customHeight="1" outlineLevel="1" x14ac:dyDescent="0.25"/>
    <row r="93" ht="15" customHeight="1" outlineLevel="1" x14ac:dyDescent="0.25"/>
    <row r="94" ht="15" customHeight="1" outlineLevel="1" x14ac:dyDescent="0.25"/>
    <row r="95" ht="15" customHeight="1" outlineLevel="1" x14ac:dyDescent="0.25"/>
    <row r="96" ht="15" customHeight="1" outlineLevel="1" x14ac:dyDescent="0.25"/>
    <row r="97" ht="15" customHeight="1" outlineLevel="1" x14ac:dyDescent="0.25"/>
    <row r="98" ht="15" customHeight="1" outlineLevel="1" x14ac:dyDescent="0.25"/>
    <row r="99" ht="15" customHeight="1" outlineLevel="1" x14ac:dyDescent="0.25"/>
    <row r="100" ht="15" customHeight="1" outlineLevel="1" x14ac:dyDescent="0.25"/>
    <row r="101" ht="15" customHeight="1" outlineLevel="1" x14ac:dyDescent="0.25"/>
    <row r="102" ht="15" customHeight="1" outlineLevel="1" x14ac:dyDescent="0.25"/>
    <row r="103" ht="15" customHeight="1" outlineLevel="1" x14ac:dyDescent="0.25"/>
    <row r="104" ht="15" customHeight="1" outlineLevel="1" x14ac:dyDescent="0.25"/>
    <row r="105" ht="15" customHeight="1" outlineLevel="1" x14ac:dyDescent="0.25"/>
    <row r="106" ht="15" customHeight="1" outlineLevel="1" x14ac:dyDescent="0.25"/>
    <row r="107" ht="15" customHeight="1" outlineLevel="1" x14ac:dyDescent="0.25"/>
    <row r="108" ht="15" customHeight="1" outlineLevel="1" x14ac:dyDescent="0.25"/>
    <row r="109" ht="15" customHeight="1" outlineLevel="1" x14ac:dyDescent="0.25"/>
    <row r="110" ht="15" customHeight="1" outlineLevel="1" x14ac:dyDescent="0.25"/>
    <row r="111" ht="15" customHeight="1" outlineLevel="1" x14ac:dyDescent="0.25"/>
    <row r="112" ht="15" customHeight="1" outlineLevel="1" x14ac:dyDescent="0.25"/>
    <row r="113" spans="1:28" ht="15" customHeight="1" outlineLevel="1" x14ac:dyDescent="0.25"/>
    <row r="114" spans="1:28" ht="15" customHeight="1" outlineLevel="1" x14ac:dyDescent="0.25"/>
    <row r="115" spans="1:28" ht="15" customHeight="1" outlineLevel="1" x14ac:dyDescent="0.25"/>
    <row r="116" spans="1:28" ht="15" customHeight="1" outlineLevel="1" thickBot="1" x14ac:dyDescent="0.3"/>
    <row r="117" spans="1:28" s="552" customFormat="1" ht="34.5" customHeight="1" x14ac:dyDescent="0.25">
      <c r="C117" s="968">
        <v>2024</v>
      </c>
      <c r="D117" s="969"/>
      <c r="E117" s="969"/>
      <c r="F117" s="969"/>
      <c r="G117" s="969"/>
      <c r="H117" s="970"/>
      <c r="I117" s="968">
        <v>2025</v>
      </c>
      <c r="J117" s="969"/>
      <c r="K117" s="969"/>
      <c r="L117" s="969"/>
      <c r="M117" s="969"/>
      <c r="N117" s="971"/>
      <c r="O117" s="7"/>
      <c r="P117" s="7"/>
      <c r="Q117" s="968" t="s">
        <v>182</v>
      </c>
      <c r="R117" s="969"/>
      <c r="S117" s="969"/>
      <c r="T117" s="969"/>
      <c r="U117" s="970"/>
      <c r="V117" s="7"/>
      <c r="W117" s="7"/>
      <c r="X117" s="7"/>
      <c r="Y117" s="7"/>
      <c r="Z117" s="749"/>
    </row>
    <row r="118" spans="1:28" s="552" customFormat="1" ht="60" x14ac:dyDescent="0.25">
      <c r="A118" s="976" t="s">
        <v>78</v>
      </c>
      <c r="B118" s="977"/>
      <c r="C118" s="643" t="s">
        <v>183</v>
      </c>
      <c r="D118" s="527" t="s">
        <v>184</v>
      </c>
      <c r="E118" s="644" t="s">
        <v>174</v>
      </c>
      <c r="F118" s="527" t="s">
        <v>177</v>
      </c>
      <c r="G118" s="644" t="s">
        <v>185</v>
      </c>
      <c r="H118" s="645" t="s">
        <v>186</v>
      </c>
      <c r="I118" s="643" t="s">
        <v>183</v>
      </c>
      <c r="J118" s="527" t="s">
        <v>184</v>
      </c>
      <c r="K118" s="644" t="s">
        <v>174</v>
      </c>
      <c r="L118" s="527" t="s">
        <v>177</v>
      </c>
      <c r="M118" s="644" t="s">
        <v>185</v>
      </c>
      <c r="N118" s="645" t="s">
        <v>186</v>
      </c>
      <c r="O118" s="7"/>
      <c r="P118" s="7"/>
      <c r="Q118" s="643" t="s">
        <v>183</v>
      </c>
      <c r="R118" s="527" t="s">
        <v>184</v>
      </c>
      <c r="S118" s="644" t="s">
        <v>174</v>
      </c>
      <c r="T118" s="527" t="s">
        <v>177</v>
      </c>
      <c r="U118" s="646" t="s">
        <v>185</v>
      </c>
      <c r="V118" s="3"/>
      <c r="W118" s="3"/>
      <c r="X118" s="3"/>
      <c r="Y118" s="3"/>
      <c r="Z118" s="750"/>
    </row>
    <row r="119" spans="1:28" ht="15" customHeight="1" x14ac:dyDescent="0.25">
      <c r="A119" s="974" t="s">
        <v>63</v>
      </c>
      <c r="B119" s="975"/>
      <c r="C119" s="647">
        <f>D132+H132+L132</f>
        <v>327.66000000000003</v>
      </c>
      <c r="D119" s="648">
        <f>E132+I132+M132</f>
        <v>0</v>
      </c>
      <c r="E119" s="649" t="e">
        <f>C119/D119</f>
        <v>#DIV/0!</v>
      </c>
      <c r="F119" s="648">
        <f>O132</f>
        <v>229</v>
      </c>
      <c r="G119" s="650">
        <f>ROUND(F119/29,0)</f>
        <v>8</v>
      </c>
      <c r="H119" s="651">
        <f>IFERROR(C119/G119,0)</f>
        <v>40.957500000000003</v>
      </c>
      <c r="I119" s="652"/>
      <c r="J119" s="653"/>
      <c r="K119" s="653"/>
      <c r="L119" s="653"/>
      <c r="M119" s="654"/>
      <c r="N119" s="655"/>
      <c r="O119" s="7"/>
      <c r="P119" s="7"/>
      <c r="Q119" s="656"/>
      <c r="R119" s="657"/>
      <c r="S119" s="658"/>
      <c r="T119" s="657"/>
      <c r="U119" s="659"/>
      <c r="V119" s="7"/>
      <c r="W119" s="7"/>
      <c r="X119" s="7"/>
      <c r="AB119"/>
    </row>
    <row r="120" spans="1:28" ht="15" customHeight="1" x14ac:dyDescent="0.25">
      <c r="A120" s="974" t="s">
        <v>111</v>
      </c>
      <c r="B120" s="975"/>
      <c r="C120" s="660"/>
      <c r="D120" s="658"/>
      <c r="E120" s="658"/>
      <c r="F120" s="658"/>
      <c r="G120" s="654"/>
      <c r="H120" s="655"/>
      <c r="I120" s="647">
        <f t="shared" ref="I120:J125" si="24">Q133+U133+Y133</f>
        <v>327.66000000000003</v>
      </c>
      <c r="J120" s="648">
        <f t="shared" si="24"/>
        <v>0</v>
      </c>
      <c r="K120" s="649" t="e">
        <f t="shared" ref="K120:K126" si="25">I120/J120</f>
        <v>#DIV/0!</v>
      </c>
      <c r="L120" s="648">
        <f t="shared" ref="L120:L125" si="26">AB133</f>
        <v>229</v>
      </c>
      <c r="M120" s="650">
        <f t="shared" ref="M120:M124" si="27">ROUND(L120/29,0)</f>
        <v>8</v>
      </c>
      <c r="N120" s="651">
        <f t="shared" ref="N120:N125" si="28">IFERROR(I120/M120,0)</f>
        <v>40.957500000000003</v>
      </c>
      <c r="O120" s="7"/>
      <c r="P120" s="7"/>
      <c r="Q120" s="647">
        <f>I120-C119</f>
        <v>0</v>
      </c>
      <c r="R120" s="648">
        <f>J120-D119</f>
        <v>0</v>
      </c>
      <c r="S120" s="649" t="e">
        <f>K120-E119</f>
        <v>#DIV/0!</v>
      </c>
      <c r="T120" s="648">
        <f>L120-F119</f>
        <v>0</v>
      </c>
      <c r="U120" s="661">
        <f>ROUND(M120-G119,0)</f>
        <v>0</v>
      </c>
      <c r="V120" s="539"/>
      <c r="W120" s="7"/>
      <c r="X120" s="7"/>
      <c r="Y120" s="7"/>
      <c r="AB120"/>
    </row>
    <row r="121" spans="1:28" ht="15" customHeight="1" x14ac:dyDescent="0.25">
      <c r="A121" s="959" t="s">
        <v>90</v>
      </c>
      <c r="B121" s="960"/>
      <c r="C121" s="662">
        <f t="shared" ref="C121:D124" si="29">D134+H134+L134</f>
        <v>408.98</v>
      </c>
      <c r="D121" s="66">
        <f t="shared" si="29"/>
        <v>0</v>
      </c>
      <c r="E121" s="663" t="e">
        <f>C121/D121</f>
        <v>#DIV/0!</v>
      </c>
      <c r="F121" s="66">
        <f>O134</f>
        <v>267</v>
      </c>
      <c r="G121" s="664">
        <f>ROUND(F121/29,0)</f>
        <v>9</v>
      </c>
      <c r="H121" s="665">
        <f>IFERROR(C121/G121,0)</f>
        <v>45.442222222222227</v>
      </c>
      <c r="I121" s="662">
        <f t="shared" si="24"/>
        <v>408.98</v>
      </c>
      <c r="J121" s="66">
        <f t="shared" si="24"/>
        <v>0</v>
      </c>
      <c r="K121" s="663" t="e">
        <f t="shared" si="25"/>
        <v>#DIV/0!</v>
      </c>
      <c r="L121" s="66">
        <f t="shared" si="26"/>
        <v>267</v>
      </c>
      <c r="M121" s="664">
        <f t="shared" si="27"/>
        <v>9</v>
      </c>
      <c r="N121" s="665">
        <f t="shared" si="28"/>
        <v>45.442222222222227</v>
      </c>
      <c r="O121" s="7"/>
      <c r="P121" s="7"/>
      <c r="Q121" s="662">
        <f>I121-C121</f>
        <v>0</v>
      </c>
      <c r="R121" s="66">
        <f>J121-D121</f>
        <v>0</v>
      </c>
      <c r="S121" s="663" t="e">
        <f>K121-E121</f>
        <v>#DIV/0!</v>
      </c>
      <c r="T121" s="66">
        <f>L121-F121</f>
        <v>0</v>
      </c>
      <c r="U121" s="666">
        <f>ROUND(M121-G121,0)</f>
        <v>0</v>
      </c>
      <c r="V121" s="7"/>
      <c r="W121"/>
      <c r="X121"/>
      <c r="Y121" s="7"/>
      <c r="AB121"/>
    </row>
    <row r="122" spans="1:28" ht="15" customHeight="1" x14ac:dyDescent="0.25">
      <c r="A122" s="959" t="s">
        <v>64</v>
      </c>
      <c r="B122" s="960"/>
      <c r="C122" s="662">
        <f t="shared" si="29"/>
        <v>535.8599999999999</v>
      </c>
      <c r="D122" s="66">
        <f t="shared" si="29"/>
        <v>0</v>
      </c>
      <c r="E122" s="663" t="e">
        <f>C122/D122</f>
        <v>#DIV/0!</v>
      </c>
      <c r="F122" s="66">
        <f>O135</f>
        <v>535</v>
      </c>
      <c r="G122" s="664">
        <f>ROUND(F122/29,0)</f>
        <v>18</v>
      </c>
      <c r="H122" s="665">
        <f>IFERROR(C122/G122,0)</f>
        <v>29.769999999999996</v>
      </c>
      <c r="I122" s="662">
        <f t="shared" si="24"/>
        <v>530.29</v>
      </c>
      <c r="J122" s="66">
        <f t="shared" si="24"/>
        <v>0</v>
      </c>
      <c r="K122" s="663" t="e">
        <f t="shared" si="25"/>
        <v>#DIV/0!</v>
      </c>
      <c r="L122" s="66">
        <f t="shared" si="26"/>
        <v>371</v>
      </c>
      <c r="M122" s="664">
        <f t="shared" si="27"/>
        <v>13</v>
      </c>
      <c r="N122" s="665">
        <f t="shared" si="28"/>
        <v>40.791538461538458</v>
      </c>
      <c r="O122" s="7"/>
      <c r="P122" s="7"/>
      <c r="Q122" s="662">
        <f>I122-(C122)</f>
        <v>-5.5699999999999363</v>
      </c>
      <c r="R122" s="66">
        <f t="shared" ref="R122:T125" si="30">J122-D122</f>
        <v>0</v>
      </c>
      <c r="S122" s="663" t="e">
        <f t="shared" si="30"/>
        <v>#DIV/0!</v>
      </c>
      <c r="T122" s="66">
        <f t="shared" si="30"/>
        <v>-164</v>
      </c>
      <c r="U122" s="666">
        <f>ROUND(M122-G122,0)</f>
        <v>-5</v>
      </c>
      <c r="V122" s="7"/>
      <c r="W122" s="7"/>
      <c r="X122" s="7"/>
      <c r="Y122" s="7"/>
      <c r="AB122"/>
    </row>
    <row r="123" spans="1:28" x14ac:dyDescent="0.25">
      <c r="A123" s="959" t="s">
        <v>112</v>
      </c>
      <c r="B123" s="960"/>
      <c r="C123" s="662">
        <f t="shared" si="29"/>
        <v>433.06</v>
      </c>
      <c r="D123" s="66">
        <f t="shared" si="29"/>
        <v>0</v>
      </c>
      <c r="E123" s="663" t="e">
        <f>C123/D123</f>
        <v>#DIV/0!</v>
      </c>
      <c r="F123" s="66">
        <f>O136</f>
        <v>249</v>
      </c>
      <c r="G123" s="664">
        <f>ROUND(F123/29,0)</f>
        <v>9</v>
      </c>
      <c r="H123" s="665">
        <f>IFERROR(C123/G123,0)</f>
        <v>48.117777777777775</v>
      </c>
      <c r="I123" s="662">
        <f t="shared" si="24"/>
        <v>433.06</v>
      </c>
      <c r="J123" s="66">
        <f t="shared" si="24"/>
        <v>0</v>
      </c>
      <c r="K123" s="663" t="e">
        <f t="shared" si="25"/>
        <v>#DIV/0!</v>
      </c>
      <c r="L123" s="66">
        <f t="shared" si="26"/>
        <v>249</v>
      </c>
      <c r="M123" s="664">
        <f t="shared" si="27"/>
        <v>9</v>
      </c>
      <c r="N123" s="665">
        <f t="shared" si="28"/>
        <v>48.117777777777775</v>
      </c>
      <c r="O123" s="7"/>
      <c r="P123" s="7"/>
      <c r="Q123" s="662">
        <f>I123-C123</f>
        <v>0</v>
      </c>
      <c r="R123" s="66">
        <f t="shared" si="30"/>
        <v>0</v>
      </c>
      <c r="S123" s="663" t="e">
        <f t="shared" si="30"/>
        <v>#DIV/0!</v>
      </c>
      <c r="T123" s="66">
        <f t="shared" si="30"/>
        <v>0</v>
      </c>
      <c r="U123" s="666">
        <f>ROUND(M123-G123,0)</f>
        <v>0</v>
      </c>
      <c r="V123" s="7"/>
      <c r="W123" s="7"/>
      <c r="X123" s="7"/>
      <c r="Y123" s="7"/>
      <c r="AB123"/>
    </row>
    <row r="124" spans="1:28" x14ac:dyDescent="0.25">
      <c r="A124" s="959" t="s">
        <v>91</v>
      </c>
      <c r="B124" s="960"/>
      <c r="C124" s="662">
        <f t="shared" si="29"/>
        <v>283.87</v>
      </c>
      <c r="D124" s="66">
        <f t="shared" si="29"/>
        <v>0</v>
      </c>
      <c r="E124" s="663" t="e">
        <f>C124/D124</f>
        <v>#DIV/0!</v>
      </c>
      <c r="F124" s="66">
        <f>O137</f>
        <v>211</v>
      </c>
      <c r="G124" s="664">
        <f>ROUND(F124/29,0)</f>
        <v>7</v>
      </c>
      <c r="H124" s="665">
        <f>IFERROR(C124/G124,0)</f>
        <v>40.552857142857142</v>
      </c>
      <c r="I124" s="662">
        <f t="shared" si="24"/>
        <v>281.17</v>
      </c>
      <c r="J124" s="66">
        <f t="shared" si="24"/>
        <v>0</v>
      </c>
      <c r="K124" s="663" t="e">
        <f t="shared" si="25"/>
        <v>#DIV/0!</v>
      </c>
      <c r="L124" s="66">
        <f t="shared" si="26"/>
        <v>192</v>
      </c>
      <c r="M124" s="664">
        <f t="shared" si="27"/>
        <v>7</v>
      </c>
      <c r="N124" s="665">
        <f t="shared" si="28"/>
        <v>40.167142857142856</v>
      </c>
      <c r="O124" s="7"/>
      <c r="P124" s="7"/>
      <c r="Q124" s="662">
        <f>I124-(C124)</f>
        <v>-2.6999999999999886</v>
      </c>
      <c r="R124" s="66">
        <f t="shared" si="30"/>
        <v>0</v>
      </c>
      <c r="S124" s="663" t="e">
        <f t="shared" si="30"/>
        <v>#DIV/0!</v>
      </c>
      <c r="T124" s="66">
        <f t="shared" si="30"/>
        <v>-19</v>
      </c>
      <c r="U124" s="666">
        <f>ROUND(M124-G124,0)</f>
        <v>0</v>
      </c>
      <c r="V124" s="7"/>
      <c r="W124" s="7"/>
      <c r="X124" s="7"/>
      <c r="Y124" s="7"/>
      <c r="AB124"/>
    </row>
    <row r="125" spans="1:28" ht="15.75" thickBot="1" x14ac:dyDescent="0.3">
      <c r="A125" s="978" t="s">
        <v>113</v>
      </c>
      <c r="B125" s="979"/>
      <c r="C125" s="667"/>
      <c r="D125" s="668"/>
      <c r="E125" s="668"/>
      <c r="F125" s="668"/>
      <c r="G125" s="669"/>
      <c r="H125" s="670">
        <f>IFERROR(C125/G125,0)</f>
        <v>0</v>
      </c>
      <c r="I125" s="671">
        <f t="shared" si="24"/>
        <v>8.27</v>
      </c>
      <c r="J125" s="524">
        <f t="shared" si="24"/>
        <v>0</v>
      </c>
      <c r="K125" s="672" t="e">
        <f t="shared" si="25"/>
        <v>#DIV/0!</v>
      </c>
      <c r="L125" s="524">
        <f t="shared" si="26"/>
        <v>183</v>
      </c>
      <c r="M125" s="673">
        <f>ROUND(L125/29,0)</f>
        <v>6</v>
      </c>
      <c r="N125" s="674">
        <f t="shared" si="28"/>
        <v>1.3783333333333332</v>
      </c>
      <c r="O125" s="7"/>
      <c r="P125" s="7"/>
      <c r="Q125" s="675">
        <f>I125-C125</f>
        <v>8.27</v>
      </c>
      <c r="R125" s="587">
        <f t="shared" si="30"/>
        <v>0</v>
      </c>
      <c r="S125" s="676" t="e">
        <f t="shared" si="30"/>
        <v>#DIV/0!</v>
      </c>
      <c r="T125" s="587">
        <f t="shared" si="30"/>
        <v>183</v>
      </c>
      <c r="U125" s="677">
        <f>ROUND(M125-G125,0)</f>
        <v>6</v>
      </c>
      <c r="V125" s="7"/>
      <c r="W125" s="7"/>
      <c r="X125" s="7"/>
      <c r="Y125" s="7"/>
      <c r="AB125"/>
    </row>
    <row r="126" spans="1:28" s="7" customFormat="1" ht="15.75" thickBot="1" x14ac:dyDescent="0.3">
      <c r="C126" s="678">
        <f>SUM(C119:C125)</f>
        <v>1989.4299999999998</v>
      </c>
      <c r="D126" s="679">
        <f>SUM(D119:D125)</f>
        <v>0</v>
      </c>
      <c r="E126" s="680" t="e">
        <f>C126/D126</f>
        <v>#DIV/0!</v>
      </c>
      <c r="F126" s="679">
        <f>SUM(F119:F125)</f>
        <v>1491</v>
      </c>
      <c r="G126" s="681">
        <f>SUM(G119:G125)</f>
        <v>51</v>
      </c>
      <c r="H126" s="682">
        <f>C126/G126</f>
        <v>39.008431372549019</v>
      </c>
      <c r="I126" s="683">
        <f>SUM(I119:I125)</f>
        <v>1989.43</v>
      </c>
      <c r="J126" s="684">
        <f>SUM(J119:J125)</f>
        <v>0</v>
      </c>
      <c r="K126" s="685" t="e">
        <f t="shared" si="25"/>
        <v>#DIV/0!</v>
      </c>
      <c r="L126" s="684">
        <f>SUM(L119:L125)</f>
        <v>1491</v>
      </c>
      <c r="M126" s="686">
        <f>SUM(M119:M125)</f>
        <v>52</v>
      </c>
      <c r="N126" s="687">
        <f>I126/M126</f>
        <v>38.25826923076923</v>
      </c>
      <c r="Q126" s="678">
        <f>SUM(Q119:Q125)</f>
        <v>7.460698725481052E-14</v>
      </c>
      <c r="R126" s="679">
        <f>SUM(R119:R125)</f>
        <v>0</v>
      </c>
      <c r="S126" s="733" t="e">
        <f>K126-E126</f>
        <v>#DIV/0!</v>
      </c>
      <c r="T126" s="679">
        <f>SUM(T119:T125)</f>
        <v>0</v>
      </c>
      <c r="U126" s="688">
        <f>SUM(U119:U125)</f>
        <v>1</v>
      </c>
      <c r="Z126" s="749"/>
    </row>
    <row r="127" spans="1:28" s="7" customFormat="1" x14ac:dyDescent="0.25">
      <c r="Z127" s="749"/>
    </row>
    <row r="128" spans="1:28" s="7" customFormat="1" x14ac:dyDescent="0.25">
      <c r="Z128" s="749"/>
    </row>
    <row r="129" spans="1:30" hidden="1" x14ac:dyDescent="0.25">
      <c r="H129" s="540"/>
      <c r="I129" s="434"/>
      <c r="K129" s="540"/>
      <c r="N129"/>
      <c r="O129" s="434"/>
      <c r="P129" s="541"/>
      <c r="R129" s="434"/>
      <c r="S129" s="541"/>
      <c r="U129"/>
      <c r="V129"/>
      <c r="W129"/>
      <c r="X129"/>
      <c r="Y129" s="539"/>
      <c r="AB129"/>
    </row>
    <row r="130" spans="1:30" s="7" customFormat="1" hidden="1" x14ac:dyDescent="0.25">
      <c r="B130" s="435"/>
      <c r="D130" s="956">
        <v>2024</v>
      </c>
      <c r="E130" s="957"/>
      <c r="F130" s="957"/>
      <c r="G130" s="957"/>
      <c r="H130" s="957"/>
      <c r="I130" s="957"/>
      <c r="J130" s="957"/>
      <c r="K130" s="957"/>
      <c r="L130" s="957"/>
      <c r="M130" s="957"/>
      <c r="N130" s="957"/>
      <c r="O130" s="958"/>
      <c r="Q130" s="956">
        <v>2025</v>
      </c>
      <c r="R130" s="957"/>
      <c r="S130" s="957"/>
      <c r="T130" s="957"/>
      <c r="U130" s="957"/>
      <c r="V130" s="957"/>
      <c r="W130" s="957"/>
      <c r="X130" s="957"/>
      <c r="Y130" s="957"/>
      <c r="Z130" s="957"/>
      <c r="AA130" s="957"/>
      <c r="AB130" s="958"/>
    </row>
    <row r="131" spans="1:30" s="552" customFormat="1" ht="60" hidden="1" x14ac:dyDescent="0.25">
      <c r="A131" s="973" t="s">
        <v>78</v>
      </c>
      <c r="B131" s="973"/>
      <c r="C131" s="615" t="s">
        <v>181</v>
      </c>
      <c r="D131" s="616" t="s">
        <v>172</v>
      </c>
      <c r="E131" s="617" t="s">
        <v>173</v>
      </c>
      <c r="F131" s="618" t="s">
        <v>174</v>
      </c>
      <c r="G131" s="731"/>
      <c r="H131" s="619" t="s">
        <v>175</v>
      </c>
      <c r="I131" s="620" t="s">
        <v>173</v>
      </c>
      <c r="J131" s="621" t="s">
        <v>174</v>
      </c>
      <c r="K131" s="731"/>
      <c r="L131" s="622" t="s">
        <v>176</v>
      </c>
      <c r="M131" s="623" t="s">
        <v>173</v>
      </c>
      <c r="N131" s="624" t="s">
        <v>174</v>
      </c>
      <c r="O131" s="625" t="s">
        <v>177</v>
      </c>
      <c r="Q131" s="616" t="s">
        <v>172</v>
      </c>
      <c r="R131" s="626" t="s">
        <v>173</v>
      </c>
      <c r="S131" s="618" t="s">
        <v>174</v>
      </c>
      <c r="T131" s="549" t="s">
        <v>191</v>
      </c>
      <c r="U131" s="619" t="s">
        <v>175</v>
      </c>
      <c r="V131" s="627" t="s">
        <v>173</v>
      </c>
      <c r="W131" s="621" t="s">
        <v>174</v>
      </c>
      <c r="X131" s="748"/>
      <c r="Y131" s="622" t="s">
        <v>176</v>
      </c>
      <c r="Z131" s="623" t="s">
        <v>173</v>
      </c>
      <c r="AA131" s="624" t="s">
        <v>174</v>
      </c>
      <c r="AB131" s="625" t="s">
        <v>177</v>
      </c>
    </row>
    <row r="132" spans="1:30" ht="15" hidden="1" customHeight="1" x14ac:dyDescent="0.25">
      <c r="A132" s="972" t="s">
        <v>63</v>
      </c>
      <c r="B132" s="972"/>
      <c r="C132" s="628">
        <v>3</v>
      </c>
      <c r="D132" s="629">
        <f>SUM(D5:D7)</f>
        <v>236.74</v>
      </c>
      <c r="E132" s="66">
        <f>SUM(E5:E7)</f>
        <v>0</v>
      </c>
      <c r="F132" s="630" t="e">
        <f>D132/E132</f>
        <v>#DIV/0!</v>
      </c>
      <c r="G132" s="710"/>
      <c r="H132" s="629">
        <f>SUM(H5:H7)</f>
        <v>90.92</v>
      </c>
      <c r="I132" s="66">
        <f>SUM(I5:I7)</f>
        <v>0</v>
      </c>
      <c r="J132" s="630" t="e">
        <f>H132/I132</f>
        <v>#DIV/0!</v>
      </c>
      <c r="K132" s="710"/>
      <c r="L132" s="629">
        <f>SUM(L5:L7)</f>
        <v>0</v>
      </c>
      <c r="M132" s="66">
        <f>SUM(M5:M7)</f>
        <v>0</v>
      </c>
      <c r="N132" s="630">
        <f>IFERROR(L132/M132,0)</f>
        <v>0</v>
      </c>
      <c r="O132" s="432">
        <f>SUM(O5:O7)</f>
        <v>229</v>
      </c>
      <c r="Q132" s="631"/>
      <c r="R132" s="632"/>
      <c r="S132" s="633"/>
      <c r="T132" s="710"/>
      <c r="U132" s="631"/>
      <c r="V132" s="632"/>
      <c r="W132" s="633"/>
      <c r="X132" s="732"/>
      <c r="Y132" s="634"/>
      <c r="Z132" s="751"/>
      <c r="AA132" s="635"/>
      <c r="AB132" s="636"/>
    </row>
    <row r="133" spans="1:30" ht="15" hidden="1" customHeight="1" x14ac:dyDescent="0.25">
      <c r="A133" s="972" t="s">
        <v>111</v>
      </c>
      <c r="B133" s="972"/>
      <c r="C133" s="628">
        <v>3</v>
      </c>
      <c r="D133" s="631"/>
      <c r="E133" s="637"/>
      <c r="F133" s="633"/>
      <c r="G133" s="732"/>
      <c r="H133" s="631"/>
      <c r="I133" s="637"/>
      <c r="J133" s="633"/>
      <c r="K133" s="732"/>
      <c r="L133" s="631"/>
      <c r="M133" s="637"/>
      <c r="N133" s="633"/>
      <c r="O133" s="638"/>
      <c r="Q133" s="629">
        <f>SUM(Q5:Q7)</f>
        <v>236.74</v>
      </c>
      <c r="R133" s="66">
        <f>SUM(R5:R7)</f>
        <v>0</v>
      </c>
      <c r="S133" s="630" t="e">
        <f t="shared" ref="S133:S139" si="31">Q133/R133</f>
        <v>#DIV/0!</v>
      </c>
      <c r="T133" s="710">
        <f>SUM(T5:T7)</f>
        <v>0</v>
      </c>
      <c r="U133" s="629">
        <f>SUM(U5:U7)</f>
        <v>90.92</v>
      </c>
      <c r="V133" s="66">
        <f>SUM(V5:V7)</f>
        <v>0</v>
      </c>
      <c r="W133" s="630" t="e">
        <f t="shared" ref="W133:W139" si="32">U133/V133</f>
        <v>#DIV/0!</v>
      </c>
      <c r="X133" s="710"/>
      <c r="Y133" s="629">
        <f>SUM(Y5:Y7)</f>
        <v>0</v>
      </c>
      <c r="Z133" s="172">
        <f>SUM(Z5:Z7)</f>
        <v>0</v>
      </c>
      <c r="AA133" s="630">
        <f t="shared" ref="AA133:AA139" si="33">IFERROR(Y133/Z133,0)</f>
        <v>0</v>
      </c>
      <c r="AB133" s="432">
        <f>SUM(AB5:AB7)</f>
        <v>229</v>
      </c>
    </row>
    <row r="134" spans="1:30" ht="15" hidden="1" customHeight="1" x14ac:dyDescent="0.25">
      <c r="A134" s="967" t="s">
        <v>90</v>
      </c>
      <c r="B134" s="967"/>
      <c r="C134" s="639">
        <v>6</v>
      </c>
      <c r="D134" s="629">
        <f>SUM(D8:D13)</f>
        <v>211.10000000000002</v>
      </c>
      <c r="E134" s="66">
        <f>SUM(E8:E13)</f>
        <v>0</v>
      </c>
      <c r="F134" s="630" t="e">
        <f>D134/E134</f>
        <v>#DIV/0!</v>
      </c>
      <c r="G134" s="710"/>
      <c r="H134" s="629">
        <f>SUM(H8:H13)</f>
        <v>197.88</v>
      </c>
      <c r="I134" s="66">
        <f>SUM(I8:I13)</f>
        <v>0</v>
      </c>
      <c r="J134" s="630" t="e">
        <f>H134/I134</f>
        <v>#DIV/0!</v>
      </c>
      <c r="K134" s="710"/>
      <c r="L134" s="629">
        <f>SUM(L8:L13)</f>
        <v>0</v>
      </c>
      <c r="M134" s="66">
        <f>SUM(M8:M13)</f>
        <v>0</v>
      </c>
      <c r="N134" s="630">
        <f>IFERROR(L134/M134,0)</f>
        <v>0</v>
      </c>
      <c r="O134" s="432">
        <f>SUM(O8:O13)</f>
        <v>267</v>
      </c>
      <c r="Q134" s="629">
        <f>SUM(Q8:Q13)</f>
        <v>211.10000000000002</v>
      </c>
      <c r="R134" s="66">
        <f>SUM(R8:R13)</f>
        <v>0</v>
      </c>
      <c r="S134" s="630" t="e">
        <f t="shared" si="31"/>
        <v>#DIV/0!</v>
      </c>
      <c r="T134" s="66">
        <f>SUM(T8:T13)</f>
        <v>0</v>
      </c>
      <c r="U134" s="629">
        <f>SUM(U8:U13)</f>
        <v>197.88</v>
      </c>
      <c r="V134" s="66">
        <f>SUM(V8:V13)</f>
        <v>0</v>
      </c>
      <c r="W134" s="630" t="e">
        <f t="shared" si="32"/>
        <v>#DIV/0!</v>
      </c>
      <c r="X134" s="710"/>
      <c r="Y134" s="629">
        <f>SUM(Y8:Y13)</f>
        <v>0</v>
      </c>
      <c r="Z134" s="172">
        <f>SUM(Z8:Z13)</f>
        <v>0</v>
      </c>
      <c r="AA134" s="630">
        <f t="shared" si="33"/>
        <v>0</v>
      </c>
      <c r="AB134" s="432">
        <f>SUM(AB8:AB13)</f>
        <v>267</v>
      </c>
    </row>
    <row r="135" spans="1:30" ht="15" hidden="1" customHeight="1" x14ac:dyDescent="0.25">
      <c r="A135" s="967" t="s">
        <v>64</v>
      </c>
      <c r="B135" s="967"/>
      <c r="C135" s="639">
        <v>7</v>
      </c>
      <c r="D135" s="629">
        <f>SUM(D14:D20)+D35+D36</f>
        <v>294.10999999999996</v>
      </c>
      <c r="E135" s="66">
        <f>SUM(E14:E20)+E35+E36</f>
        <v>0</v>
      </c>
      <c r="F135" s="630" t="e">
        <f>D135/E135</f>
        <v>#DIV/0!</v>
      </c>
      <c r="G135" s="710"/>
      <c r="H135" s="629">
        <f>SUM(H14:H20)+H35+H36</f>
        <v>177.46</v>
      </c>
      <c r="I135" s="66">
        <f>SUM(I14:I20)+I35+I36</f>
        <v>0</v>
      </c>
      <c r="J135" s="630" t="e">
        <f>H135/I135</f>
        <v>#DIV/0!</v>
      </c>
      <c r="K135" s="710"/>
      <c r="L135" s="629">
        <f>SUM(L14:L20)+L35+L36</f>
        <v>64.289999999999992</v>
      </c>
      <c r="M135" s="66">
        <f>SUM(M14:M20)+M35+M36</f>
        <v>0</v>
      </c>
      <c r="N135" s="630">
        <f>IFERROR(L135/M135,0)</f>
        <v>0</v>
      </c>
      <c r="O135" s="432">
        <f>SUM(O14:O20)+O35+O36</f>
        <v>535</v>
      </c>
      <c r="Q135" s="629">
        <f>SUM(Q14:Q20)</f>
        <v>288.53999999999996</v>
      </c>
      <c r="R135" s="66">
        <f>SUM(R14:R20)</f>
        <v>0</v>
      </c>
      <c r="S135" s="630" t="e">
        <f t="shared" si="31"/>
        <v>#DIV/0!</v>
      </c>
      <c r="T135" s="710">
        <f>SUM(T14:T20)</f>
        <v>0</v>
      </c>
      <c r="U135" s="629">
        <f>SUM(U14:U20)</f>
        <v>177.46</v>
      </c>
      <c r="V135" s="66">
        <f>SUM(V14:V20)</f>
        <v>0</v>
      </c>
      <c r="W135" s="630" t="e">
        <f t="shared" si="32"/>
        <v>#DIV/0!</v>
      </c>
      <c r="X135" s="710"/>
      <c r="Y135" s="629">
        <f>SUM(Y14:Y20)</f>
        <v>64.289999999999992</v>
      </c>
      <c r="Z135" s="172">
        <f>SUM(Z14:Z20)</f>
        <v>0</v>
      </c>
      <c r="AA135" s="630">
        <f t="shared" si="33"/>
        <v>0</v>
      </c>
      <c r="AB135" s="432">
        <f>SUM(AB14:AB20)</f>
        <v>371</v>
      </c>
    </row>
    <row r="136" spans="1:30" hidden="1" x14ac:dyDescent="0.25">
      <c r="A136" s="967" t="s">
        <v>112</v>
      </c>
      <c r="B136" s="967"/>
      <c r="C136" s="639">
        <v>6</v>
      </c>
      <c r="D136" s="629">
        <f>SUM(D21:D26)</f>
        <v>199.26</v>
      </c>
      <c r="E136" s="66">
        <f>SUM(E21:E26)</f>
        <v>0</v>
      </c>
      <c r="F136" s="630" t="e">
        <f>D136/E136</f>
        <v>#DIV/0!</v>
      </c>
      <c r="G136" s="710"/>
      <c r="H136" s="629">
        <f>SUM(H21:H26)</f>
        <v>202.64</v>
      </c>
      <c r="I136" s="66">
        <f>SUM(I21:I26)</f>
        <v>0</v>
      </c>
      <c r="J136" s="630" t="e">
        <f>H136/I136</f>
        <v>#DIV/0!</v>
      </c>
      <c r="K136" s="710"/>
      <c r="L136" s="629">
        <f>SUM(L21:L26)</f>
        <v>31.16</v>
      </c>
      <c r="M136" s="66">
        <f>SUM(M21:M26)</f>
        <v>0</v>
      </c>
      <c r="N136" s="630">
        <f>IFERROR(L136/M136,0)</f>
        <v>0</v>
      </c>
      <c r="O136" s="432">
        <f>SUM(O21:O26)</f>
        <v>249</v>
      </c>
      <c r="Q136" s="629">
        <f>SUM(Q21:Q26)</f>
        <v>199.26</v>
      </c>
      <c r="R136" s="66">
        <f>SUM(R21:R26)</f>
        <v>0</v>
      </c>
      <c r="S136" s="630" t="e">
        <f t="shared" si="31"/>
        <v>#DIV/0!</v>
      </c>
      <c r="T136" s="710">
        <f>SUM(T21:T26)</f>
        <v>0</v>
      </c>
      <c r="U136" s="629">
        <f>SUM(U21:U26)</f>
        <v>202.64</v>
      </c>
      <c r="V136" s="66">
        <f>SUM(V21:V26)</f>
        <v>0</v>
      </c>
      <c r="W136" s="630" t="e">
        <f t="shared" si="32"/>
        <v>#DIV/0!</v>
      </c>
      <c r="X136" s="710"/>
      <c r="Y136" s="629">
        <f>SUM(Y21:Y26)</f>
        <v>31.16</v>
      </c>
      <c r="Z136" s="172">
        <f>SUM(Z21:Z26)</f>
        <v>0</v>
      </c>
      <c r="AA136" s="630">
        <f t="shared" si="33"/>
        <v>0</v>
      </c>
      <c r="AB136" s="432">
        <f>SUM(AB21:AB26)</f>
        <v>249</v>
      </c>
    </row>
    <row r="137" spans="1:30" hidden="1" x14ac:dyDescent="0.25">
      <c r="A137" s="967" t="s">
        <v>91</v>
      </c>
      <c r="B137" s="967"/>
      <c r="C137" s="639">
        <v>8</v>
      </c>
      <c r="D137" s="629">
        <f>SUM(D27:D34)+D37</f>
        <v>124.4</v>
      </c>
      <c r="E137" s="66">
        <f>SUM(E27:E34)+E37</f>
        <v>0</v>
      </c>
      <c r="F137" s="630" t="e">
        <f>D137/E137</f>
        <v>#DIV/0!</v>
      </c>
      <c r="G137" s="710"/>
      <c r="H137" s="629">
        <f>SUM(H27:H34)+H37</f>
        <v>126.51000000000002</v>
      </c>
      <c r="I137" s="66">
        <f>SUM(I27:I34)+I37</f>
        <v>0</v>
      </c>
      <c r="J137" s="630" t="e">
        <f>H137/I137</f>
        <v>#DIV/0!</v>
      </c>
      <c r="K137" s="710"/>
      <c r="L137" s="629">
        <f>SUM(L27:L34)+L37</f>
        <v>32.96</v>
      </c>
      <c r="M137" s="66">
        <f>SUM(M27:M34)+M37</f>
        <v>0</v>
      </c>
      <c r="N137" s="630">
        <f>IFERROR(L137/M137,0)</f>
        <v>0</v>
      </c>
      <c r="O137" s="432">
        <f>SUM(O27:O34)+O37</f>
        <v>211</v>
      </c>
      <c r="Q137" s="629">
        <f>SUM(Q27:Q34)</f>
        <v>123.10000000000001</v>
      </c>
      <c r="R137" s="66">
        <f>SUM(R27:R34)</f>
        <v>0</v>
      </c>
      <c r="S137" s="630" t="e">
        <f t="shared" si="31"/>
        <v>#DIV/0!</v>
      </c>
      <c r="T137" s="710">
        <f>SUM(T27:T34)</f>
        <v>0</v>
      </c>
      <c r="U137" s="629">
        <f>SUM(U27:U34)</f>
        <v>125.11000000000001</v>
      </c>
      <c r="V137" s="66">
        <f>SUM(V27:V34)</f>
        <v>0</v>
      </c>
      <c r="W137" s="630" t="e">
        <f t="shared" si="32"/>
        <v>#DIV/0!</v>
      </c>
      <c r="X137" s="710"/>
      <c r="Y137" s="629">
        <f>SUM(Y27:Y34)</f>
        <v>32.96</v>
      </c>
      <c r="Z137" s="172">
        <f>SUM(Z27:Z34)</f>
        <v>0</v>
      </c>
      <c r="AA137" s="630">
        <f t="shared" si="33"/>
        <v>0</v>
      </c>
      <c r="AB137" s="432">
        <f>SUM(AB27:AB34)</f>
        <v>192</v>
      </c>
    </row>
    <row r="138" spans="1:30" hidden="1" x14ac:dyDescent="0.25">
      <c r="A138" s="967" t="s">
        <v>113</v>
      </c>
      <c r="B138" s="967"/>
      <c r="C138" s="639">
        <v>3</v>
      </c>
      <c r="D138" s="631"/>
      <c r="E138" s="637"/>
      <c r="F138" s="633"/>
      <c r="G138" s="732"/>
      <c r="H138" s="631"/>
      <c r="I138" s="637"/>
      <c r="J138" s="633"/>
      <c r="K138" s="732"/>
      <c r="L138" s="631"/>
      <c r="M138" s="637"/>
      <c r="N138" s="633"/>
      <c r="O138" s="638"/>
      <c r="Q138" s="629">
        <f>SUM(Q35:Q37)</f>
        <v>6.87</v>
      </c>
      <c r="R138" s="66">
        <f>SUM(R35:R37)</f>
        <v>0</v>
      </c>
      <c r="S138" s="630" t="e">
        <f t="shared" si="31"/>
        <v>#DIV/0!</v>
      </c>
      <c r="T138" s="710">
        <f>SUM(T35:T37)</f>
        <v>0</v>
      </c>
      <c r="U138" s="629">
        <f>SUM(U35:U37)</f>
        <v>1.4</v>
      </c>
      <c r="V138" s="66">
        <f>SUM(V35:V37)</f>
        <v>0</v>
      </c>
      <c r="W138" s="630" t="e">
        <f t="shared" si="32"/>
        <v>#DIV/0!</v>
      </c>
      <c r="X138" s="710"/>
      <c r="Y138" s="629">
        <f>SUM(Y35:Y37)</f>
        <v>0</v>
      </c>
      <c r="Z138" s="172">
        <f>SUM(Z35:Z37)</f>
        <v>0</v>
      </c>
      <c r="AA138" s="630">
        <f t="shared" si="33"/>
        <v>0</v>
      </c>
      <c r="AB138" s="432">
        <f>SUM(AB35:AB37)</f>
        <v>183</v>
      </c>
    </row>
    <row r="139" spans="1:30" s="7" customFormat="1" ht="15.75" hidden="1" thickBot="1" x14ac:dyDescent="0.3">
      <c r="B139" s="435"/>
      <c r="D139" s="640">
        <f>SUM(D132:D138)</f>
        <v>1065.6100000000001</v>
      </c>
      <c r="E139" s="641">
        <f>SUM(E132:E138)</f>
        <v>0</v>
      </c>
      <c r="F139" s="642" t="e">
        <f>D139/E139</f>
        <v>#DIV/0!</v>
      </c>
      <c r="G139" s="641"/>
      <c r="H139" s="640">
        <f>SUM(H132:H138)</f>
        <v>795.41</v>
      </c>
      <c r="I139" s="641">
        <f>SUM(I132:I138)</f>
        <v>0</v>
      </c>
      <c r="J139" s="642" t="e">
        <f>H139/I139</f>
        <v>#DIV/0!</v>
      </c>
      <c r="K139" s="641"/>
      <c r="L139" s="640">
        <f>SUM(L132:L138)</f>
        <v>128.41</v>
      </c>
      <c r="M139" s="641">
        <f>SUM(M132:M138)</f>
        <v>0</v>
      </c>
      <c r="N139" s="642" t="e">
        <f>L139/M139</f>
        <v>#DIV/0!</v>
      </c>
      <c r="O139" s="431">
        <f>SUM(O132:O138)</f>
        <v>1491</v>
      </c>
      <c r="Q139" s="640">
        <f>SUM(Q132:Q138)</f>
        <v>1065.6099999999999</v>
      </c>
      <c r="R139" s="641">
        <f>SUM(R132:R138)</f>
        <v>0</v>
      </c>
      <c r="S139" s="642" t="e">
        <f t="shared" si="31"/>
        <v>#DIV/0!</v>
      </c>
      <c r="T139" s="641">
        <f>SUM(T132:T138)</f>
        <v>0</v>
      </c>
      <c r="U139" s="640">
        <f>SUM(U132:U138)</f>
        <v>795.41</v>
      </c>
      <c r="V139" s="641">
        <f>SUM(V132:V138)</f>
        <v>0</v>
      </c>
      <c r="W139" s="642" t="e">
        <f t="shared" si="32"/>
        <v>#DIV/0!</v>
      </c>
      <c r="X139" s="641"/>
      <c r="Y139" s="640">
        <f>SUM(Y132:Y138)</f>
        <v>128.41</v>
      </c>
      <c r="Z139" s="752">
        <f>SUM(Z132:Z138)</f>
        <v>0</v>
      </c>
      <c r="AA139" s="642">
        <f t="shared" si="33"/>
        <v>0</v>
      </c>
      <c r="AB139" s="431">
        <f>SUM(AB132:AB138)</f>
        <v>1491</v>
      </c>
    </row>
    <row r="140" spans="1:30" hidden="1" x14ac:dyDescent="0.25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49"/>
      <c r="AA140" s="7"/>
      <c r="AB140" s="7"/>
      <c r="AC140" s="7"/>
      <c r="AD140" s="7"/>
    </row>
    <row r="141" spans="1:30" s="7" customFormat="1" hidden="1" x14ac:dyDescent="0.25">
      <c r="B141" s="435"/>
      <c r="Z141" s="749"/>
    </row>
    <row r="142" spans="1:30" x14ac:dyDescent="0.25">
      <c r="B142" s="167"/>
      <c r="L142" s="540"/>
      <c r="M142" s="434"/>
      <c r="N142" s="540"/>
      <c r="O142"/>
      <c r="P142" s="434"/>
      <c r="Q142" s="541"/>
      <c r="R142" s="434"/>
      <c r="U142" s="541"/>
      <c r="V142" s="434"/>
      <c r="W142"/>
      <c r="X142"/>
      <c r="AA142" s="539"/>
      <c r="AB142"/>
    </row>
    <row r="143" spans="1:30" x14ac:dyDescent="0.25">
      <c r="H143" s="533"/>
      <c r="L143" s="533"/>
      <c r="M143" s="434"/>
      <c r="N143" s="540"/>
      <c r="O143"/>
      <c r="P143" s="434"/>
      <c r="Q143" s="541"/>
      <c r="R143" s="434"/>
      <c r="U143" s="541"/>
      <c r="V143" s="434"/>
      <c r="W143"/>
      <c r="X143"/>
      <c r="AA143" s="539"/>
      <c r="AB143"/>
    </row>
    <row r="144" spans="1:30" x14ac:dyDescent="0.25">
      <c r="H144" s="533"/>
      <c r="L144" s="533"/>
      <c r="M144" s="434"/>
      <c r="N144" s="540"/>
      <c r="O144"/>
      <c r="P144" s="434"/>
      <c r="Q144" s="541"/>
      <c r="R144" s="434"/>
      <c r="U144" s="541"/>
      <c r="V144" s="434"/>
      <c r="W144"/>
      <c r="X144"/>
      <c r="AA144" s="539"/>
      <c r="AB144"/>
    </row>
    <row r="145" spans="1:28" x14ac:dyDescent="0.25">
      <c r="H145" s="533"/>
      <c r="L145" s="533"/>
      <c r="M145" s="434"/>
      <c r="N145" s="540"/>
      <c r="O145"/>
      <c r="P145" s="434"/>
      <c r="Q145" s="541"/>
      <c r="R145" s="434"/>
      <c r="U145" s="541"/>
      <c r="V145" s="434"/>
      <c r="W145"/>
      <c r="X145"/>
      <c r="AA145" s="539"/>
      <c r="AB145"/>
    </row>
    <row r="146" spans="1:28" x14ac:dyDescent="0.25">
      <c r="A146" s="434"/>
      <c r="B146" s="434"/>
      <c r="C146" s="434"/>
      <c r="E146" s="434"/>
      <c r="M146" s="533"/>
    </row>
    <row r="147" spans="1:28" x14ac:dyDescent="0.25">
      <c r="A147" s="434"/>
      <c r="B147" s="434"/>
      <c r="C147" s="434"/>
      <c r="E147" s="434"/>
      <c r="M147" s="533"/>
    </row>
    <row r="148" spans="1:28" x14ac:dyDescent="0.25">
      <c r="A148" s="434"/>
      <c r="B148" s="434"/>
      <c r="C148" s="434"/>
      <c r="E148" s="434"/>
      <c r="M148" s="533"/>
    </row>
    <row r="149" spans="1:28" x14ac:dyDescent="0.25">
      <c r="A149" s="434"/>
      <c r="B149" s="434"/>
      <c r="C149" s="434"/>
      <c r="E149" s="434"/>
      <c r="M149" s="533"/>
    </row>
    <row r="150" spans="1:28" x14ac:dyDescent="0.25">
      <c r="A150" s="434"/>
      <c r="B150" s="434"/>
      <c r="C150" s="434"/>
      <c r="E150" s="434"/>
    </row>
    <row r="151" spans="1:28" x14ac:dyDescent="0.25">
      <c r="A151" s="434"/>
      <c r="B151" s="434"/>
      <c r="C151" s="434"/>
      <c r="E151" s="434"/>
    </row>
    <row r="152" spans="1:28" x14ac:dyDescent="0.25">
      <c r="A152" s="434"/>
      <c r="B152" s="434"/>
      <c r="C152" s="434"/>
      <c r="E152" s="434"/>
    </row>
    <row r="153" spans="1:28" x14ac:dyDescent="0.25">
      <c r="A153" s="434"/>
      <c r="B153" s="434"/>
      <c r="C153" s="434"/>
      <c r="E153" s="434"/>
    </row>
    <row r="154" spans="1:28" x14ac:dyDescent="0.25">
      <c r="A154" s="434"/>
      <c r="B154" s="434"/>
      <c r="C154" s="434"/>
      <c r="E154" s="434"/>
    </row>
    <row r="155" spans="1:28" x14ac:dyDescent="0.25">
      <c r="A155" s="434"/>
      <c r="B155" s="434"/>
      <c r="C155" s="434"/>
      <c r="E155" s="434"/>
    </row>
    <row r="156" spans="1:28" x14ac:dyDescent="0.25">
      <c r="A156" s="434"/>
      <c r="B156" s="434"/>
      <c r="C156" s="434"/>
      <c r="E156" s="434"/>
    </row>
    <row r="157" spans="1:28" x14ac:dyDescent="0.25">
      <c r="A157" s="434"/>
      <c r="B157" s="434"/>
      <c r="C157" s="434"/>
      <c r="E157" s="434"/>
    </row>
  </sheetData>
  <mergeCells count="29">
    <mergeCell ref="A138:B138"/>
    <mergeCell ref="C117:H117"/>
    <mergeCell ref="I117:N117"/>
    <mergeCell ref="Q117:U117"/>
    <mergeCell ref="A132:B132"/>
    <mergeCell ref="A131:B131"/>
    <mergeCell ref="A133:B133"/>
    <mergeCell ref="A134:B134"/>
    <mergeCell ref="A135:B135"/>
    <mergeCell ref="A136:B136"/>
    <mergeCell ref="A137:B137"/>
    <mergeCell ref="A120:B120"/>
    <mergeCell ref="A119:B119"/>
    <mergeCell ref="A118:B118"/>
    <mergeCell ref="A125:B125"/>
    <mergeCell ref="A124:B124"/>
    <mergeCell ref="D3:O3"/>
    <mergeCell ref="Q3:AB3"/>
    <mergeCell ref="A5:A7"/>
    <mergeCell ref="A8:A13"/>
    <mergeCell ref="A14:A20"/>
    <mergeCell ref="A21:A26"/>
    <mergeCell ref="A27:A34"/>
    <mergeCell ref="A35:A37"/>
    <mergeCell ref="D130:O130"/>
    <mergeCell ref="Q130:AB130"/>
    <mergeCell ref="A123:B123"/>
    <mergeCell ref="A122:B122"/>
    <mergeCell ref="A121:B121"/>
  </mergeCells>
  <conditionalFormatting sqref="G5:G39">
    <cfRule type="cellIs" dxfId="6" priority="5" operator="greaterThan">
      <formula>14</formula>
    </cfRule>
  </conditionalFormatting>
  <conditionalFormatting sqref="K1:K1048576">
    <cfRule type="cellIs" priority="3" operator="equal">
      <formula>0</formula>
    </cfRule>
  </conditionalFormatting>
  <conditionalFormatting sqref="K5:K39">
    <cfRule type="cellIs" dxfId="5" priority="4" operator="greaterThan">
      <formula>14</formula>
    </cfRule>
  </conditionalFormatting>
  <conditionalFormatting sqref="T5:T39">
    <cfRule type="cellIs" dxfId="4" priority="6" operator="greaterThan">
      <formula>14</formula>
    </cfRule>
  </conditionalFormatting>
  <conditionalFormatting sqref="U5:W39">
    <cfRule type="cellIs" dxfId="3" priority="9" operator="equal">
      <formula>0</formula>
    </cfRule>
  </conditionalFormatting>
  <conditionalFormatting sqref="X4:X39">
    <cfRule type="cellIs" priority="1" operator="equal">
      <formula>0</formula>
    </cfRule>
  </conditionalFormatting>
  <conditionalFormatting sqref="X5:X39">
    <cfRule type="cellIs" dxfId="2" priority="2" operator="greaterThan">
      <formula>14</formula>
    </cfRule>
  </conditionalFormatting>
  <pageMargins left="0.25" right="0.25" top="0.75" bottom="0.75" header="0.3" footer="0.3"/>
  <pageSetup paperSize="9" scale="53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EF9F-63F4-4C96-A908-8C328CDA980A}">
  <sheetPr>
    <tabColor rgb="FF00B050"/>
    <pageSetUpPr fitToPage="1"/>
  </sheetPr>
  <dimension ref="A1:BL111"/>
  <sheetViews>
    <sheetView view="pageBreakPreview" topLeftCell="C1" zoomScale="55" zoomScaleNormal="60" zoomScaleSheetLayoutView="55" workbookViewId="0">
      <pane ySplit="3" topLeftCell="A5" activePane="bottomLeft" state="frozen"/>
      <selection pane="bottomLeft" activeCell="C5" sqref="C5:BG76"/>
    </sheetView>
  </sheetViews>
  <sheetFormatPr defaultColWidth="8.85546875" defaultRowHeight="21" x14ac:dyDescent="0.35"/>
  <cols>
    <col min="1" max="1" width="21" style="75" customWidth="1"/>
    <col min="2" max="2" width="8.85546875" style="75" customWidth="1"/>
    <col min="3" max="3" width="8.85546875" style="76" customWidth="1"/>
    <col min="4" max="4" width="12.42578125" style="76" customWidth="1"/>
    <col min="5" max="5" width="7.85546875" style="76" customWidth="1"/>
    <col min="6" max="6" width="7.28515625" style="76" customWidth="1"/>
    <col min="7" max="7" width="7.5703125" style="76" customWidth="1"/>
    <col min="8" max="16" width="7.7109375" style="76" customWidth="1"/>
    <col min="17" max="17" width="6.85546875" style="76" customWidth="1"/>
    <col min="18" max="35" width="7.7109375" style="76" customWidth="1"/>
    <col min="36" max="36" width="22" style="76" customWidth="1"/>
    <col min="37" max="38" width="14.85546875" style="75" customWidth="1"/>
    <col min="39" max="41" width="14.85546875" style="690" customWidth="1"/>
    <col min="42" max="42" width="14.85546875" style="75" customWidth="1"/>
    <col min="43" max="44" width="15.42578125" style="75" customWidth="1"/>
    <col min="45" max="45" width="15.42578125" style="690" customWidth="1"/>
    <col min="46" max="47" width="14.85546875" style="690" customWidth="1"/>
    <col min="48" max="48" width="14.85546875" style="75" customWidth="1"/>
    <col min="49" max="53" width="13.7109375" style="75" customWidth="1"/>
    <col min="54" max="54" width="14.85546875" style="75" customWidth="1"/>
    <col min="55" max="56" width="11.140625" style="75" customWidth="1"/>
    <col min="57" max="57" width="19.7109375" style="75" customWidth="1"/>
    <col min="58" max="58" width="22.5703125" style="75" customWidth="1"/>
    <col min="59" max="59" width="8.85546875" style="76" customWidth="1"/>
    <col min="60" max="60" width="11.28515625" style="75" customWidth="1"/>
    <col min="61" max="61" width="8.85546875" style="75"/>
    <col min="62" max="62" width="12" style="75" bestFit="1" customWidth="1"/>
    <col min="63" max="63" width="10.5703125" style="75" bestFit="1" customWidth="1"/>
    <col min="64" max="64" width="14" style="75" bestFit="1" customWidth="1"/>
    <col min="65" max="16384" width="8.85546875" style="75"/>
  </cols>
  <sheetData>
    <row r="1" spans="1:64" x14ac:dyDescent="0.3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689"/>
      <c r="AN1" s="689"/>
      <c r="AO1" s="689"/>
      <c r="AP1" s="689"/>
      <c r="AQ1" s="133"/>
      <c r="AR1" s="133"/>
      <c r="AS1" s="689"/>
      <c r="AT1" s="689"/>
      <c r="AU1" s="689"/>
      <c r="AV1" s="689"/>
      <c r="AW1" s="133"/>
      <c r="AX1" s="133"/>
      <c r="AY1" s="133"/>
      <c r="AZ1" s="133"/>
      <c r="BA1" s="133"/>
      <c r="BB1" s="689"/>
      <c r="BC1" s="133"/>
      <c r="BD1" s="74"/>
      <c r="BE1" s="74"/>
      <c r="BF1" s="74"/>
      <c r="BG1" s="75"/>
    </row>
    <row r="2" spans="1:64" ht="26.25" x14ac:dyDescent="0.4">
      <c r="Q2" s="76" t="s">
        <v>71</v>
      </c>
      <c r="AQ2" s="134" t="s">
        <v>76</v>
      </c>
      <c r="AR2" s="134"/>
      <c r="AS2" s="699"/>
      <c r="AT2" s="699"/>
      <c r="AU2" s="699"/>
      <c r="AV2" s="699"/>
      <c r="AW2" s="134"/>
      <c r="AX2" s="77"/>
      <c r="AY2" s="134"/>
      <c r="AZ2" s="77"/>
      <c r="BA2" s="134"/>
      <c r="BB2" s="699"/>
      <c r="BC2" s="78" t="s">
        <v>77</v>
      </c>
      <c r="BD2" s="78"/>
    </row>
    <row r="3" spans="1:64" ht="83.25" customHeight="1" x14ac:dyDescent="0.35">
      <c r="A3" s="126" t="s">
        <v>78</v>
      </c>
      <c r="B3" s="126" t="s">
        <v>79</v>
      </c>
      <c r="C3" s="79" t="s">
        <v>80</v>
      </c>
      <c r="D3" s="79" t="s">
        <v>20</v>
      </c>
      <c r="E3" s="80">
        <v>1</v>
      </c>
      <c r="F3" s="81">
        <v>2</v>
      </c>
      <c r="G3" s="81">
        <v>3</v>
      </c>
      <c r="H3" s="81">
        <v>4</v>
      </c>
      <c r="I3" s="81">
        <v>5</v>
      </c>
      <c r="J3" s="81">
        <v>6</v>
      </c>
      <c r="K3" s="81">
        <v>7</v>
      </c>
      <c r="L3" s="81">
        <v>8</v>
      </c>
      <c r="M3" s="81">
        <v>9</v>
      </c>
      <c r="N3" s="81">
        <v>10</v>
      </c>
      <c r="O3" s="81">
        <v>11</v>
      </c>
      <c r="P3" s="81">
        <v>12</v>
      </c>
      <c r="Q3" s="81">
        <v>13</v>
      </c>
      <c r="R3" s="81">
        <v>14</v>
      </c>
      <c r="S3" s="81">
        <v>15</v>
      </c>
      <c r="T3" s="81">
        <v>16</v>
      </c>
      <c r="U3" s="81">
        <v>17</v>
      </c>
      <c r="V3" s="81">
        <v>18</v>
      </c>
      <c r="W3" s="81">
        <v>19</v>
      </c>
      <c r="X3" s="81">
        <v>20</v>
      </c>
      <c r="Y3" s="81">
        <v>21</v>
      </c>
      <c r="Z3" s="81">
        <v>22</v>
      </c>
      <c r="AA3" s="81">
        <v>23</v>
      </c>
      <c r="AB3" s="81">
        <v>24</v>
      </c>
      <c r="AC3" s="81">
        <v>25</v>
      </c>
      <c r="AD3" s="81">
        <v>26</v>
      </c>
      <c r="AE3" s="81">
        <v>27</v>
      </c>
      <c r="AF3" s="81">
        <v>28</v>
      </c>
      <c r="AG3" s="81">
        <v>29</v>
      </c>
      <c r="AH3" s="81">
        <v>30</v>
      </c>
      <c r="AI3" s="81">
        <v>31</v>
      </c>
      <c r="AJ3" s="118" t="s">
        <v>81</v>
      </c>
      <c r="AK3" s="135" t="s">
        <v>82</v>
      </c>
      <c r="AL3" s="136"/>
      <c r="AM3" s="691"/>
      <c r="AN3" s="691"/>
      <c r="AO3" s="692"/>
      <c r="AP3" s="691"/>
      <c r="AQ3" s="137" t="s">
        <v>83</v>
      </c>
      <c r="AR3" s="138"/>
      <c r="AS3" s="700"/>
      <c r="AT3" s="701"/>
      <c r="AU3" s="701"/>
      <c r="AV3" s="122"/>
      <c r="AW3" s="139" t="s">
        <v>84</v>
      </c>
      <c r="AX3" s="140"/>
      <c r="AY3" s="139"/>
      <c r="AZ3" s="140"/>
      <c r="BA3" s="139"/>
      <c r="BB3" s="122"/>
      <c r="BC3" s="141" t="s">
        <v>85</v>
      </c>
      <c r="BD3" s="142"/>
      <c r="BE3" s="165" t="s">
        <v>86</v>
      </c>
      <c r="BF3" s="166"/>
      <c r="BG3" s="82" t="s">
        <v>80</v>
      </c>
    </row>
    <row r="4" spans="1:64" x14ac:dyDescent="0.35">
      <c r="A4" s="127"/>
      <c r="B4" s="127"/>
      <c r="C4" s="83" t="s">
        <v>87</v>
      </c>
      <c r="D4" s="83"/>
      <c r="E4" s="111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84"/>
      <c r="AI4" s="84"/>
      <c r="AJ4" s="119"/>
      <c r="AK4" s="85" t="s">
        <v>88</v>
      </c>
      <c r="AL4" s="85" t="s">
        <v>89</v>
      </c>
      <c r="AM4" s="693" t="s">
        <v>187</v>
      </c>
      <c r="AN4" s="693" t="s">
        <v>188</v>
      </c>
      <c r="AO4" s="693" t="s">
        <v>189</v>
      </c>
      <c r="AP4" s="85" t="s">
        <v>190</v>
      </c>
      <c r="AQ4" s="86" t="s">
        <v>88</v>
      </c>
      <c r="AR4" s="86" t="s">
        <v>89</v>
      </c>
      <c r="AS4" s="702" t="s">
        <v>187</v>
      </c>
      <c r="AT4" s="703" t="s">
        <v>188</v>
      </c>
      <c r="AU4" s="703" t="s">
        <v>189</v>
      </c>
      <c r="AV4" s="123" t="s">
        <v>190</v>
      </c>
      <c r="AW4" s="87" t="s">
        <v>88</v>
      </c>
      <c r="AX4" s="87" t="s">
        <v>89</v>
      </c>
      <c r="AY4" s="87" t="s">
        <v>187</v>
      </c>
      <c r="AZ4" s="87" t="s">
        <v>188</v>
      </c>
      <c r="BA4" s="87" t="s">
        <v>189</v>
      </c>
      <c r="BB4" s="123" t="s">
        <v>190</v>
      </c>
      <c r="BC4" s="88" t="s">
        <v>88</v>
      </c>
      <c r="BD4" s="88" t="s">
        <v>89</v>
      </c>
      <c r="BE4" s="89" t="s">
        <v>88</v>
      </c>
      <c r="BF4" s="90" t="s">
        <v>89</v>
      </c>
      <c r="BG4" s="83" t="s">
        <v>87</v>
      </c>
    </row>
    <row r="5" spans="1:64" ht="24" customHeight="1" x14ac:dyDescent="0.35">
      <c r="A5" s="1007" t="s">
        <v>111</v>
      </c>
      <c r="B5" s="1001">
        <v>2010</v>
      </c>
      <c r="C5" s="1001">
        <v>1</v>
      </c>
      <c r="D5" s="79">
        <v>53.2</v>
      </c>
      <c r="E5" s="528">
        <v>15</v>
      </c>
      <c r="F5" s="528">
        <v>16</v>
      </c>
      <c r="G5" s="85">
        <v>1</v>
      </c>
      <c r="H5" s="85">
        <v>2</v>
      </c>
      <c r="I5" s="85">
        <v>3</v>
      </c>
      <c r="J5" s="85">
        <v>4</v>
      </c>
      <c r="K5" s="528">
        <v>5</v>
      </c>
      <c r="L5" s="528">
        <v>6</v>
      </c>
      <c r="M5" s="85">
        <v>7</v>
      </c>
      <c r="N5" s="528">
        <v>8</v>
      </c>
      <c r="O5" s="528">
        <v>9</v>
      </c>
      <c r="P5" s="528">
        <v>10</v>
      </c>
      <c r="Q5" s="528">
        <v>11</v>
      </c>
      <c r="R5" s="528">
        <v>12</v>
      </c>
      <c r="S5" s="528">
        <v>13</v>
      </c>
      <c r="T5" s="528">
        <v>14</v>
      </c>
      <c r="U5" s="528">
        <v>15</v>
      </c>
      <c r="V5" s="528">
        <v>16</v>
      </c>
      <c r="W5" s="528">
        <v>17</v>
      </c>
      <c r="X5" s="528">
        <v>18</v>
      </c>
      <c r="Y5" s="528">
        <v>19</v>
      </c>
      <c r="Z5" s="86">
        <v>1</v>
      </c>
      <c r="AA5" s="86">
        <v>2</v>
      </c>
      <c r="AB5" s="86">
        <v>3</v>
      </c>
      <c r="AC5" s="528">
        <v>4</v>
      </c>
      <c r="AD5" s="528">
        <v>5</v>
      </c>
      <c r="AE5" s="86">
        <v>6</v>
      </c>
      <c r="AF5" s="86">
        <v>7</v>
      </c>
      <c r="AG5" s="86">
        <v>8</v>
      </c>
      <c r="AH5" s="86">
        <v>9</v>
      </c>
      <c r="AI5" s="528">
        <v>10</v>
      </c>
      <c r="AJ5" s="128">
        <f>SUM(D6:AI6)</f>
        <v>98</v>
      </c>
      <c r="AK5" s="1011">
        <f>7.44+13.61+7.43+7.76+9.23</f>
        <v>45.47</v>
      </c>
      <c r="AL5" s="1011"/>
      <c r="AM5" s="694"/>
      <c r="AN5" s="694">
        <v>10</v>
      </c>
      <c r="AO5" s="694" t="str">
        <f>IF(COUNT(AM5,AN5)&lt;2, "0", AN5 - AM5 + 1)</f>
        <v>0</v>
      </c>
      <c r="AP5" s="538">
        <f>IFERROR(AK5/AO5,0)</f>
        <v>0</v>
      </c>
      <c r="AQ5" s="1013">
        <f>12.7+9.76+11.06+6.77+10.72+3.94+6.23</f>
        <v>61.180000000000007</v>
      </c>
      <c r="AR5" s="1013"/>
      <c r="AS5" s="704"/>
      <c r="AT5" s="704"/>
      <c r="AU5" s="704"/>
      <c r="AV5" s="536">
        <f>IFERROR(AQ5/AU5,0)</f>
        <v>0</v>
      </c>
      <c r="AW5" s="1021"/>
      <c r="AX5" s="463"/>
      <c r="AY5" s="463"/>
      <c r="AZ5" s="463"/>
      <c r="BA5" s="463" t="str">
        <f>IF(COUNT(AY5,AZ5)&lt;2, "0", AZ5 - AY5 )</f>
        <v>0</v>
      </c>
      <c r="BB5" s="536">
        <f>IFERROR(AW5/BA5,0)</f>
        <v>0</v>
      </c>
      <c r="BC5" s="461"/>
      <c r="BD5" s="461"/>
      <c r="BE5" s="152">
        <f>AK5+AQ5+AW5+BC5</f>
        <v>106.65</v>
      </c>
      <c r="BF5" s="152">
        <f>AL5+AR5+AX5+BD5</f>
        <v>0</v>
      </c>
      <c r="BG5" s="163">
        <v>1</v>
      </c>
      <c r="BH5" s="92"/>
    </row>
    <row r="6" spans="1:64" ht="24" customHeight="1" x14ac:dyDescent="0.35">
      <c r="A6" s="1005"/>
      <c r="B6" s="1002"/>
      <c r="C6" s="1002"/>
      <c r="D6" s="83"/>
      <c r="E6" s="529"/>
      <c r="F6" s="529"/>
      <c r="G6" s="529">
        <v>3</v>
      </c>
      <c r="H6" s="529">
        <v>8</v>
      </c>
      <c r="I6" s="529">
        <v>7</v>
      </c>
      <c r="J6" s="529">
        <v>8</v>
      </c>
      <c r="K6" s="529"/>
      <c r="L6" s="529"/>
      <c r="M6" s="529">
        <v>10</v>
      </c>
      <c r="N6" s="529"/>
      <c r="O6" s="529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>
        <v>10</v>
      </c>
      <c r="AA6" s="529">
        <v>10</v>
      </c>
      <c r="AB6" s="529">
        <v>8</v>
      </c>
      <c r="AC6" s="529"/>
      <c r="AD6" s="529"/>
      <c r="AE6" s="529">
        <v>7</v>
      </c>
      <c r="AF6" s="529">
        <v>8</v>
      </c>
      <c r="AG6" s="529">
        <v>9</v>
      </c>
      <c r="AH6" s="529">
        <v>10</v>
      </c>
      <c r="AI6" s="529"/>
      <c r="AJ6" s="129"/>
      <c r="AK6" s="1012"/>
      <c r="AL6" s="1012"/>
      <c r="AM6" s="694"/>
      <c r="AN6" s="694"/>
      <c r="AO6" s="694"/>
      <c r="AP6" s="538"/>
      <c r="AQ6" s="1014"/>
      <c r="AR6" s="1014"/>
      <c r="AS6" s="705"/>
      <c r="AT6" s="705"/>
      <c r="AU6" s="705"/>
      <c r="AV6" s="537"/>
      <c r="AW6" s="1022"/>
      <c r="AX6" s="464"/>
      <c r="AY6" s="464"/>
      <c r="AZ6" s="464"/>
      <c r="BA6" s="464"/>
      <c r="BB6" s="537"/>
      <c r="BC6" s="462"/>
      <c r="BD6" s="462"/>
      <c r="BE6" s="153"/>
      <c r="BF6" s="153"/>
      <c r="BG6" s="164"/>
      <c r="BH6" s="92"/>
      <c r="BL6" s="92"/>
    </row>
    <row r="7" spans="1:64" ht="24" customHeight="1" x14ac:dyDescent="0.35">
      <c r="A7" s="1005"/>
      <c r="B7" s="1001">
        <v>2010</v>
      </c>
      <c r="C7" s="1001">
        <v>3</v>
      </c>
      <c r="D7" s="79">
        <v>69.2</v>
      </c>
      <c r="E7" s="85">
        <v>5</v>
      </c>
      <c r="F7" s="528">
        <v>6</v>
      </c>
      <c r="G7" s="85">
        <v>7</v>
      </c>
      <c r="H7" s="528">
        <v>8</v>
      </c>
      <c r="I7" s="528">
        <v>9</v>
      </c>
      <c r="J7" s="528">
        <v>10</v>
      </c>
      <c r="K7" s="528">
        <v>11</v>
      </c>
      <c r="L7" s="528">
        <v>12</v>
      </c>
      <c r="M7" s="528">
        <v>13</v>
      </c>
      <c r="N7" s="528">
        <v>14</v>
      </c>
      <c r="O7" s="528">
        <v>15</v>
      </c>
      <c r="P7" s="528">
        <v>16</v>
      </c>
      <c r="Q7" s="528">
        <v>17</v>
      </c>
      <c r="R7" s="528">
        <v>18</v>
      </c>
      <c r="S7" s="86">
        <v>1</v>
      </c>
      <c r="T7" s="86">
        <v>2</v>
      </c>
      <c r="U7" s="86">
        <v>3</v>
      </c>
      <c r="V7" s="86">
        <v>4</v>
      </c>
      <c r="W7" s="528">
        <v>5</v>
      </c>
      <c r="X7" s="86">
        <v>6</v>
      </c>
      <c r="Y7" s="86">
        <v>7</v>
      </c>
      <c r="Z7" s="528">
        <v>8</v>
      </c>
      <c r="AA7" s="528">
        <v>9</v>
      </c>
      <c r="AB7" s="528">
        <v>10</v>
      </c>
      <c r="AC7" s="528">
        <v>11</v>
      </c>
      <c r="AD7" s="528">
        <v>12</v>
      </c>
      <c r="AE7" s="528">
        <v>13</v>
      </c>
      <c r="AF7" s="528">
        <v>14</v>
      </c>
      <c r="AG7" s="528">
        <v>15</v>
      </c>
      <c r="AH7" s="528">
        <v>16</v>
      </c>
      <c r="AI7" s="528">
        <v>17</v>
      </c>
      <c r="AJ7" s="128">
        <f>SUM(D8:AI8)</f>
        <v>67</v>
      </c>
      <c r="AK7" s="1011">
        <f>3.82+4.24+7.15</f>
        <v>15.21</v>
      </c>
      <c r="AL7" s="1011"/>
      <c r="AM7" s="695"/>
      <c r="AN7" s="695">
        <v>7</v>
      </c>
      <c r="AO7" s="694" t="str">
        <f t="shared" ref="AO7:AO67" si="0">IF(COUNT(AM7,AN7)&lt;2, "0", AN7 - AM7 + 1)</f>
        <v>0</v>
      </c>
      <c r="AP7" s="538">
        <f>IFERROR(AK7/AO7,0)</f>
        <v>0</v>
      </c>
      <c r="AQ7" s="1013">
        <f>4.88+9.43+17.44+12.55+3.41+8.21+8.88</f>
        <v>64.8</v>
      </c>
      <c r="AR7" s="1013"/>
      <c r="AS7" s="704"/>
      <c r="AT7" s="704"/>
      <c r="AU7" s="704"/>
      <c r="AV7" s="536">
        <f>IFERROR(AQ7/AU7,0)</f>
        <v>0</v>
      </c>
      <c r="AW7" s="1021"/>
      <c r="AX7" s="463"/>
      <c r="AY7" s="463"/>
      <c r="AZ7" s="463"/>
      <c r="BA7" s="463" t="str">
        <f>IF(COUNT(AY7,AZ7)&lt;2, "0", AZ7 - AY7 )</f>
        <v>0</v>
      </c>
      <c r="BB7" s="536">
        <f>IFERROR(AW7/BA7,0)</f>
        <v>0</v>
      </c>
      <c r="BC7" s="461"/>
      <c r="BD7" s="461"/>
      <c r="BE7" s="152">
        <f>AK7+AQ7+AW7+BC7</f>
        <v>80.009999999999991</v>
      </c>
      <c r="BF7" s="152">
        <f>AL7+AR7+AX7+BD7</f>
        <v>0</v>
      </c>
      <c r="BG7" s="163">
        <v>3</v>
      </c>
      <c r="BH7" s="92"/>
      <c r="BL7" s="92"/>
    </row>
    <row r="8" spans="1:64" ht="24" customHeight="1" x14ac:dyDescent="0.35">
      <c r="A8" s="1005"/>
      <c r="B8" s="1004"/>
      <c r="C8" s="1002"/>
      <c r="D8" s="83"/>
      <c r="E8" s="529">
        <v>8</v>
      </c>
      <c r="F8" s="529"/>
      <c r="G8" s="529">
        <v>4</v>
      </c>
      <c r="H8" s="529"/>
      <c r="I8" s="529"/>
      <c r="J8" s="529"/>
      <c r="K8" s="529"/>
      <c r="L8" s="529"/>
      <c r="M8" s="529"/>
      <c r="N8" s="529"/>
      <c r="O8" s="529"/>
      <c r="P8" s="529"/>
      <c r="Q8" s="529"/>
      <c r="R8" s="529"/>
      <c r="S8" s="529">
        <v>10</v>
      </c>
      <c r="T8" s="529">
        <v>10</v>
      </c>
      <c r="U8" s="529">
        <v>9</v>
      </c>
      <c r="V8" s="529">
        <v>8</v>
      </c>
      <c r="W8" s="529"/>
      <c r="X8" s="529">
        <v>9</v>
      </c>
      <c r="Y8" s="529">
        <v>9</v>
      </c>
      <c r="Z8" s="529"/>
      <c r="AA8" s="529"/>
      <c r="AB8" s="529"/>
      <c r="AC8" s="529"/>
      <c r="AD8" s="529"/>
      <c r="AE8" s="529"/>
      <c r="AF8" s="529"/>
      <c r="AG8" s="529"/>
      <c r="AH8" s="529"/>
      <c r="AI8" s="529"/>
      <c r="AJ8" s="129"/>
      <c r="AK8" s="1012"/>
      <c r="AL8" s="1012"/>
      <c r="AM8" s="696"/>
      <c r="AN8" s="696"/>
      <c r="AO8" s="694"/>
      <c r="AP8" s="538"/>
      <c r="AQ8" s="1014"/>
      <c r="AR8" s="1014"/>
      <c r="AS8" s="705"/>
      <c r="AT8" s="705"/>
      <c r="AU8" s="705"/>
      <c r="AV8" s="537"/>
      <c r="AW8" s="1022"/>
      <c r="AX8" s="464"/>
      <c r="AY8" s="464"/>
      <c r="AZ8" s="464"/>
      <c r="BA8" s="464"/>
      <c r="BB8" s="537"/>
      <c r="BC8" s="462"/>
      <c r="BD8" s="462"/>
      <c r="BE8" s="153"/>
      <c r="BF8" s="153"/>
      <c r="BG8" s="164"/>
      <c r="BH8" s="92"/>
      <c r="BL8" s="92"/>
    </row>
    <row r="9" spans="1:64" ht="24" customHeight="1" x14ac:dyDescent="0.35">
      <c r="A9" s="1005"/>
      <c r="B9" s="1004">
        <v>2011</v>
      </c>
      <c r="C9" s="1001">
        <v>14</v>
      </c>
      <c r="D9" s="79">
        <v>41.6</v>
      </c>
      <c r="E9" s="528">
        <v>9</v>
      </c>
      <c r="F9" s="528">
        <v>10</v>
      </c>
      <c r="G9" s="528">
        <v>11</v>
      </c>
      <c r="H9" s="528">
        <v>12</v>
      </c>
      <c r="I9" s="528">
        <v>13</v>
      </c>
      <c r="J9" s="528">
        <v>14</v>
      </c>
      <c r="K9" s="528">
        <v>15</v>
      </c>
      <c r="L9" s="528">
        <v>16</v>
      </c>
      <c r="M9" s="528">
        <v>17</v>
      </c>
      <c r="N9" s="85">
        <v>1</v>
      </c>
      <c r="O9" s="85">
        <v>2</v>
      </c>
      <c r="P9" s="85">
        <v>3</v>
      </c>
      <c r="Q9" s="528">
        <v>4</v>
      </c>
      <c r="R9" s="85">
        <v>5</v>
      </c>
      <c r="S9" s="528">
        <v>6</v>
      </c>
      <c r="T9" s="528">
        <v>7</v>
      </c>
      <c r="U9" s="528">
        <v>8</v>
      </c>
      <c r="V9" s="528">
        <v>9</v>
      </c>
      <c r="W9" s="528">
        <v>10</v>
      </c>
      <c r="X9" s="528">
        <v>11</v>
      </c>
      <c r="Y9" s="528">
        <v>12</v>
      </c>
      <c r="Z9" s="528">
        <v>13</v>
      </c>
      <c r="AA9" s="528">
        <v>14</v>
      </c>
      <c r="AB9" s="528">
        <v>15</v>
      </c>
      <c r="AC9" s="528">
        <v>16</v>
      </c>
      <c r="AD9" s="528">
        <v>17</v>
      </c>
      <c r="AE9" s="528">
        <v>18</v>
      </c>
      <c r="AF9" s="528">
        <v>19</v>
      </c>
      <c r="AG9" s="528">
        <v>20</v>
      </c>
      <c r="AH9" s="528">
        <v>21</v>
      </c>
      <c r="AI9" s="86">
        <v>1</v>
      </c>
      <c r="AJ9" s="128">
        <f>SUM(D10:AI10)</f>
        <v>45</v>
      </c>
      <c r="AK9" s="1011">
        <f>7.89+12.37+8.83+4.92+7.98+3.85</f>
        <v>45.839999999999996</v>
      </c>
      <c r="AL9" s="1011"/>
      <c r="AM9" s="697"/>
      <c r="AN9" s="697">
        <v>3</v>
      </c>
      <c r="AO9" s="694" t="str">
        <f t="shared" si="0"/>
        <v>0</v>
      </c>
      <c r="AP9" s="538">
        <f>IFERROR(AK9/AO9,0)</f>
        <v>0</v>
      </c>
      <c r="AQ9" s="1013"/>
      <c r="AR9" s="1013"/>
      <c r="AS9" s="704"/>
      <c r="AT9" s="704"/>
      <c r="AU9" s="704"/>
      <c r="AV9" s="536">
        <f>IFERROR(AQ9/AU9,0)</f>
        <v>0</v>
      </c>
      <c r="AW9" s="1021"/>
      <c r="AX9" s="463"/>
      <c r="AY9" s="463"/>
      <c r="AZ9" s="463"/>
      <c r="BA9" s="463" t="str">
        <f>IF(COUNT(AY9,AZ9)&lt;2, "0", AZ9 - AY9 )</f>
        <v>0</v>
      </c>
      <c r="BB9" s="536">
        <f>IFERROR(AW9/BA9,0)</f>
        <v>0</v>
      </c>
      <c r="BC9" s="461"/>
      <c r="BD9" s="461"/>
      <c r="BE9" s="152">
        <f>AK9+AQ9+AW9+BC9</f>
        <v>45.839999999999996</v>
      </c>
      <c r="BF9" s="152">
        <f>AL9+AR9+AX9+BD9</f>
        <v>0</v>
      </c>
      <c r="BG9" s="163">
        <v>14</v>
      </c>
      <c r="BH9" s="92"/>
      <c r="BL9" s="92"/>
    </row>
    <row r="10" spans="1:64" ht="24" customHeight="1" x14ac:dyDescent="0.35">
      <c r="A10" s="1006"/>
      <c r="B10" s="1002"/>
      <c r="C10" s="1002"/>
      <c r="D10" s="83"/>
      <c r="E10" s="529"/>
      <c r="F10" s="529"/>
      <c r="G10" s="529"/>
      <c r="H10" s="529"/>
      <c r="I10" s="529"/>
      <c r="J10" s="529"/>
      <c r="K10" s="529"/>
      <c r="L10" s="529"/>
      <c r="M10" s="529"/>
      <c r="N10" s="529">
        <v>9</v>
      </c>
      <c r="O10" s="529">
        <v>10</v>
      </c>
      <c r="P10" s="529">
        <v>9</v>
      </c>
      <c r="Q10" s="529"/>
      <c r="R10" s="529">
        <v>7</v>
      </c>
      <c r="S10" s="529"/>
      <c r="T10" s="529"/>
      <c r="U10" s="529"/>
      <c r="V10" s="529"/>
      <c r="W10" s="529"/>
      <c r="X10" s="529"/>
      <c r="Y10" s="529"/>
      <c r="Z10" s="529"/>
      <c r="AA10" s="529"/>
      <c r="AB10" s="529"/>
      <c r="AC10" s="529"/>
      <c r="AD10" s="529"/>
      <c r="AE10" s="529"/>
      <c r="AF10" s="529"/>
      <c r="AG10" s="529"/>
      <c r="AH10" s="529"/>
      <c r="AI10" s="529">
        <v>10</v>
      </c>
      <c r="AJ10" s="129"/>
      <c r="AK10" s="1012"/>
      <c r="AL10" s="1012"/>
      <c r="AM10" s="696"/>
      <c r="AN10" s="696"/>
      <c r="AO10" s="694"/>
      <c r="AP10" s="538"/>
      <c r="AQ10" s="1014"/>
      <c r="AR10" s="1014"/>
      <c r="AS10" s="705"/>
      <c r="AT10" s="705"/>
      <c r="AU10" s="705"/>
      <c r="AV10" s="537"/>
      <c r="AW10" s="1022"/>
      <c r="AX10" s="464"/>
      <c r="AY10" s="464"/>
      <c r="AZ10" s="464"/>
      <c r="BA10" s="464"/>
      <c r="BB10" s="537"/>
      <c r="BC10" s="462"/>
      <c r="BD10" s="462"/>
      <c r="BE10" s="153"/>
      <c r="BF10" s="153"/>
      <c r="BG10" s="164"/>
      <c r="BH10" s="93"/>
      <c r="BL10" s="92"/>
    </row>
    <row r="11" spans="1:64" ht="24" customHeight="1" x14ac:dyDescent="0.35">
      <c r="A11" s="1007" t="s">
        <v>195</v>
      </c>
      <c r="B11" s="1001">
        <v>2010</v>
      </c>
      <c r="C11" s="1001">
        <v>4</v>
      </c>
      <c r="D11" s="79">
        <v>70.599999999999994</v>
      </c>
      <c r="E11" s="528">
        <v>9</v>
      </c>
      <c r="F11" s="528">
        <v>10</v>
      </c>
      <c r="G11" s="528">
        <v>11</v>
      </c>
      <c r="H11" s="528">
        <v>12</v>
      </c>
      <c r="I11" s="528">
        <v>13</v>
      </c>
      <c r="J11" s="528">
        <v>14</v>
      </c>
      <c r="K11" s="528">
        <v>15</v>
      </c>
      <c r="L11" s="528">
        <v>16</v>
      </c>
      <c r="M11" s="528">
        <v>17</v>
      </c>
      <c r="N11" s="528">
        <v>18</v>
      </c>
      <c r="O11" s="528">
        <v>19</v>
      </c>
      <c r="P11" s="85">
        <v>1</v>
      </c>
      <c r="Q11" s="528">
        <v>2</v>
      </c>
      <c r="R11" s="85">
        <v>3</v>
      </c>
      <c r="S11" s="85">
        <v>4</v>
      </c>
      <c r="T11" s="85">
        <v>5</v>
      </c>
      <c r="U11" s="528">
        <v>6</v>
      </c>
      <c r="V11" s="528">
        <v>7</v>
      </c>
      <c r="W11" s="528">
        <v>8</v>
      </c>
      <c r="X11" s="528">
        <v>9</v>
      </c>
      <c r="Y11" s="528">
        <v>10</v>
      </c>
      <c r="Z11" s="528">
        <v>11</v>
      </c>
      <c r="AA11" s="528">
        <v>12</v>
      </c>
      <c r="AB11" s="528">
        <v>13</v>
      </c>
      <c r="AC11" s="528">
        <v>14</v>
      </c>
      <c r="AD11" s="528">
        <v>15</v>
      </c>
      <c r="AE11" s="528">
        <v>16</v>
      </c>
      <c r="AF11" s="528">
        <v>17</v>
      </c>
      <c r="AG11" s="528">
        <v>18</v>
      </c>
      <c r="AH11" s="528">
        <v>19</v>
      </c>
      <c r="AI11" s="528">
        <v>20</v>
      </c>
      <c r="AJ11" s="128">
        <f>SUM(D12:AI12)</f>
        <v>46</v>
      </c>
      <c r="AK11" s="1011">
        <f>7.63+3.49+8.65+25.17+8.05+12.05</f>
        <v>65.040000000000006</v>
      </c>
      <c r="AL11" s="1011"/>
      <c r="AM11" s="697"/>
      <c r="AN11" s="697">
        <v>4</v>
      </c>
      <c r="AO11" s="694" t="str">
        <f t="shared" si="0"/>
        <v>0</v>
      </c>
      <c r="AP11" s="538">
        <f>IFERROR(AK11/AO11,0)</f>
        <v>0</v>
      </c>
      <c r="AQ11" s="1013"/>
      <c r="AR11" s="1013"/>
      <c r="AS11" s="704"/>
      <c r="AT11" s="704"/>
      <c r="AU11" s="704"/>
      <c r="AV11" s="536">
        <f>IFERROR(AQ11/AU11,0)</f>
        <v>0</v>
      </c>
      <c r="AW11" s="1021"/>
      <c r="AX11" s="463"/>
      <c r="AY11" s="463"/>
      <c r="AZ11" s="463"/>
      <c r="BA11" s="463" t="str">
        <f>IF(COUNT(AY11,AZ11)&lt;2, "0", AZ11 - AY11 )</f>
        <v>0</v>
      </c>
      <c r="BB11" s="536">
        <f>IFERROR(AW11/BA11,0)</f>
        <v>0</v>
      </c>
      <c r="BC11" s="461"/>
      <c r="BD11" s="461"/>
      <c r="BE11" s="152">
        <f>AK11+AQ11+AW11+BC11</f>
        <v>65.040000000000006</v>
      </c>
      <c r="BF11" s="152">
        <f>AL11+AR11+AX11+BD11</f>
        <v>0</v>
      </c>
      <c r="BG11" s="160">
        <v>4</v>
      </c>
      <c r="BH11" s="92"/>
      <c r="BL11" s="92"/>
    </row>
    <row r="12" spans="1:64" ht="24" customHeight="1" x14ac:dyDescent="0.35">
      <c r="A12" s="1005"/>
      <c r="B12" s="1004"/>
      <c r="C12" s="1002"/>
      <c r="D12" s="83"/>
      <c r="E12" s="529"/>
      <c r="F12" s="529"/>
      <c r="G12" s="529"/>
      <c r="H12" s="529"/>
      <c r="I12" s="529"/>
      <c r="J12" s="529"/>
      <c r="K12" s="529"/>
      <c r="L12" s="529"/>
      <c r="M12" s="529"/>
      <c r="N12" s="529"/>
      <c r="O12" s="529"/>
      <c r="P12" s="529">
        <v>12</v>
      </c>
      <c r="Q12" s="529"/>
      <c r="R12" s="529">
        <v>10</v>
      </c>
      <c r="S12" s="529">
        <v>12</v>
      </c>
      <c r="T12" s="529">
        <v>12</v>
      </c>
      <c r="U12" s="529"/>
      <c r="V12" s="529"/>
      <c r="W12" s="529"/>
      <c r="X12" s="529"/>
      <c r="Y12" s="529"/>
      <c r="Z12" s="529"/>
      <c r="AA12" s="529"/>
      <c r="AB12" s="529"/>
      <c r="AC12" s="529"/>
      <c r="AD12" s="529"/>
      <c r="AE12" s="529"/>
      <c r="AF12" s="529"/>
      <c r="AG12" s="529"/>
      <c r="AH12" s="529"/>
      <c r="AI12" s="529"/>
      <c r="AJ12" s="129"/>
      <c r="AK12" s="1012"/>
      <c r="AL12" s="1012"/>
      <c r="AM12" s="696"/>
      <c r="AN12" s="696"/>
      <c r="AO12" s="694"/>
      <c r="AP12" s="538"/>
      <c r="AQ12" s="1014"/>
      <c r="AR12" s="1014"/>
      <c r="AS12" s="705"/>
      <c r="AT12" s="705"/>
      <c r="AU12" s="705"/>
      <c r="AV12" s="537"/>
      <c r="AW12" s="1022"/>
      <c r="AX12" s="464"/>
      <c r="AY12" s="464"/>
      <c r="AZ12" s="464"/>
      <c r="BA12" s="464"/>
      <c r="BB12" s="537"/>
      <c r="BC12" s="462"/>
      <c r="BD12" s="462"/>
      <c r="BE12" s="162"/>
      <c r="BF12" s="153"/>
      <c r="BG12" s="161"/>
      <c r="BH12" s="92"/>
      <c r="BL12" s="92"/>
    </row>
    <row r="13" spans="1:64" ht="24" customHeight="1" x14ac:dyDescent="0.35">
      <c r="A13" s="1005"/>
      <c r="B13" s="1004">
        <v>2010</v>
      </c>
      <c r="C13" s="1001">
        <v>5</v>
      </c>
      <c r="D13" s="79">
        <v>54.3</v>
      </c>
      <c r="E13" s="528">
        <v>13</v>
      </c>
      <c r="F13" s="528">
        <v>14</v>
      </c>
      <c r="G13" s="528">
        <v>15</v>
      </c>
      <c r="H13" s="528">
        <v>16</v>
      </c>
      <c r="I13" s="528">
        <v>17</v>
      </c>
      <c r="J13" s="85">
        <v>1</v>
      </c>
      <c r="K13" s="528">
        <v>2</v>
      </c>
      <c r="L13" s="528">
        <v>3</v>
      </c>
      <c r="M13" s="85">
        <v>4</v>
      </c>
      <c r="N13" s="85">
        <v>5</v>
      </c>
      <c r="O13" s="528">
        <v>6</v>
      </c>
      <c r="P13" s="528">
        <v>7</v>
      </c>
      <c r="Q13" s="528">
        <v>8</v>
      </c>
      <c r="R13" s="528">
        <v>9</v>
      </c>
      <c r="S13" s="528">
        <v>10</v>
      </c>
      <c r="T13" s="528">
        <v>11</v>
      </c>
      <c r="U13" s="528">
        <v>12</v>
      </c>
      <c r="V13" s="528">
        <v>13</v>
      </c>
      <c r="W13" s="528">
        <v>14</v>
      </c>
      <c r="X13" s="528">
        <v>15</v>
      </c>
      <c r="Y13" s="528">
        <v>16</v>
      </c>
      <c r="Z13" s="528">
        <v>17</v>
      </c>
      <c r="AA13" s="528">
        <v>18</v>
      </c>
      <c r="AB13" s="528">
        <v>19</v>
      </c>
      <c r="AC13" s="528">
        <v>20</v>
      </c>
      <c r="AD13" s="528">
        <v>21</v>
      </c>
      <c r="AE13" s="528">
        <v>22</v>
      </c>
      <c r="AF13" s="528">
        <v>23</v>
      </c>
      <c r="AG13" s="86">
        <v>1</v>
      </c>
      <c r="AH13" s="86">
        <v>2</v>
      </c>
      <c r="AI13" s="86">
        <v>3</v>
      </c>
      <c r="AJ13" s="131">
        <f>SUM(D14:AI14)</f>
        <v>62</v>
      </c>
      <c r="AK13" s="1011">
        <f>8.51+9.14+5.37+4.44+19.98</f>
        <v>47.44</v>
      </c>
      <c r="AL13" s="1011"/>
      <c r="AM13" s="697"/>
      <c r="AN13" s="697">
        <v>5</v>
      </c>
      <c r="AO13" s="694" t="str">
        <f t="shared" si="0"/>
        <v>0</v>
      </c>
      <c r="AP13" s="538">
        <f>IFERROR(AK13/AO13,0)</f>
        <v>0</v>
      </c>
      <c r="AQ13" s="1013">
        <f>12.34+19.75</f>
        <v>32.090000000000003</v>
      </c>
      <c r="AR13" s="1013"/>
      <c r="AS13" s="704"/>
      <c r="AT13" s="704"/>
      <c r="AU13" s="704"/>
      <c r="AV13" s="536">
        <f>IFERROR(AQ13/AU13,0)</f>
        <v>0</v>
      </c>
      <c r="AW13" s="1021"/>
      <c r="AX13" s="463"/>
      <c r="AY13" s="463"/>
      <c r="AZ13" s="463"/>
      <c r="BA13" s="463" t="str">
        <f>IF(COUNT(AY13,AZ13)&lt;2, "0", AZ13 - AY13 )</f>
        <v>0</v>
      </c>
      <c r="BB13" s="536">
        <f>IFERROR(AW13/BA13,0)</f>
        <v>0</v>
      </c>
      <c r="BC13" s="461"/>
      <c r="BD13" s="461"/>
      <c r="BE13" s="152">
        <f>AK13+AQ13+AW13+BC13</f>
        <v>79.53</v>
      </c>
      <c r="BF13" s="152">
        <f>AL13+AR13+AX13+BD13</f>
        <v>0</v>
      </c>
      <c r="BG13" s="160">
        <v>5</v>
      </c>
      <c r="BH13" s="92"/>
      <c r="BL13" s="92"/>
    </row>
    <row r="14" spans="1:64" ht="24" customHeight="1" x14ac:dyDescent="0.35">
      <c r="A14" s="1005"/>
      <c r="B14" s="1004"/>
      <c r="C14" s="1002"/>
      <c r="D14" s="83"/>
      <c r="E14" s="529"/>
      <c r="F14" s="529"/>
      <c r="G14" s="529"/>
      <c r="H14" s="529"/>
      <c r="I14" s="529"/>
      <c r="J14" s="529">
        <v>11</v>
      </c>
      <c r="K14" s="529"/>
      <c r="L14" s="529"/>
      <c r="M14" s="529">
        <v>11</v>
      </c>
      <c r="N14" s="529">
        <v>4</v>
      </c>
      <c r="O14" s="529"/>
      <c r="P14" s="529"/>
      <c r="Q14" s="529"/>
      <c r="R14" s="529"/>
      <c r="S14" s="529"/>
      <c r="T14" s="529"/>
      <c r="U14" s="529"/>
      <c r="V14" s="529"/>
      <c r="W14" s="529"/>
      <c r="X14" s="529"/>
      <c r="Y14" s="529"/>
      <c r="Z14" s="529"/>
      <c r="AA14" s="529"/>
      <c r="AB14" s="529"/>
      <c r="AC14" s="529"/>
      <c r="AD14" s="529"/>
      <c r="AE14" s="529"/>
      <c r="AF14" s="529"/>
      <c r="AG14" s="529">
        <v>12</v>
      </c>
      <c r="AH14" s="529">
        <v>12</v>
      </c>
      <c r="AI14" s="529">
        <v>12</v>
      </c>
      <c r="AJ14" s="132"/>
      <c r="AK14" s="1012"/>
      <c r="AL14" s="1012"/>
      <c r="AM14" s="696"/>
      <c r="AN14" s="696"/>
      <c r="AO14" s="694"/>
      <c r="AP14" s="538"/>
      <c r="AQ14" s="1014"/>
      <c r="AR14" s="1014"/>
      <c r="AS14" s="705"/>
      <c r="AT14" s="705"/>
      <c r="AU14" s="705"/>
      <c r="AV14" s="537"/>
      <c r="AW14" s="1022"/>
      <c r="AX14" s="464"/>
      <c r="AY14" s="464"/>
      <c r="AZ14" s="464"/>
      <c r="BA14" s="464"/>
      <c r="BB14" s="537"/>
      <c r="BC14" s="462"/>
      <c r="BD14" s="462"/>
      <c r="BE14" s="153"/>
      <c r="BF14" s="153"/>
      <c r="BG14" s="161"/>
      <c r="BH14" s="92"/>
      <c r="BL14" s="92"/>
    </row>
    <row r="15" spans="1:64" ht="24" customHeight="1" x14ac:dyDescent="0.35">
      <c r="A15" s="1005"/>
      <c r="B15" s="1004">
        <v>2010</v>
      </c>
      <c r="C15" s="1001">
        <v>6</v>
      </c>
      <c r="D15" s="79">
        <v>58.6</v>
      </c>
      <c r="E15" s="85">
        <v>1</v>
      </c>
      <c r="F15" s="528">
        <v>2</v>
      </c>
      <c r="G15" s="85">
        <v>3</v>
      </c>
      <c r="H15" s="85">
        <v>4</v>
      </c>
      <c r="I15" s="85">
        <v>5</v>
      </c>
      <c r="J15" s="528">
        <v>6</v>
      </c>
      <c r="K15" s="528">
        <v>7</v>
      </c>
      <c r="L15" s="528">
        <v>8</v>
      </c>
      <c r="M15" s="528">
        <v>9</v>
      </c>
      <c r="N15" s="528">
        <v>10</v>
      </c>
      <c r="O15" s="528">
        <v>11</v>
      </c>
      <c r="P15" s="528">
        <v>12</v>
      </c>
      <c r="Q15" s="528">
        <v>13</v>
      </c>
      <c r="R15" s="528">
        <v>14</v>
      </c>
      <c r="S15" s="528">
        <v>15</v>
      </c>
      <c r="T15" s="528">
        <v>16</v>
      </c>
      <c r="U15" s="528">
        <v>17</v>
      </c>
      <c r="V15" s="528">
        <v>18</v>
      </c>
      <c r="W15" s="528">
        <v>19</v>
      </c>
      <c r="X15" s="528">
        <v>20</v>
      </c>
      <c r="Y15" s="528">
        <v>21</v>
      </c>
      <c r="Z15" s="528">
        <v>22</v>
      </c>
      <c r="AA15" s="86">
        <v>1</v>
      </c>
      <c r="AB15" s="86">
        <v>2</v>
      </c>
      <c r="AC15" s="528">
        <v>3</v>
      </c>
      <c r="AD15" s="528">
        <v>4</v>
      </c>
      <c r="AE15" s="86">
        <v>5</v>
      </c>
      <c r="AF15" s="86">
        <v>6</v>
      </c>
      <c r="AG15" s="528">
        <v>7</v>
      </c>
      <c r="AH15" s="528">
        <v>8</v>
      </c>
      <c r="AI15" s="528">
        <v>9</v>
      </c>
      <c r="AJ15" s="131">
        <f>SUM(D16:AI16)</f>
        <v>86</v>
      </c>
      <c r="AK15" s="1011">
        <f>4.46+5.13+16.61+17.27+16.86</f>
        <v>60.33</v>
      </c>
      <c r="AL15" s="1011"/>
      <c r="AM15" s="697"/>
      <c r="AN15" s="697">
        <v>5</v>
      </c>
      <c r="AO15" s="694" t="str">
        <f t="shared" si="0"/>
        <v>0</v>
      </c>
      <c r="AP15" s="538">
        <f>IFERROR(AK15/AO15,0)</f>
        <v>0</v>
      </c>
      <c r="AQ15" s="1013">
        <f>22.03+8.21+4.58+21.29+8.8</f>
        <v>64.91</v>
      </c>
      <c r="AR15" s="1013"/>
      <c r="AS15" s="704"/>
      <c r="AT15" s="704"/>
      <c r="AU15" s="704"/>
      <c r="AV15" s="536">
        <f>IFERROR(AQ15/AU15,0)</f>
        <v>0</v>
      </c>
      <c r="AW15" s="1021"/>
      <c r="AX15" s="463"/>
      <c r="AY15" s="463"/>
      <c r="AZ15" s="463"/>
      <c r="BA15" s="463" t="str">
        <f>IF(COUNT(AY15,AZ15)&lt;2, "0", AZ15 - AY15 )</f>
        <v>0</v>
      </c>
      <c r="BB15" s="536">
        <f>IFERROR(AW15/BA15,0)</f>
        <v>0</v>
      </c>
      <c r="BC15" s="461"/>
      <c r="BD15" s="461"/>
      <c r="BE15" s="152">
        <f>AK15+AQ15+AW15+BC15</f>
        <v>125.24</v>
      </c>
      <c r="BF15" s="152">
        <f>AL15+AR15+AX15+BD15</f>
        <v>0</v>
      </c>
      <c r="BG15" s="160">
        <v>6</v>
      </c>
      <c r="BH15" s="92"/>
      <c r="BL15" s="92"/>
    </row>
    <row r="16" spans="1:64" ht="24" customHeight="1" x14ac:dyDescent="0.35">
      <c r="A16" s="1005"/>
      <c r="B16" s="1004"/>
      <c r="C16" s="1002"/>
      <c r="D16" s="83"/>
      <c r="E16" s="529">
        <v>8</v>
      </c>
      <c r="F16" s="529"/>
      <c r="G16" s="529">
        <v>9</v>
      </c>
      <c r="H16" s="529">
        <v>10</v>
      </c>
      <c r="I16" s="529">
        <v>11</v>
      </c>
      <c r="J16" s="529"/>
      <c r="K16" s="529"/>
      <c r="L16" s="529"/>
      <c r="M16" s="529"/>
      <c r="N16" s="529"/>
      <c r="O16" s="529"/>
      <c r="P16" s="529"/>
      <c r="Q16" s="529"/>
      <c r="R16" s="529"/>
      <c r="S16" s="529"/>
      <c r="T16" s="529"/>
      <c r="U16" s="529"/>
      <c r="V16" s="529"/>
      <c r="W16" s="529"/>
      <c r="X16" s="529"/>
      <c r="Y16" s="529"/>
      <c r="Z16" s="529"/>
      <c r="AA16" s="529">
        <v>12</v>
      </c>
      <c r="AB16" s="529">
        <v>12</v>
      </c>
      <c r="AC16" s="529"/>
      <c r="AD16" s="529"/>
      <c r="AE16" s="529">
        <v>12</v>
      </c>
      <c r="AF16" s="529">
        <v>12</v>
      </c>
      <c r="AG16" s="529"/>
      <c r="AH16" s="528"/>
      <c r="AI16" s="529"/>
      <c r="AJ16" s="132"/>
      <c r="AK16" s="1012"/>
      <c r="AL16" s="1012"/>
      <c r="AM16" s="696"/>
      <c r="AN16" s="696"/>
      <c r="AO16" s="694"/>
      <c r="AP16" s="538"/>
      <c r="AQ16" s="1014"/>
      <c r="AR16" s="1014"/>
      <c r="AS16" s="705"/>
      <c r="AT16" s="705"/>
      <c r="AU16" s="705"/>
      <c r="AV16" s="537"/>
      <c r="AW16" s="1022"/>
      <c r="AX16" s="464"/>
      <c r="AY16" s="464"/>
      <c r="AZ16" s="464"/>
      <c r="BA16" s="464"/>
      <c r="BB16" s="537"/>
      <c r="BC16" s="462"/>
      <c r="BD16" s="462"/>
      <c r="BE16" s="153"/>
      <c r="BF16" s="153"/>
      <c r="BG16" s="161"/>
      <c r="BH16" s="92"/>
      <c r="BL16" s="92"/>
    </row>
    <row r="17" spans="1:64" ht="24" customHeight="1" x14ac:dyDescent="0.35">
      <c r="A17" s="1005"/>
      <c r="B17" s="1004">
        <v>2010</v>
      </c>
      <c r="C17" s="1001">
        <v>7</v>
      </c>
      <c r="D17" s="79">
        <v>23.6</v>
      </c>
      <c r="E17" s="528">
        <v>10</v>
      </c>
      <c r="F17" s="528">
        <v>11</v>
      </c>
      <c r="G17" s="528">
        <v>12</v>
      </c>
      <c r="H17" s="528">
        <v>13</v>
      </c>
      <c r="I17" s="528">
        <v>14</v>
      </c>
      <c r="J17" s="528">
        <v>15</v>
      </c>
      <c r="K17" s="528">
        <v>16</v>
      </c>
      <c r="L17" s="528">
        <v>17</v>
      </c>
      <c r="M17" s="528">
        <v>18</v>
      </c>
      <c r="N17" s="85">
        <v>1</v>
      </c>
      <c r="O17" s="85">
        <v>2</v>
      </c>
      <c r="P17" s="528">
        <v>3</v>
      </c>
      <c r="Q17" s="528">
        <v>4</v>
      </c>
      <c r="R17" s="528">
        <v>5</v>
      </c>
      <c r="S17" s="528">
        <v>6</v>
      </c>
      <c r="T17" s="528">
        <v>7</v>
      </c>
      <c r="U17" s="528">
        <v>8</v>
      </c>
      <c r="V17" s="528">
        <v>9</v>
      </c>
      <c r="W17" s="528">
        <v>10</v>
      </c>
      <c r="X17" s="528">
        <v>11</v>
      </c>
      <c r="Y17" s="528">
        <v>12</v>
      </c>
      <c r="Z17" s="528">
        <v>13</v>
      </c>
      <c r="AA17" s="528">
        <v>14</v>
      </c>
      <c r="AB17" s="528">
        <v>15</v>
      </c>
      <c r="AC17" s="528">
        <v>16</v>
      </c>
      <c r="AD17" s="528">
        <v>17</v>
      </c>
      <c r="AE17" s="528">
        <v>18</v>
      </c>
      <c r="AF17" s="528">
        <v>19</v>
      </c>
      <c r="AG17" s="528">
        <v>20</v>
      </c>
      <c r="AH17" s="528">
        <v>21</v>
      </c>
      <c r="AI17" s="528">
        <v>22</v>
      </c>
      <c r="AJ17" s="131">
        <f>SUM(D18:AI18)</f>
        <v>17</v>
      </c>
      <c r="AK17" s="1011">
        <f>12.43+6.72</f>
        <v>19.149999999999999</v>
      </c>
      <c r="AL17" s="1011"/>
      <c r="AM17" s="697"/>
      <c r="AN17" s="697">
        <v>1</v>
      </c>
      <c r="AO17" s="694" t="str">
        <f t="shared" si="0"/>
        <v>0</v>
      </c>
      <c r="AP17" s="538">
        <f>IFERROR(AK17/AO17,0)</f>
        <v>0</v>
      </c>
      <c r="AQ17" s="1013"/>
      <c r="AR17" s="1013"/>
      <c r="AS17" s="704"/>
      <c r="AT17" s="704"/>
      <c r="AU17" s="704"/>
      <c r="AV17" s="536">
        <f>IFERROR(AQ17/AU17,0)</f>
        <v>0</v>
      </c>
      <c r="AW17" s="1021"/>
      <c r="AX17" s="463"/>
      <c r="AY17" s="463"/>
      <c r="AZ17" s="463"/>
      <c r="BA17" s="463" t="str">
        <f>IF(COUNT(AY17,AZ17)&lt;2, "0", AZ17 - AY17 )</f>
        <v>0</v>
      </c>
      <c r="BB17" s="536">
        <f>IFERROR(AW17/BA17,0)</f>
        <v>0</v>
      </c>
      <c r="BC17" s="461"/>
      <c r="BD17" s="461"/>
      <c r="BE17" s="152">
        <f>AK17+AQ17+AW17+BC17</f>
        <v>19.149999999999999</v>
      </c>
      <c r="BF17" s="152">
        <f>AL17+AR17+AX17+BD17</f>
        <v>0</v>
      </c>
      <c r="BG17" s="160">
        <v>7</v>
      </c>
      <c r="BL17" s="92"/>
    </row>
    <row r="18" spans="1:64" ht="24" customHeight="1" x14ac:dyDescent="0.35">
      <c r="A18" s="1005"/>
      <c r="B18" s="1004"/>
      <c r="C18" s="1002"/>
      <c r="D18" s="83"/>
      <c r="E18" s="529"/>
      <c r="F18" s="529"/>
      <c r="G18" s="529"/>
      <c r="H18" s="529"/>
      <c r="I18" s="529"/>
      <c r="J18" s="529"/>
      <c r="K18" s="529"/>
      <c r="L18" s="529"/>
      <c r="M18" s="529"/>
      <c r="N18" s="529">
        <v>7</v>
      </c>
      <c r="O18" s="529">
        <v>10</v>
      </c>
      <c r="P18" s="529"/>
      <c r="Q18" s="529"/>
      <c r="R18" s="529"/>
      <c r="S18" s="529"/>
      <c r="T18" s="529"/>
      <c r="U18" s="529"/>
      <c r="V18" s="529"/>
      <c r="W18" s="529"/>
      <c r="X18" s="529"/>
      <c r="Y18" s="529"/>
      <c r="Z18" s="529"/>
      <c r="AA18" s="529"/>
      <c r="AB18" s="529"/>
      <c r="AC18" s="529"/>
      <c r="AD18" s="529"/>
      <c r="AE18" s="529"/>
      <c r="AF18" s="529"/>
      <c r="AG18" s="529"/>
      <c r="AH18" s="529"/>
      <c r="AI18" s="529"/>
      <c r="AJ18" s="132"/>
      <c r="AK18" s="1012"/>
      <c r="AL18" s="1012"/>
      <c r="AM18" s="696"/>
      <c r="AN18" s="696"/>
      <c r="AO18" s="694"/>
      <c r="AP18" s="538"/>
      <c r="AQ18" s="1014"/>
      <c r="AR18" s="1014"/>
      <c r="AS18" s="705"/>
      <c r="AT18" s="705"/>
      <c r="AU18" s="705"/>
      <c r="AV18" s="537"/>
      <c r="AW18" s="1022"/>
      <c r="AX18" s="464"/>
      <c r="AY18" s="464"/>
      <c r="AZ18" s="464"/>
      <c r="BA18" s="464"/>
      <c r="BB18" s="537"/>
      <c r="BC18" s="462"/>
      <c r="BD18" s="462"/>
      <c r="BE18" s="153"/>
      <c r="BF18" s="153"/>
      <c r="BG18" s="161"/>
      <c r="BL18" s="92"/>
    </row>
    <row r="19" spans="1:64" ht="24" customHeight="1" x14ac:dyDescent="0.35">
      <c r="A19" s="1005"/>
      <c r="B19" s="1004">
        <v>2010</v>
      </c>
      <c r="C19" s="1001">
        <v>23</v>
      </c>
      <c r="D19" s="79">
        <v>14.6</v>
      </c>
      <c r="E19" s="528">
        <v>2</v>
      </c>
      <c r="F19" s="528">
        <v>3</v>
      </c>
      <c r="G19" s="528">
        <v>4</v>
      </c>
      <c r="H19" s="528">
        <v>5</v>
      </c>
      <c r="I19" s="528">
        <v>6</v>
      </c>
      <c r="J19" s="528">
        <v>7</v>
      </c>
      <c r="K19" s="528">
        <v>8</v>
      </c>
      <c r="L19" s="528">
        <v>9</v>
      </c>
      <c r="M19" s="528">
        <v>10</v>
      </c>
      <c r="N19" s="528">
        <v>11</v>
      </c>
      <c r="O19" s="528">
        <v>12</v>
      </c>
      <c r="P19" s="528">
        <v>13</v>
      </c>
      <c r="Q19" s="528">
        <v>14</v>
      </c>
      <c r="R19" s="528">
        <v>15</v>
      </c>
      <c r="S19" s="528">
        <v>16</v>
      </c>
      <c r="T19" s="528">
        <v>17</v>
      </c>
      <c r="U19" s="528">
        <v>18</v>
      </c>
      <c r="V19" s="528">
        <v>19</v>
      </c>
      <c r="W19" s="528">
        <v>20</v>
      </c>
      <c r="X19" s="528">
        <v>21</v>
      </c>
      <c r="Y19" s="85">
        <v>1</v>
      </c>
      <c r="Z19" s="528">
        <v>2</v>
      </c>
      <c r="AA19" s="528">
        <v>3</v>
      </c>
      <c r="AB19" s="528">
        <v>4</v>
      </c>
      <c r="AC19" s="528">
        <v>5</v>
      </c>
      <c r="AD19" s="528">
        <v>6</v>
      </c>
      <c r="AE19" s="528">
        <v>7</v>
      </c>
      <c r="AF19" s="528">
        <v>8</v>
      </c>
      <c r="AG19" s="528">
        <v>9</v>
      </c>
      <c r="AH19" s="528">
        <v>10</v>
      </c>
      <c r="AI19" s="528">
        <v>11</v>
      </c>
      <c r="AJ19" s="128">
        <f>SUM(D20:AI20)</f>
        <v>11</v>
      </c>
      <c r="AK19" s="1011">
        <f>4.22+13.45+7.59</f>
        <v>25.259999999999998</v>
      </c>
      <c r="AL19" s="1011"/>
      <c r="AM19" s="697"/>
      <c r="AN19" s="697">
        <v>1</v>
      </c>
      <c r="AO19" s="694" t="str">
        <f t="shared" si="0"/>
        <v>0</v>
      </c>
      <c r="AP19" s="538">
        <f>IFERROR(AK19/AO19,0)</f>
        <v>0</v>
      </c>
      <c r="AQ19" s="1013"/>
      <c r="AR19" s="1013"/>
      <c r="AS19" s="704"/>
      <c r="AT19" s="704"/>
      <c r="AU19" s="704"/>
      <c r="AV19" s="536">
        <f>IFERROR(AQ19/AU19,0)</f>
        <v>0</v>
      </c>
      <c r="AW19" s="1021"/>
      <c r="AX19" s="463"/>
      <c r="AY19" s="463"/>
      <c r="AZ19" s="463"/>
      <c r="BA19" s="463" t="str">
        <f>IF(COUNT(AY19,AZ19)&lt;2, "0", AZ19 - AY19 )</f>
        <v>0</v>
      </c>
      <c r="BB19" s="536">
        <f>IFERROR(AW19/BA19,0)</f>
        <v>0</v>
      </c>
      <c r="BC19" s="461"/>
      <c r="BD19" s="461"/>
      <c r="BE19" s="152">
        <f>AK19+AQ19+AW19+BC19</f>
        <v>25.259999999999998</v>
      </c>
      <c r="BF19" s="152">
        <f>AL19+AR19+AX19+BD19</f>
        <v>0</v>
      </c>
      <c r="BG19" s="160">
        <v>23</v>
      </c>
      <c r="BL19" s="92"/>
    </row>
    <row r="20" spans="1:64" ht="24" customHeight="1" x14ac:dyDescent="0.35">
      <c r="A20" s="1005"/>
      <c r="B20" s="1004"/>
      <c r="C20" s="1002"/>
      <c r="D20" s="83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 s="529"/>
      <c r="T20" s="529"/>
      <c r="U20" s="529"/>
      <c r="V20" s="529"/>
      <c r="W20" s="529"/>
      <c r="X20" s="529"/>
      <c r="Y20" s="529">
        <v>11</v>
      </c>
      <c r="Z20" s="529"/>
      <c r="AA20" s="529"/>
      <c r="AB20" s="529"/>
      <c r="AC20" s="529"/>
      <c r="AD20" s="529"/>
      <c r="AE20" s="529"/>
      <c r="AF20" s="529"/>
      <c r="AG20" s="529"/>
      <c r="AH20" s="529"/>
      <c r="AI20" s="529"/>
      <c r="AJ20" s="129"/>
      <c r="AK20" s="1012"/>
      <c r="AL20" s="1012"/>
      <c r="AM20" s="696"/>
      <c r="AN20" s="696"/>
      <c r="AO20" s="694"/>
      <c r="AP20" s="538"/>
      <c r="AQ20" s="1014"/>
      <c r="AR20" s="1014"/>
      <c r="AS20" s="705"/>
      <c r="AT20" s="705"/>
      <c r="AU20" s="705"/>
      <c r="AV20" s="537"/>
      <c r="AW20" s="1022"/>
      <c r="AX20" s="464"/>
      <c r="AY20" s="464"/>
      <c r="AZ20" s="464"/>
      <c r="BA20" s="464"/>
      <c r="BB20" s="537"/>
      <c r="BC20" s="462"/>
      <c r="BD20" s="462"/>
      <c r="BE20" s="153"/>
      <c r="BF20" s="153"/>
      <c r="BG20" s="161"/>
      <c r="BL20" s="92"/>
    </row>
    <row r="21" spans="1:64" ht="24" customHeight="1" x14ac:dyDescent="0.35">
      <c r="A21" s="1005"/>
      <c r="B21" s="1004">
        <v>2012</v>
      </c>
      <c r="C21" s="1001">
        <v>24</v>
      </c>
      <c r="D21" s="94">
        <v>44.7</v>
      </c>
      <c r="E21" s="528">
        <v>5</v>
      </c>
      <c r="F21" s="528">
        <v>6</v>
      </c>
      <c r="G21" s="528">
        <v>7</v>
      </c>
      <c r="H21" s="528">
        <v>8</v>
      </c>
      <c r="I21" s="528">
        <v>9</v>
      </c>
      <c r="J21" s="528">
        <v>10</v>
      </c>
      <c r="K21" s="528">
        <v>11</v>
      </c>
      <c r="L21" s="528">
        <v>12</v>
      </c>
      <c r="M21" s="528">
        <v>13</v>
      </c>
      <c r="N21" s="528">
        <v>14</v>
      </c>
      <c r="O21" s="528">
        <v>15</v>
      </c>
      <c r="P21" s="528">
        <v>16</v>
      </c>
      <c r="Q21" s="528">
        <v>17</v>
      </c>
      <c r="R21" s="528">
        <v>18</v>
      </c>
      <c r="S21" s="528">
        <v>19</v>
      </c>
      <c r="T21" s="528">
        <v>20</v>
      </c>
      <c r="U21" s="85">
        <v>1</v>
      </c>
      <c r="V21" s="85">
        <v>2</v>
      </c>
      <c r="W21" s="528">
        <v>3</v>
      </c>
      <c r="X21" s="85">
        <v>4</v>
      </c>
      <c r="Y21" s="528">
        <v>5</v>
      </c>
      <c r="Z21" s="528">
        <v>6</v>
      </c>
      <c r="AA21" s="528">
        <v>7</v>
      </c>
      <c r="AB21" s="528">
        <v>8</v>
      </c>
      <c r="AC21" s="528">
        <v>9</v>
      </c>
      <c r="AD21" s="528">
        <v>10</v>
      </c>
      <c r="AE21" s="528">
        <v>11</v>
      </c>
      <c r="AF21" s="528">
        <v>12</v>
      </c>
      <c r="AG21" s="528">
        <v>13</v>
      </c>
      <c r="AH21" s="528">
        <v>14</v>
      </c>
      <c r="AI21" s="528">
        <v>15</v>
      </c>
      <c r="AJ21" s="131">
        <f>SUM(D22:AI22)</f>
        <v>36</v>
      </c>
      <c r="AK21" s="1011">
        <f>9.59+21.75+13.51+5.06</f>
        <v>49.910000000000004</v>
      </c>
      <c r="AL21" s="1011"/>
      <c r="AM21" s="697"/>
      <c r="AN21" s="697">
        <v>3</v>
      </c>
      <c r="AO21" s="694" t="str">
        <f t="shared" si="0"/>
        <v>0</v>
      </c>
      <c r="AP21" s="538">
        <f>IFERROR(AK21/AO21,0)</f>
        <v>0</v>
      </c>
      <c r="AQ21" s="1013"/>
      <c r="AR21" s="1013"/>
      <c r="AS21" s="704"/>
      <c r="AT21" s="704"/>
      <c r="AU21" s="704"/>
      <c r="AV21" s="536">
        <f>IFERROR(AQ21/AU21,0)</f>
        <v>0</v>
      </c>
      <c r="AW21" s="1021"/>
      <c r="AX21" s="463"/>
      <c r="AY21" s="463"/>
      <c r="AZ21" s="463"/>
      <c r="BA21" s="463" t="str">
        <f>IF(COUNT(AY21,AZ21)&lt;2, "0", AZ21 - AY21 )</f>
        <v>0</v>
      </c>
      <c r="BB21" s="536">
        <f>IFERROR(AW21/BA21,0)</f>
        <v>0</v>
      </c>
      <c r="BC21" s="461"/>
      <c r="BD21" s="461"/>
      <c r="BE21" s="152">
        <f>AK21+AQ21+AW21+BC21</f>
        <v>49.910000000000004</v>
      </c>
      <c r="BF21" s="152">
        <f>AL21+AR21+AX21+BD21</f>
        <v>0</v>
      </c>
      <c r="BG21" s="160">
        <v>24</v>
      </c>
      <c r="BL21" s="92"/>
    </row>
    <row r="22" spans="1:64" ht="24" customHeight="1" x14ac:dyDescent="0.35">
      <c r="A22" s="1006"/>
      <c r="B22" s="1002"/>
      <c r="C22" s="1002"/>
      <c r="D22" s="83"/>
      <c r="E22" s="529"/>
      <c r="F22" s="529"/>
      <c r="G22" s="529"/>
      <c r="H22" s="529"/>
      <c r="I22" s="529"/>
      <c r="J22" s="529"/>
      <c r="K22" s="529"/>
      <c r="L22" s="529"/>
      <c r="M22" s="529"/>
      <c r="N22" s="529"/>
      <c r="O22" s="529"/>
      <c r="P22" s="529"/>
      <c r="Q22" s="529"/>
      <c r="R22" s="529"/>
      <c r="S22" s="529"/>
      <c r="T22" s="529"/>
      <c r="U22" s="529">
        <v>12</v>
      </c>
      <c r="V22" s="529">
        <v>12</v>
      </c>
      <c r="W22" s="529"/>
      <c r="X22" s="529">
        <v>12</v>
      </c>
      <c r="Y22" s="529"/>
      <c r="Z22" s="529"/>
      <c r="AA22" s="529"/>
      <c r="AB22" s="529"/>
      <c r="AC22" s="529"/>
      <c r="AD22" s="529"/>
      <c r="AE22" s="529"/>
      <c r="AF22" s="529"/>
      <c r="AG22" s="529"/>
      <c r="AH22" s="529"/>
      <c r="AI22" s="529"/>
      <c r="AJ22" s="132"/>
      <c r="AK22" s="1012"/>
      <c r="AL22" s="1012"/>
      <c r="AM22" s="696"/>
      <c r="AN22" s="696"/>
      <c r="AO22" s="694"/>
      <c r="AP22" s="538"/>
      <c r="AQ22" s="1014"/>
      <c r="AR22" s="1014"/>
      <c r="AS22" s="705"/>
      <c r="AT22" s="705"/>
      <c r="AU22" s="705"/>
      <c r="AV22" s="537"/>
      <c r="AW22" s="1022"/>
      <c r="AX22" s="464"/>
      <c r="AY22" s="464"/>
      <c r="AZ22" s="464"/>
      <c r="BA22" s="464"/>
      <c r="BB22" s="537"/>
      <c r="BC22" s="462"/>
      <c r="BD22" s="462"/>
      <c r="BE22" s="153"/>
      <c r="BF22" s="153"/>
      <c r="BG22" s="161"/>
      <c r="BL22" s="92"/>
    </row>
    <row r="23" spans="1:64" ht="24" customHeight="1" x14ac:dyDescent="0.35">
      <c r="A23" s="1007" t="s">
        <v>64</v>
      </c>
      <c r="B23" s="1001">
        <v>2011</v>
      </c>
      <c r="C23" s="1001">
        <v>15</v>
      </c>
      <c r="D23" s="79">
        <v>49.3</v>
      </c>
      <c r="E23" s="528">
        <v>22</v>
      </c>
      <c r="F23" s="528">
        <v>23</v>
      </c>
      <c r="G23" s="528">
        <v>24</v>
      </c>
      <c r="H23" s="85">
        <v>1</v>
      </c>
      <c r="I23" s="85">
        <v>2</v>
      </c>
      <c r="J23" s="85">
        <v>3</v>
      </c>
      <c r="K23" s="528">
        <v>4</v>
      </c>
      <c r="L23" s="528">
        <v>5</v>
      </c>
      <c r="M23" s="528">
        <v>6</v>
      </c>
      <c r="N23" s="528">
        <v>7</v>
      </c>
      <c r="O23" s="528">
        <v>8</v>
      </c>
      <c r="P23" s="528">
        <v>9</v>
      </c>
      <c r="Q23" s="528">
        <v>10</v>
      </c>
      <c r="R23" s="528">
        <v>11</v>
      </c>
      <c r="S23" s="528">
        <v>12</v>
      </c>
      <c r="T23" s="528">
        <v>13</v>
      </c>
      <c r="U23" s="528">
        <v>14</v>
      </c>
      <c r="V23" s="528">
        <v>15</v>
      </c>
      <c r="W23" s="528">
        <v>16</v>
      </c>
      <c r="X23" s="528">
        <v>17</v>
      </c>
      <c r="Y23" s="528">
        <v>18</v>
      </c>
      <c r="Z23" s="528">
        <v>19</v>
      </c>
      <c r="AA23" s="528">
        <v>20</v>
      </c>
      <c r="AB23" s="528">
        <v>21</v>
      </c>
      <c r="AC23" s="86">
        <v>1</v>
      </c>
      <c r="AD23" s="86">
        <v>2</v>
      </c>
      <c r="AE23" s="528">
        <v>3</v>
      </c>
      <c r="AF23" s="528">
        <v>4</v>
      </c>
      <c r="AG23" s="528">
        <v>5</v>
      </c>
      <c r="AH23" s="528">
        <v>6</v>
      </c>
      <c r="AI23" s="528">
        <v>7</v>
      </c>
      <c r="AJ23" s="128">
        <f>SUM(D24:AI24)</f>
        <v>60</v>
      </c>
      <c r="AK23" s="1011">
        <f>4.01+34.01+32.88</f>
        <v>70.900000000000006</v>
      </c>
      <c r="AL23" s="1011"/>
      <c r="AM23" s="697"/>
      <c r="AN23" s="697">
        <v>2</v>
      </c>
      <c r="AO23" s="694" t="str">
        <f t="shared" si="0"/>
        <v>0</v>
      </c>
      <c r="AP23" s="538">
        <f>IFERROR(AK23/AO23,0)</f>
        <v>0</v>
      </c>
      <c r="AQ23" s="1013">
        <f>7.59+45.57</f>
        <v>53.16</v>
      </c>
      <c r="AR23" s="1013"/>
      <c r="AS23" s="704"/>
      <c r="AT23" s="704"/>
      <c r="AU23" s="704"/>
      <c r="AV23" s="536">
        <f>IFERROR(AQ23/AU23,0)</f>
        <v>0</v>
      </c>
      <c r="AW23" s="1021"/>
      <c r="AX23" s="463"/>
      <c r="AY23" s="463"/>
      <c r="AZ23" s="463"/>
      <c r="BA23" s="463" t="str">
        <f>IF(COUNT(AY23,AZ23)&lt;2, "0", AZ23 - AY23 )</f>
        <v>0</v>
      </c>
      <c r="BB23" s="536">
        <f>IFERROR(AW23/BA23,0)</f>
        <v>0</v>
      </c>
      <c r="BC23" s="461"/>
      <c r="BD23" s="461"/>
      <c r="BE23" s="152">
        <f>AK23+AQ23+AW23+BC23</f>
        <v>124.06</v>
      </c>
      <c r="BF23" s="152">
        <f>AL23+AR23+AX23+BD23</f>
        <v>0</v>
      </c>
      <c r="BG23" s="158">
        <v>15</v>
      </c>
      <c r="BL23" s="92"/>
    </row>
    <row r="24" spans="1:64" ht="24" customHeight="1" x14ac:dyDescent="0.35">
      <c r="A24" s="1005"/>
      <c r="B24" s="1004"/>
      <c r="C24" s="1002"/>
      <c r="D24" s="83"/>
      <c r="E24" s="529"/>
      <c r="F24" s="529"/>
      <c r="G24" s="529"/>
      <c r="H24" s="529">
        <v>7</v>
      </c>
      <c r="I24" s="529">
        <v>13</v>
      </c>
      <c r="J24" s="529">
        <v>15</v>
      </c>
      <c r="K24" s="529"/>
      <c r="L24" s="529"/>
      <c r="M24" s="529"/>
      <c r="N24" s="529"/>
      <c r="O24" s="529"/>
      <c r="P24" s="529"/>
      <c r="Q24" s="529"/>
      <c r="R24" s="529"/>
      <c r="S24" s="529"/>
      <c r="T24" s="529"/>
      <c r="U24" s="529"/>
      <c r="V24" s="529"/>
      <c r="W24" s="529"/>
      <c r="X24" s="529"/>
      <c r="Y24" s="529"/>
      <c r="Z24" s="529"/>
      <c r="AA24" s="529"/>
      <c r="AB24" s="529"/>
      <c r="AC24" s="529">
        <v>11</v>
      </c>
      <c r="AD24" s="529">
        <v>14</v>
      </c>
      <c r="AE24" s="529"/>
      <c r="AF24" s="529"/>
      <c r="AG24" s="529"/>
      <c r="AH24" s="529"/>
      <c r="AI24" s="529"/>
      <c r="AJ24" s="129"/>
      <c r="AK24" s="1012"/>
      <c r="AL24" s="1012"/>
      <c r="AM24" s="696"/>
      <c r="AN24" s="696"/>
      <c r="AO24" s="694"/>
      <c r="AP24" s="538"/>
      <c r="AQ24" s="1014"/>
      <c r="AR24" s="1014"/>
      <c r="AS24" s="705"/>
      <c r="AT24" s="705"/>
      <c r="AU24" s="705"/>
      <c r="AV24" s="537"/>
      <c r="AW24" s="1022"/>
      <c r="AX24" s="464"/>
      <c r="AY24" s="464"/>
      <c r="AZ24" s="464"/>
      <c r="BA24" s="464"/>
      <c r="BB24" s="537"/>
      <c r="BC24" s="462"/>
      <c r="BD24" s="462"/>
      <c r="BE24" s="153"/>
      <c r="BF24" s="153"/>
      <c r="BG24" s="159"/>
      <c r="BL24" s="92"/>
    </row>
    <row r="25" spans="1:64" ht="24" customHeight="1" x14ac:dyDescent="0.35">
      <c r="A25" s="1005"/>
      <c r="B25" s="1004">
        <v>2011</v>
      </c>
      <c r="C25" s="1001">
        <v>16</v>
      </c>
      <c r="D25" s="79">
        <v>50.4</v>
      </c>
      <c r="E25" s="528">
        <v>3</v>
      </c>
      <c r="F25" s="85">
        <v>4</v>
      </c>
      <c r="G25" s="85">
        <v>5</v>
      </c>
      <c r="H25" s="85">
        <v>6</v>
      </c>
      <c r="I25" s="528">
        <v>7</v>
      </c>
      <c r="J25" s="528">
        <v>8</v>
      </c>
      <c r="K25" s="528">
        <v>9</v>
      </c>
      <c r="L25" s="528">
        <v>10</v>
      </c>
      <c r="M25" s="528">
        <v>11</v>
      </c>
      <c r="N25" s="528">
        <v>12</v>
      </c>
      <c r="O25" s="528">
        <v>13</v>
      </c>
      <c r="P25" s="528">
        <v>14</v>
      </c>
      <c r="Q25" s="528">
        <v>15</v>
      </c>
      <c r="R25" s="528">
        <v>16</v>
      </c>
      <c r="S25" s="528">
        <v>17</v>
      </c>
      <c r="T25" s="528">
        <v>18</v>
      </c>
      <c r="U25" s="528">
        <v>19</v>
      </c>
      <c r="V25" s="528">
        <v>20</v>
      </c>
      <c r="W25" s="528">
        <v>21</v>
      </c>
      <c r="X25" s="528">
        <v>22</v>
      </c>
      <c r="Y25" s="528">
        <v>23</v>
      </c>
      <c r="Z25" s="86">
        <v>1</v>
      </c>
      <c r="AA25" s="86">
        <v>2</v>
      </c>
      <c r="AB25" s="86">
        <v>3</v>
      </c>
      <c r="AC25" s="528">
        <v>4</v>
      </c>
      <c r="AD25" s="528">
        <v>5</v>
      </c>
      <c r="AE25" s="528">
        <v>6</v>
      </c>
      <c r="AF25" s="528">
        <v>7</v>
      </c>
      <c r="AG25" s="528">
        <v>8</v>
      </c>
      <c r="AH25" s="528">
        <v>9</v>
      </c>
      <c r="AI25" s="528">
        <v>10</v>
      </c>
      <c r="AJ25" s="128">
        <f>SUM(D26:AI26)</f>
        <v>60</v>
      </c>
      <c r="AK25" s="1011">
        <f>8.65+31.95+12.78</f>
        <v>53.38</v>
      </c>
      <c r="AL25" s="1011"/>
      <c r="AM25" s="697"/>
      <c r="AN25" s="697">
        <v>2</v>
      </c>
      <c r="AO25" s="694" t="str">
        <f t="shared" si="0"/>
        <v>0</v>
      </c>
      <c r="AP25" s="538">
        <f>IFERROR(AK25/AO25,0)</f>
        <v>0</v>
      </c>
      <c r="AQ25" s="1013">
        <f>26.14+28.61+3.53</f>
        <v>58.28</v>
      </c>
      <c r="AR25" s="1013"/>
      <c r="AS25" s="704"/>
      <c r="AT25" s="704"/>
      <c r="AU25" s="704"/>
      <c r="AV25" s="536">
        <f>IFERROR(AQ25/AU25,0)</f>
        <v>0</v>
      </c>
      <c r="AW25" s="1021"/>
      <c r="AX25" s="463"/>
      <c r="AY25" s="463"/>
      <c r="AZ25" s="463"/>
      <c r="BA25" s="463" t="str">
        <f>IF(COUNT(AY25,AZ25)&lt;2, "0", AZ25 - AY25 )</f>
        <v>0</v>
      </c>
      <c r="BB25" s="536">
        <f>IFERROR(AW25/BA25,0)</f>
        <v>0</v>
      </c>
      <c r="BC25" s="461"/>
      <c r="BD25" s="461"/>
      <c r="BE25" s="152">
        <f>AK25+AQ25+AW25+BC25</f>
        <v>111.66</v>
      </c>
      <c r="BF25" s="152">
        <f>AL25+AR25+AX25+BD25</f>
        <v>0</v>
      </c>
      <c r="BG25" s="158">
        <v>16</v>
      </c>
      <c r="BL25" s="92"/>
    </row>
    <row r="26" spans="1:64" ht="24" customHeight="1" x14ac:dyDescent="0.35">
      <c r="A26" s="1005"/>
      <c r="B26" s="1004"/>
      <c r="C26" s="1002"/>
      <c r="D26" s="83"/>
      <c r="E26" s="529"/>
      <c r="F26" s="529">
        <v>9</v>
      </c>
      <c r="G26" s="529">
        <v>12</v>
      </c>
      <c r="H26" s="529">
        <v>7</v>
      </c>
      <c r="I26" s="529"/>
      <c r="J26" s="529"/>
      <c r="K26" s="529"/>
      <c r="L26" s="529"/>
      <c r="M26" s="529"/>
      <c r="N26" s="529"/>
      <c r="O26" s="529"/>
      <c r="P26" s="529"/>
      <c r="Q26" s="529"/>
      <c r="R26" s="529"/>
      <c r="S26" s="529"/>
      <c r="T26" s="529"/>
      <c r="U26" s="529"/>
      <c r="V26" s="529"/>
      <c r="W26" s="529"/>
      <c r="X26" s="529"/>
      <c r="Y26" s="529"/>
      <c r="Z26" s="529">
        <v>6</v>
      </c>
      <c r="AA26" s="529">
        <v>12</v>
      </c>
      <c r="AB26" s="529">
        <v>14</v>
      </c>
      <c r="AC26" s="529"/>
      <c r="AD26" s="529"/>
      <c r="AE26" s="529"/>
      <c r="AF26" s="529"/>
      <c r="AG26" s="529"/>
      <c r="AH26" s="529"/>
      <c r="AI26" s="529"/>
      <c r="AJ26" s="129"/>
      <c r="AK26" s="1012"/>
      <c r="AL26" s="1012"/>
      <c r="AM26" s="696"/>
      <c r="AN26" s="696"/>
      <c r="AO26" s="694"/>
      <c r="AP26" s="538"/>
      <c r="AQ26" s="1014"/>
      <c r="AR26" s="1014"/>
      <c r="AS26" s="705"/>
      <c r="AT26" s="705"/>
      <c r="AU26" s="705"/>
      <c r="AV26" s="537"/>
      <c r="AW26" s="1022"/>
      <c r="AX26" s="464"/>
      <c r="AY26" s="464"/>
      <c r="AZ26" s="464"/>
      <c r="BA26" s="464"/>
      <c r="BB26" s="537"/>
      <c r="BC26" s="462"/>
      <c r="BD26" s="462"/>
      <c r="BE26" s="153"/>
      <c r="BF26" s="153"/>
      <c r="BG26" s="159"/>
      <c r="BL26" s="92"/>
    </row>
    <row r="27" spans="1:64" ht="24" customHeight="1" x14ac:dyDescent="0.35">
      <c r="A27" s="1005"/>
      <c r="B27" s="1004">
        <v>2011</v>
      </c>
      <c r="C27" s="1001">
        <v>17</v>
      </c>
      <c r="D27" s="79">
        <v>45.7</v>
      </c>
      <c r="E27" s="528">
        <v>5</v>
      </c>
      <c r="F27" s="528">
        <v>6</v>
      </c>
      <c r="G27" s="528">
        <v>7</v>
      </c>
      <c r="H27" s="528">
        <v>8</v>
      </c>
      <c r="I27" s="528">
        <v>9</v>
      </c>
      <c r="J27" s="528">
        <v>10</v>
      </c>
      <c r="K27" s="528">
        <v>11</v>
      </c>
      <c r="L27" s="528">
        <v>12</v>
      </c>
      <c r="M27" s="528">
        <v>13</v>
      </c>
      <c r="N27" s="528">
        <v>14</v>
      </c>
      <c r="O27" s="528">
        <v>15</v>
      </c>
      <c r="P27" s="528">
        <v>16</v>
      </c>
      <c r="Q27" s="528">
        <v>17</v>
      </c>
      <c r="R27" s="528">
        <v>18</v>
      </c>
      <c r="S27" s="528">
        <v>19</v>
      </c>
      <c r="T27" s="528">
        <v>20</v>
      </c>
      <c r="U27" s="528">
        <v>21</v>
      </c>
      <c r="V27" s="528">
        <v>22</v>
      </c>
      <c r="W27" s="528">
        <v>23</v>
      </c>
      <c r="X27" s="528">
        <v>24</v>
      </c>
      <c r="Y27" s="85">
        <v>1</v>
      </c>
      <c r="Z27" s="85">
        <v>2</v>
      </c>
      <c r="AA27" s="528">
        <v>3</v>
      </c>
      <c r="AB27" s="528">
        <v>4</v>
      </c>
      <c r="AC27" s="528">
        <v>5</v>
      </c>
      <c r="AD27" s="528">
        <v>6</v>
      </c>
      <c r="AE27" s="528">
        <v>7</v>
      </c>
      <c r="AF27" s="528">
        <v>8</v>
      </c>
      <c r="AG27" s="528">
        <v>9</v>
      </c>
      <c r="AH27" s="528">
        <v>10</v>
      </c>
      <c r="AI27" s="528">
        <v>11</v>
      </c>
      <c r="AJ27" s="128">
        <f>SUM(D28:AI28)</f>
        <v>26</v>
      </c>
      <c r="AK27" s="1011">
        <f>12.56+30.61</f>
        <v>43.17</v>
      </c>
      <c r="AL27" s="1011"/>
      <c r="AM27" s="697"/>
      <c r="AN27" s="697">
        <v>3</v>
      </c>
      <c r="AO27" s="694" t="str">
        <f t="shared" si="0"/>
        <v>0</v>
      </c>
      <c r="AP27" s="538">
        <f>IFERROR(AK27/AO27,0)</f>
        <v>0</v>
      </c>
      <c r="AQ27" s="1013"/>
      <c r="AR27" s="1013"/>
      <c r="AS27" s="704"/>
      <c r="AT27" s="704"/>
      <c r="AU27" s="704"/>
      <c r="AV27" s="536">
        <f>IFERROR(AQ27/AU27,0)</f>
        <v>0</v>
      </c>
      <c r="AW27" s="1021"/>
      <c r="AX27" s="463"/>
      <c r="AY27" s="463"/>
      <c r="AZ27" s="463"/>
      <c r="BA27" s="463" t="str">
        <f>IF(COUNT(AY27,AZ27)&lt;2, "0", AZ27 - AY27 )</f>
        <v>0</v>
      </c>
      <c r="BB27" s="536">
        <f>IFERROR(AW27/BA27,0)</f>
        <v>0</v>
      </c>
      <c r="BC27" s="461"/>
      <c r="BD27" s="461"/>
      <c r="BE27" s="152">
        <f>AK27+AQ27+AW27+BC27</f>
        <v>43.17</v>
      </c>
      <c r="BF27" s="152">
        <f>AL27+AR27+AX27+BD27</f>
        <v>0</v>
      </c>
      <c r="BG27" s="158">
        <v>17</v>
      </c>
      <c r="BL27" s="92"/>
    </row>
    <row r="28" spans="1:64" ht="24" customHeight="1" x14ac:dyDescent="0.35">
      <c r="A28" s="1005"/>
      <c r="B28" s="1004"/>
      <c r="C28" s="1002"/>
      <c r="D28" s="83"/>
      <c r="E28" s="529"/>
      <c r="F28" s="529"/>
      <c r="G28" s="529"/>
      <c r="H28" s="529"/>
      <c r="I28" s="529"/>
      <c r="J28" s="529"/>
      <c r="K28" s="529"/>
      <c r="L28" s="529"/>
      <c r="M28" s="529"/>
      <c r="N28" s="529"/>
      <c r="O28" s="529"/>
      <c r="P28" s="529"/>
      <c r="Q28" s="529"/>
      <c r="R28" s="529"/>
      <c r="S28" s="529"/>
      <c r="T28" s="529"/>
      <c r="U28" s="529"/>
      <c r="V28" s="529"/>
      <c r="W28" s="529"/>
      <c r="X28" s="529"/>
      <c r="Y28" s="529">
        <v>14</v>
      </c>
      <c r="Z28" s="529">
        <v>12</v>
      </c>
      <c r="AA28" s="529"/>
      <c r="AB28" s="529"/>
      <c r="AC28" s="529"/>
      <c r="AD28" s="529"/>
      <c r="AE28" s="529"/>
      <c r="AF28" s="529"/>
      <c r="AG28" s="529"/>
      <c r="AH28" s="529"/>
      <c r="AI28" s="529"/>
      <c r="AJ28" s="129"/>
      <c r="AK28" s="1012"/>
      <c r="AL28" s="1012"/>
      <c r="AM28" s="696"/>
      <c r="AN28" s="696"/>
      <c r="AO28" s="694"/>
      <c r="AP28" s="538"/>
      <c r="AQ28" s="1014"/>
      <c r="AR28" s="1014"/>
      <c r="AS28" s="705"/>
      <c r="AT28" s="705"/>
      <c r="AU28" s="705"/>
      <c r="AV28" s="537"/>
      <c r="AW28" s="1022"/>
      <c r="AX28" s="464"/>
      <c r="AY28" s="464"/>
      <c r="AZ28" s="464"/>
      <c r="BA28" s="464"/>
      <c r="BB28" s="537"/>
      <c r="BC28" s="462"/>
      <c r="BD28" s="462"/>
      <c r="BE28" s="153"/>
      <c r="BF28" s="153"/>
      <c r="BG28" s="159"/>
      <c r="BL28" s="92"/>
    </row>
    <row r="29" spans="1:64" ht="24" customHeight="1" x14ac:dyDescent="0.35">
      <c r="A29" s="1005"/>
      <c r="B29" s="1004">
        <v>2012</v>
      </c>
      <c r="C29" s="1001">
        <v>19</v>
      </c>
      <c r="D29" s="79">
        <v>50.6</v>
      </c>
      <c r="E29" s="528">
        <v>18</v>
      </c>
      <c r="F29" s="528">
        <v>19</v>
      </c>
      <c r="G29" s="528">
        <v>20</v>
      </c>
      <c r="H29" s="528">
        <v>21</v>
      </c>
      <c r="I29" s="528">
        <v>22</v>
      </c>
      <c r="J29" s="528">
        <v>23</v>
      </c>
      <c r="K29" s="528">
        <v>24</v>
      </c>
      <c r="L29" s="85">
        <v>1</v>
      </c>
      <c r="M29" s="85">
        <v>2</v>
      </c>
      <c r="N29" s="85">
        <v>3</v>
      </c>
      <c r="O29" s="528">
        <v>4</v>
      </c>
      <c r="P29" s="528">
        <v>5</v>
      </c>
      <c r="Q29" s="528">
        <v>6</v>
      </c>
      <c r="R29" s="528">
        <v>7</v>
      </c>
      <c r="S29" s="528">
        <v>8</v>
      </c>
      <c r="T29" s="528">
        <v>9</v>
      </c>
      <c r="U29" s="528">
        <v>10</v>
      </c>
      <c r="V29" s="528">
        <v>11</v>
      </c>
      <c r="W29" s="528">
        <v>12</v>
      </c>
      <c r="X29" s="528">
        <v>13</v>
      </c>
      <c r="Y29" s="528">
        <v>14</v>
      </c>
      <c r="Z29" s="528">
        <v>15</v>
      </c>
      <c r="AA29" s="528">
        <v>16</v>
      </c>
      <c r="AB29" s="528">
        <v>17</v>
      </c>
      <c r="AC29" s="528">
        <v>18</v>
      </c>
      <c r="AD29" s="528">
        <v>19</v>
      </c>
      <c r="AE29" s="86">
        <v>1</v>
      </c>
      <c r="AF29" s="86">
        <v>2</v>
      </c>
      <c r="AG29" s="528">
        <v>3</v>
      </c>
      <c r="AH29" s="528">
        <v>4</v>
      </c>
      <c r="AI29" s="528">
        <v>5</v>
      </c>
      <c r="AJ29" s="128">
        <f>SUM(D30:AI30)</f>
        <v>52</v>
      </c>
      <c r="AK29" s="1011">
        <f>16.54+23.51+16.17</f>
        <v>56.22</v>
      </c>
      <c r="AL29" s="1011"/>
      <c r="AM29" s="697"/>
      <c r="AN29" s="697">
        <v>3</v>
      </c>
      <c r="AO29" s="694" t="str">
        <f t="shared" si="0"/>
        <v>0</v>
      </c>
      <c r="AP29" s="538">
        <f>IFERROR(AK29/AO29,0)</f>
        <v>0</v>
      </c>
      <c r="AQ29" s="1013">
        <f>22.55+11.2</f>
        <v>33.75</v>
      </c>
      <c r="AR29" s="1013"/>
      <c r="AS29" s="704"/>
      <c r="AT29" s="704"/>
      <c r="AU29" s="704"/>
      <c r="AV29" s="536">
        <f>IFERROR(AQ29/AU29,0)</f>
        <v>0</v>
      </c>
      <c r="AW29" s="1021"/>
      <c r="AX29" s="463"/>
      <c r="AY29" s="463"/>
      <c r="AZ29" s="463"/>
      <c r="BA29" s="463" t="str">
        <f>IF(COUNT(AY29,AZ29)&lt;2, "0", AZ29 - AY29 )</f>
        <v>0</v>
      </c>
      <c r="BB29" s="536">
        <f>IFERROR(AW29/BA29,0)</f>
        <v>0</v>
      </c>
      <c r="BC29" s="461"/>
      <c r="BD29" s="461"/>
      <c r="BE29" s="152">
        <f>AK29+AQ29+AW29+BC29</f>
        <v>89.97</v>
      </c>
      <c r="BF29" s="152">
        <f>AL29+AR29+AX29+BD29</f>
        <v>0</v>
      </c>
      <c r="BG29" s="158">
        <v>19</v>
      </c>
      <c r="BL29" s="92"/>
    </row>
    <row r="30" spans="1:64" ht="24" customHeight="1" x14ac:dyDescent="0.35">
      <c r="A30" s="1005"/>
      <c r="B30" s="1004"/>
      <c r="C30" s="1002"/>
      <c r="D30" s="83"/>
      <c r="E30" s="529"/>
      <c r="F30" s="529"/>
      <c r="G30" s="529"/>
      <c r="H30" s="529"/>
      <c r="I30" s="529"/>
      <c r="J30" s="529"/>
      <c r="K30" s="529"/>
      <c r="L30" s="529">
        <v>15</v>
      </c>
      <c r="M30" s="529">
        <v>13</v>
      </c>
      <c r="N30" s="529">
        <v>5</v>
      </c>
      <c r="O30" s="529"/>
      <c r="P30" s="529"/>
      <c r="Q30" s="529"/>
      <c r="R30" s="529"/>
      <c r="S30" s="529"/>
      <c r="T30" s="529"/>
      <c r="U30" s="529"/>
      <c r="V30" s="529"/>
      <c r="W30" s="529"/>
      <c r="X30" s="529"/>
      <c r="Y30" s="529"/>
      <c r="Z30" s="529"/>
      <c r="AA30" s="529"/>
      <c r="AB30" s="529"/>
      <c r="AC30" s="529"/>
      <c r="AD30" s="529"/>
      <c r="AE30" s="529">
        <v>13</v>
      </c>
      <c r="AF30" s="529">
        <v>6</v>
      </c>
      <c r="AG30" s="529"/>
      <c r="AH30" s="528"/>
      <c r="AI30" s="529"/>
      <c r="AJ30" s="129"/>
      <c r="AK30" s="1012"/>
      <c r="AL30" s="1012"/>
      <c r="AM30" s="696"/>
      <c r="AN30" s="696"/>
      <c r="AO30" s="694"/>
      <c r="AP30" s="538"/>
      <c r="AQ30" s="1014"/>
      <c r="AR30" s="1014"/>
      <c r="AS30" s="705"/>
      <c r="AT30" s="705"/>
      <c r="AU30" s="705"/>
      <c r="AV30" s="537"/>
      <c r="AW30" s="1022"/>
      <c r="AX30" s="464"/>
      <c r="AY30" s="464"/>
      <c r="AZ30" s="464"/>
      <c r="BA30" s="464"/>
      <c r="BB30" s="537"/>
      <c r="BC30" s="462"/>
      <c r="BD30" s="462"/>
      <c r="BE30" s="153"/>
      <c r="BF30" s="153"/>
      <c r="BG30" s="159"/>
      <c r="BL30" s="92"/>
    </row>
    <row r="31" spans="1:64" x14ac:dyDescent="0.35">
      <c r="A31" s="1005"/>
      <c r="B31" s="1004">
        <v>2012</v>
      </c>
      <c r="C31" s="1001">
        <v>20</v>
      </c>
      <c r="D31" s="79">
        <v>62.1</v>
      </c>
      <c r="E31" s="528">
        <v>15</v>
      </c>
      <c r="F31" s="528">
        <v>16</v>
      </c>
      <c r="G31" s="528">
        <v>17</v>
      </c>
      <c r="H31" s="528">
        <v>18</v>
      </c>
      <c r="I31" s="528">
        <v>19</v>
      </c>
      <c r="J31" s="528">
        <v>20</v>
      </c>
      <c r="K31" s="528">
        <v>21</v>
      </c>
      <c r="L31" s="528">
        <v>22</v>
      </c>
      <c r="M31" s="528">
        <v>23</v>
      </c>
      <c r="N31" s="85">
        <v>1</v>
      </c>
      <c r="O31" s="85">
        <v>2</v>
      </c>
      <c r="P31" s="85">
        <v>3</v>
      </c>
      <c r="Q31" s="528">
        <v>4</v>
      </c>
      <c r="R31" s="85">
        <v>5</v>
      </c>
      <c r="S31" s="85">
        <v>6</v>
      </c>
      <c r="T31" s="528">
        <v>7</v>
      </c>
      <c r="U31" s="528">
        <v>8</v>
      </c>
      <c r="V31" s="528">
        <v>9</v>
      </c>
      <c r="W31" s="528">
        <v>10</v>
      </c>
      <c r="X31" s="528">
        <v>11</v>
      </c>
      <c r="Y31" s="528">
        <v>12</v>
      </c>
      <c r="Z31" s="528">
        <v>13</v>
      </c>
      <c r="AA31" s="528">
        <v>14</v>
      </c>
      <c r="AB31" s="528">
        <v>15</v>
      </c>
      <c r="AC31" s="528">
        <v>16</v>
      </c>
      <c r="AD31" s="528">
        <v>17</v>
      </c>
      <c r="AE31" s="528">
        <v>18</v>
      </c>
      <c r="AF31" s="86">
        <v>1</v>
      </c>
      <c r="AG31" s="86">
        <v>2</v>
      </c>
      <c r="AH31" s="86">
        <v>3</v>
      </c>
      <c r="AI31" s="528">
        <v>4</v>
      </c>
      <c r="AJ31" s="128">
        <f>SUM(D32:AI32)</f>
        <v>77</v>
      </c>
      <c r="AK31" s="1011">
        <f>8.44+29.3+25.84+20.61</f>
        <v>84.19</v>
      </c>
      <c r="AL31" s="1011"/>
      <c r="AM31" s="697"/>
      <c r="AN31" s="697">
        <v>3</v>
      </c>
      <c r="AO31" s="694" t="str">
        <f t="shared" si="0"/>
        <v>0</v>
      </c>
      <c r="AP31" s="538">
        <f>IFERROR(AK31/AO31,0)</f>
        <v>0</v>
      </c>
      <c r="AQ31" s="1013">
        <f>12.66+16.2+23.61</f>
        <v>52.47</v>
      </c>
      <c r="AR31" s="1013"/>
      <c r="AS31" s="704"/>
      <c r="AT31" s="704"/>
      <c r="AU31" s="704"/>
      <c r="AV31" s="536">
        <f>IFERROR(AQ31/AU31,0)</f>
        <v>0</v>
      </c>
      <c r="AW31" s="1021"/>
      <c r="AX31" s="463"/>
      <c r="AY31" s="463"/>
      <c r="AZ31" s="463"/>
      <c r="BA31" s="463" t="str">
        <f>IF(COUNT(AY31,AZ31)&lt;2, "0", AZ31 - AY31 )</f>
        <v>0</v>
      </c>
      <c r="BB31" s="536">
        <f>IFERROR(AW31/BA31,0)</f>
        <v>0</v>
      </c>
      <c r="BC31" s="461"/>
      <c r="BD31" s="461"/>
      <c r="BE31" s="152">
        <f>AK31+AQ31+AW31+BC31</f>
        <v>136.66</v>
      </c>
      <c r="BF31" s="152">
        <f>AL31+AR31+AX31+BD31</f>
        <v>0</v>
      </c>
      <c r="BG31" s="158">
        <v>20</v>
      </c>
      <c r="BL31" s="92"/>
    </row>
    <row r="32" spans="1:64" ht="24" customHeight="1" x14ac:dyDescent="0.35">
      <c r="A32" s="1005"/>
      <c r="B32" s="1004"/>
      <c r="C32" s="1002"/>
      <c r="D32" s="83"/>
      <c r="E32" s="529"/>
      <c r="F32" s="529"/>
      <c r="G32" s="529"/>
      <c r="H32" s="529"/>
      <c r="I32" s="529"/>
      <c r="J32" s="529"/>
      <c r="K32" s="529"/>
      <c r="L32" s="529"/>
      <c r="M32" s="529"/>
      <c r="N32" s="529">
        <v>9</v>
      </c>
      <c r="O32" s="529">
        <v>13</v>
      </c>
      <c r="P32" s="529">
        <v>13</v>
      </c>
      <c r="Q32" s="529"/>
      <c r="R32" s="529">
        <v>11</v>
      </c>
      <c r="S32" s="529">
        <v>6</v>
      </c>
      <c r="T32" s="529"/>
      <c r="U32" s="529"/>
      <c r="V32" s="529"/>
      <c r="W32" s="529"/>
      <c r="X32" s="529"/>
      <c r="Y32" s="529"/>
      <c r="Z32" s="529"/>
      <c r="AA32" s="529"/>
      <c r="AB32" s="529"/>
      <c r="AC32" s="529"/>
      <c r="AD32" s="529"/>
      <c r="AE32" s="529"/>
      <c r="AF32" s="529">
        <v>6</v>
      </c>
      <c r="AG32" s="529">
        <v>12</v>
      </c>
      <c r="AH32" s="529">
        <v>7</v>
      </c>
      <c r="AI32" s="529"/>
      <c r="AJ32" s="129"/>
      <c r="AK32" s="1012"/>
      <c r="AL32" s="1012"/>
      <c r="AM32" s="696"/>
      <c r="AN32" s="696"/>
      <c r="AO32" s="694"/>
      <c r="AP32" s="538"/>
      <c r="AQ32" s="1014"/>
      <c r="AR32" s="1014"/>
      <c r="AS32" s="705"/>
      <c r="AT32" s="705"/>
      <c r="AU32" s="705"/>
      <c r="AV32" s="537"/>
      <c r="AW32" s="1022"/>
      <c r="AX32" s="464"/>
      <c r="AY32" s="464"/>
      <c r="AZ32" s="464"/>
      <c r="BA32" s="464"/>
      <c r="BB32" s="537"/>
      <c r="BC32" s="462"/>
      <c r="BD32" s="462"/>
      <c r="BE32" s="153"/>
      <c r="BF32" s="153"/>
      <c r="BG32" s="159"/>
      <c r="BL32" s="92"/>
    </row>
    <row r="33" spans="1:64" ht="24" customHeight="1" x14ac:dyDescent="0.35">
      <c r="A33" s="1005"/>
      <c r="B33" s="1004">
        <v>2012</v>
      </c>
      <c r="C33" s="1001">
        <v>21</v>
      </c>
      <c r="D33" s="79">
        <v>72.2</v>
      </c>
      <c r="E33" s="528">
        <v>13</v>
      </c>
      <c r="F33" s="528">
        <v>14</v>
      </c>
      <c r="G33" s="528">
        <v>15</v>
      </c>
      <c r="H33" s="528">
        <v>16</v>
      </c>
      <c r="I33" s="528">
        <v>17</v>
      </c>
      <c r="J33" s="528">
        <v>18</v>
      </c>
      <c r="K33" s="528">
        <v>19</v>
      </c>
      <c r="L33" s="528">
        <v>20</v>
      </c>
      <c r="M33" s="528">
        <v>21</v>
      </c>
      <c r="N33" s="528">
        <v>22</v>
      </c>
      <c r="O33" s="528">
        <v>23</v>
      </c>
      <c r="P33" s="528">
        <v>24</v>
      </c>
      <c r="Q33" s="528">
        <v>25</v>
      </c>
      <c r="R33" s="528">
        <v>26</v>
      </c>
      <c r="S33" s="85">
        <v>1</v>
      </c>
      <c r="T33" s="85">
        <v>2</v>
      </c>
      <c r="U33" s="85">
        <v>3</v>
      </c>
      <c r="V33" s="85">
        <v>4</v>
      </c>
      <c r="W33" s="528">
        <v>5</v>
      </c>
      <c r="X33" s="528">
        <v>6</v>
      </c>
      <c r="Y33" s="528">
        <v>7</v>
      </c>
      <c r="Z33" s="528">
        <v>8</v>
      </c>
      <c r="AA33" s="528">
        <v>9</v>
      </c>
      <c r="AB33" s="528">
        <v>10</v>
      </c>
      <c r="AC33" s="528">
        <v>11</v>
      </c>
      <c r="AD33" s="528">
        <v>12</v>
      </c>
      <c r="AE33" s="528">
        <v>13</v>
      </c>
      <c r="AF33" s="528">
        <v>14</v>
      </c>
      <c r="AG33" s="528">
        <v>15</v>
      </c>
      <c r="AH33" s="86">
        <v>1</v>
      </c>
      <c r="AI33" s="86">
        <v>2</v>
      </c>
      <c r="AJ33" s="128">
        <f>SUM(D34:AI34)</f>
        <v>58</v>
      </c>
      <c r="AK33" s="1011">
        <f>21.86+27.37+29.61+22.46</f>
        <v>101.30000000000001</v>
      </c>
      <c r="AL33" s="1011"/>
      <c r="AM33" s="697"/>
      <c r="AN33" s="697">
        <v>5</v>
      </c>
      <c r="AO33" s="694" t="str">
        <f t="shared" si="0"/>
        <v>0</v>
      </c>
      <c r="AP33" s="538">
        <f>IFERROR(AK33/AO33,0)</f>
        <v>0</v>
      </c>
      <c r="AQ33" s="1013">
        <f>8.34+12.56</f>
        <v>20.9</v>
      </c>
      <c r="AR33" s="1013"/>
      <c r="AS33" s="704"/>
      <c r="AT33" s="704"/>
      <c r="AU33" s="704"/>
      <c r="AV33" s="536">
        <f>IFERROR(AQ33/AU33,0)</f>
        <v>0</v>
      </c>
      <c r="AW33" s="1021"/>
      <c r="AX33" s="463"/>
      <c r="AY33" s="463"/>
      <c r="AZ33" s="463"/>
      <c r="BA33" s="463" t="str">
        <f>IF(COUNT(AY33,AZ33)&lt;2, "0", AZ33 - AY33 )</f>
        <v>0</v>
      </c>
      <c r="BB33" s="536">
        <f>IFERROR(AW33/BA33,0)</f>
        <v>0</v>
      </c>
      <c r="BC33" s="461"/>
      <c r="BD33" s="461"/>
      <c r="BE33" s="152">
        <f>AK33+AQ33+AW33+BC33</f>
        <v>122.20000000000002</v>
      </c>
      <c r="BF33" s="152">
        <f>AL33+AR33+AX33+BD33</f>
        <v>0</v>
      </c>
      <c r="BG33" s="158">
        <v>21</v>
      </c>
      <c r="BL33" s="92"/>
    </row>
    <row r="34" spans="1:64" ht="24" customHeight="1" x14ac:dyDescent="0.35">
      <c r="A34" s="1005"/>
      <c r="B34" s="1004"/>
      <c r="C34" s="1002"/>
      <c r="D34" s="83"/>
      <c r="E34" s="529"/>
      <c r="F34" s="529"/>
      <c r="G34" s="529"/>
      <c r="H34" s="529"/>
      <c r="I34" s="529"/>
      <c r="J34" s="529"/>
      <c r="K34" s="529"/>
      <c r="L34" s="529"/>
      <c r="M34" s="529"/>
      <c r="N34" s="529"/>
      <c r="O34" s="529"/>
      <c r="P34" s="529"/>
      <c r="Q34" s="529"/>
      <c r="R34" s="529"/>
      <c r="S34" s="529">
        <v>7</v>
      </c>
      <c r="T34" s="529">
        <v>13</v>
      </c>
      <c r="U34" s="529">
        <v>13</v>
      </c>
      <c r="V34" s="529">
        <v>7</v>
      </c>
      <c r="W34" s="529"/>
      <c r="X34" s="529"/>
      <c r="Y34" s="529"/>
      <c r="Z34" s="529"/>
      <c r="AA34" s="529"/>
      <c r="AB34" s="529"/>
      <c r="AC34" s="529"/>
      <c r="AD34" s="529"/>
      <c r="AE34" s="529"/>
      <c r="AF34" s="529"/>
      <c r="AG34" s="529"/>
      <c r="AH34" s="529">
        <v>7</v>
      </c>
      <c r="AI34" s="529">
        <v>11</v>
      </c>
      <c r="AJ34" s="129"/>
      <c r="AK34" s="1012"/>
      <c r="AL34" s="1012"/>
      <c r="AM34" s="696"/>
      <c r="AN34" s="696"/>
      <c r="AO34" s="694"/>
      <c r="AP34" s="538"/>
      <c r="AQ34" s="1014"/>
      <c r="AR34" s="1014"/>
      <c r="AS34" s="705"/>
      <c r="AT34" s="705"/>
      <c r="AU34" s="705"/>
      <c r="AV34" s="537"/>
      <c r="AW34" s="1022"/>
      <c r="AX34" s="464"/>
      <c r="AY34" s="464"/>
      <c r="AZ34" s="464"/>
      <c r="BA34" s="464"/>
      <c r="BB34" s="537"/>
      <c r="BC34" s="462"/>
      <c r="BD34" s="462"/>
      <c r="BE34" s="153"/>
      <c r="BF34" s="153"/>
      <c r="BG34" s="159"/>
      <c r="BL34" s="92"/>
    </row>
    <row r="35" spans="1:64" ht="24" customHeight="1" x14ac:dyDescent="0.35">
      <c r="A35" s="1005"/>
      <c r="B35" s="1004">
        <v>2012</v>
      </c>
      <c r="C35" s="1001">
        <v>22</v>
      </c>
      <c r="D35" s="79">
        <v>52.3</v>
      </c>
      <c r="E35" s="528">
        <v>7</v>
      </c>
      <c r="F35" s="528">
        <v>8</v>
      </c>
      <c r="G35" s="528">
        <v>9</v>
      </c>
      <c r="H35" s="528">
        <v>10</v>
      </c>
      <c r="I35" s="528">
        <v>11</v>
      </c>
      <c r="J35" s="528">
        <v>12</v>
      </c>
      <c r="K35" s="528">
        <v>13</v>
      </c>
      <c r="L35" s="528">
        <v>14</v>
      </c>
      <c r="M35" s="528">
        <v>15</v>
      </c>
      <c r="N35" s="528">
        <v>16</v>
      </c>
      <c r="O35" s="528">
        <v>17</v>
      </c>
      <c r="P35" s="528">
        <v>18</v>
      </c>
      <c r="Q35" s="528">
        <v>19</v>
      </c>
      <c r="R35" s="528">
        <v>20</v>
      </c>
      <c r="S35" s="528">
        <v>21</v>
      </c>
      <c r="T35" s="528">
        <v>22</v>
      </c>
      <c r="U35" s="528">
        <v>23</v>
      </c>
      <c r="V35" s="85">
        <v>1</v>
      </c>
      <c r="W35" s="85">
        <v>2</v>
      </c>
      <c r="X35" s="85">
        <v>3</v>
      </c>
      <c r="Y35" s="528">
        <v>4</v>
      </c>
      <c r="Z35" s="528">
        <v>5</v>
      </c>
      <c r="AA35" s="528">
        <v>6</v>
      </c>
      <c r="AB35" s="528">
        <v>7</v>
      </c>
      <c r="AC35" s="528">
        <v>8</v>
      </c>
      <c r="AD35" s="528">
        <v>9</v>
      </c>
      <c r="AE35" s="528">
        <v>10</v>
      </c>
      <c r="AF35" s="528">
        <v>11</v>
      </c>
      <c r="AG35" s="528">
        <v>12</v>
      </c>
      <c r="AH35" s="528">
        <v>13</v>
      </c>
      <c r="AI35" s="528">
        <v>14</v>
      </c>
      <c r="AJ35" s="131">
        <f>SUM(D36:AI36)</f>
        <v>31</v>
      </c>
      <c r="AK35" s="1011">
        <f>8.55+12.06+40.43+3.41</f>
        <v>64.45</v>
      </c>
      <c r="AL35" s="1011"/>
      <c r="AM35" s="697"/>
      <c r="AN35" s="697">
        <v>3</v>
      </c>
      <c r="AO35" s="694" t="str">
        <f t="shared" si="0"/>
        <v>0</v>
      </c>
      <c r="AP35" s="538">
        <f>IFERROR(AK35/AO35,0)</f>
        <v>0</v>
      </c>
      <c r="AQ35" s="1013"/>
      <c r="AR35" s="1013"/>
      <c r="AS35" s="704"/>
      <c r="AT35" s="704"/>
      <c r="AU35" s="704"/>
      <c r="AV35" s="536">
        <f>IFERROR(AQ35/AU35,0)</f>
        <v>0</v>
      </c>
      <c r="AW35" s="1021"/>
      <c r="AX35" s="463"/>
      <c r="AY35" s="463"/>
      <c r="AZ35" s="463"/>
      <c r="BA35" s="463" t="str">
        <f>IF(COUNT(AY35,AZ35)&lt;2, "0", AZ35 - AY35 )</f>
        <v>0</v>
      </c>
      <c r="BB35" s="536">
        <f>IFERROR(AW35/BA35,0)</f>
        <v>0</v>
      </c>
      <c r="BC35" s="461"/>
      <c r="BD35" s="461"/>
      <c r="BE35" s="152">
        <f>AK35+AQ35+AW35+BC35</f>
        <v>64.45</v>
      </c>
      <c r="BF35" s="152">
        <f>AL35+AR35+AX35+BD35</f>
        <v>0</v>
      </c>
      <c r="BG35" s="158">
        <v>22</v>
      </c>
      <c r="BL35" s="92"/>
    </row>
    <row r="36" spans="1:64" ht="24" customHeight="1" x14ac:dyDescent="0.35">
      <c r="A36" s="1006"/>
      <c r="B36" s="1002"/>
      <c r="C36" s="1002"/>
      <c r="D36" s="83"/>
      <c r="E36" s="529"/>
      <c r="F36" s="529"/>
      <c r="G36" s="529"/>
      <c r="H36" s="529"/>
      <c r="I36" s="529"/>
      <c r="J36" s="529"/>
      <c r="K36" s="529"/>
      <c r="L36" s="529"/>
      <c r="M36" s="529"/>
      <c r="N36" s="529"/>
      <c r="O36" s="529"/>
      <c r="P36" s="529"/>
      <c r="Q36" s="529"/>
      <c r="R36" s="529"/>
      <c r="S36" s="529"/>
      <c r="T36" s="529"/>
      <c r="U36" s="529"/>
      <c r="V36" s="529">
        <v>7</v>
      </c>
      <c r="W36" s="529">
        <v>10</v>
      </c>
      <c r="X36" s="529">
        <v>14</v>
      </c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132"/>
      <c r="AK36" s="1012"/>
      <c r="AL36" s="1012"/>
      <c r="AM36" s="696"/>
      <c r="AN36" s="696"/>
      <c r="AO36" s="694"/>
      <c r="AP36" s="538"/>
      <c r="AQ36" s="1014"/>
      <c r="AR36" s="1014"/>
      <c r="AS36" s="705"/>
      <c r="AT36" s="705"/>
      <c r="AU36" s="705"/>
      <c r="AV36" s="537"/>
      <c r="AW36" s="1022"/>
      <c r="AX36" s="464"/>
      <c r="AY36" s="464"/>
      <c r="AZ36" s="464"/>
      <c r="BA36" s="464"/>
      <c r="BB36" s="537"/>
      <c r="BC36" s="462"/>
      <c r="BD36" s="462"/>
      <c r="BE36" s="153"/>
      <c r="BF36" s="153"/>
      <c r="BG36" s="159"/>
      <c r="BL36" s="92"/>
    </row>
    <row r="37" spans="1:64" ht="24" customHeight="1" x14ac:dyDescent="0.35">
      <c r="A37" s="1007" t="s">
        <v>112</v>
      </c>
      <c r="B37" s="1001">
        <v>2010</v>
      </c>
      <c r="C37" s="1001">
        <v>8</v>
      </c>
      <c r="D37" s="79">
        <v>61.6</v>
      </c>
      <c r="E37" s="528">
        <v>6</v>
      </c>
      <c r="F37" s="528">
        <v>7</v>
      </c>
      <c r="G37" s="528">
        <v>8</v>
      </c>
      <c r="H37" s="528">
        <v>9</v>
      </c>
      <c r="I37" s="528">
        <v>10</v>
      </c>
      <c r="J37" s="528">
        <v>11</v>
      </c>
      <c r="K37" s="528">
        <v>12</v>
      </c>
      <c r="L37" s="528">
        <v>13</v>
      </c>
      <c r="M37" s="528">
        <v>14</v>
      </c>
      <c r="N37" s="528">
        <v>15</v>
      </c>
      <c r="O37" s="85">
        <v>1</v>
      </c>
      <c r="P37" s="85">
        <v>2</v>
      </c>
      <c r="Q37" s="528">
        <v>3</v>
      </c>
      <c r="R37" s="85">
        <v>4</v>
      </c>
      <c r="S37" s="528">
        <v>5</v>
      </c>
      <c r="T37" s="528">
        <v>6</v>
      </c>
      <c r="U37" s="528">
        <v>7</v>
      </c>
      <c r="V37" s="528">
        <v>8</v>
      </c>
      <c r="W37" s="528">
        <v>9</v>
      </c>
      <c r="X37" s="528">
        <v>10</v>
      </c>
      <c r="Y37" s="528">
        <v>11</v>
      </c>
      <c r="Z37" s="528">
        <v>12</v>
      </c>
      <c r="AA37" s="528">
        <v>13</v>
      </c>
      <c r="AB37" s="528">
        <v>14</v>
      </c>
      <c r="AC37" s="528">
        <v>15</v>
      </c>
      <c r="AD37" s="528">
        <v>16</v>
      </c>
      <c r="AE37" s="528">
        <v>17</v>
      </c>
      <c r="AF37" s="528">
        <v>18</v>
      </c>
      <c r="AG37" s="528">
        <v>19</v>
      </c>
      <c r="AH37" s="528">
        <v>20</v>
      </c>
      <c r="AI37" s="86">
        <v>1</v>
      </c>
      <c r="AJ37" s="131">
        <f>SUM(D38:AI38)</f>
        <v>37</v>
      </c>
      <c r="AK37" s="1011">
        <f>18.04+13.34+3.61+16.74+7.58</f>
        <v>59.31</v>
      </c>
      <c r="AL37" s="1011"/>
      <c r="AM37" s="697"/>
      <c r="AN37" s="697">
        <v>4</v>
      </c>
      <c r="AO37" s="694" t="str">
        <f t="shared" si="0"/>
        <v>0</v>
      </c>
      <c r="AP37" s="538">
        <f>IFERROR(AK37/AO37,0)</f>
        <v>0</v>
      </c>
      <c r="AQ37" s="1013">
        <f>7.63</f>
        <v>7.63</v>
      </c>
      <c r="AR37" s="1013"/>
      <c r="AS37" s="704"/>
      <c r="AT37" s="704"/>
      <c r="AU37" s="704"/>
      <c r="AV37" s="536">
        <f>IFERROR(AQ37/AU37,0)</f>
        <v>0</v>
      </c>
      <c r="AW37" s="1021"/>
      <c r="AX37" s="463"/>
      <c r="AY37" s="463"/>
      <c r="AZ37" s="463"/>
      <c r="BA37" s="463" t="str">
        <f>IF(COUNT(AY37,AZ37)&lt;2, "0", AZ37 - AY37 )</f>
        <v>0</v>
      </c>
      <c r="BB37" s="536">
        <f>IFERROR(AW37/BA37,0)</f>
        <v>0</v>
      </c>
      <c r="BC37" s="461"/>
      <c r="BD37" s="461"/>
      <c r="BE37" s="152">
        <f>AK37+AQ37+AW37+BC37</f>
        <v>66.94</v>
      </c>
      <c r="BF37" s="152">
        <f>AL37+AR37+AX37+BD37</f>
        <v>0</v>
      </c>
      <c r="BG37" s="156">
        <v>8</v>
      </c>
      <c r="BL37" s="92"/>
    </row>
    <row r="38" spans="1:64" ht="24" customHeight="1" x14ac:dyDescent="0.35">
      <c r="A38" s="1005"/>
      <c r="B38" s="1004"/>
      <c r="C38" s="1002"/>
      <c r="D38" s="83"/>
      <c r="E38" s="529"/>
      <c r="F38" s="529"/>
      <c r="G38" s="529"/>
      <c r="H38" s="529"/>
      <c r="I38" s="529"/>
      <c r="J38" s="529"/>
      <c r="K38" s="529"/>
      <c r="L38" s="529"/>
      <c r="M38" s="529"/>
      <c r="N38" s="529"/>
      <c r="O38" s="529">
        <v>10</v>
      </c>
      <c r="P38" s="529">
        <v>10</v>
      </c>
      <c r="Q38" s="529"/>
      <c r="R38" s="529">
        <v>10</v>
      </c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529"/>
      <c r="AI38" s="529">
        <v>7</v>
      </c>
      <c r="AJ38" s="132"/>
      <c r="AK38" s="1012"/>
      <c r="AL38" s="1012"/>
      <c r="AM38" s="696"/>
      <c r="AN38" s="696"/>
      <c r="AO38" s="694"/>
      <c r="AP38" s="538"/>
      <c r="AQ38" s="1014"/>
      <c r="AR38" s="1014"/>
      <c r="AS38" s="705"/>
      <c r="AT38" s="705"/>
      <c r="AU38" s="705"/>
      <c r="AV38" s="537"/>
      <c r="AW38" s="1022"/>
      <c r="AX38" s="464"/>
      <c r="AY38" s="464"/>
      <c r="AZ38" s="464"/>
      <c r="BA38" s="464"/>
      <c r="BB38" s="537"/>
      <c r="BC38" s="462"/>
      <c r="BD38" s="462"/>
      <c r="BE38" s="153"/>
      <c r="BF38" s="153"/>
      <c r="BG38" s="157"/>
      <c r="BL38" s="92"/>
    </row>
    <row r="39" spans="1:64" ht="24" customHeight="1" x14ac:dyDescent="0.35">
      <c r="A39" s="1005"/>
      <c r="B39" s="1004">
        <v>2010</v>
      </c>
      <c r="C39" s="1001">
        <v>9</v>
      </c>
      <c r="D39" s="79">
        <v>38.299999999999997</v>
      </c>
      <c r="E39" s="528">
        <v>4</v>
      </c>
      <c r="F39" s="528">
        <v>5</v>
      </c>
      <c r="G39" s="528">
        <v>6</v>
      </c>
      <c r="H39" s="528">
        <v>7</v>
      </c>
      <c r="I39" s="528">
        <v>8</v>
      </c>
      <c r="J39" s="528">
        <v>9</v>
      </c>
      <c r="K39" s="528">
        <v>10</v>
      </c>
      <c r="L39" s="528">
        <v>11</v>
      </c>
      <c r="M39" s="528">
        <v>12</v>
      </c>
      <c r="N39" s="528">
        <v>13</v>
      </c>
      <c r="O39" s="528">
        <v>14</v>
      </c>
      <c r="P39" s="528">
        <v>15</v>
      </c>
      <c r="Q39" s="528">
        <v>16</v>
      </c>
      <c r="R39" s="528">
        <v>17</v>
      </c>
      <c r="S39" s="85">
        <v>1</v>
      </c>
      <c r="T39" s="85">
        <v>2</v>
      </c>
      <c r="U39" s="528">
        <v>3</v>
      </c>
      <c r="V39" s="528">
        <v>4</v>
      </c>
      <c r="W39" s="528">
        <v>5</v>
      </c>
      <c r="X39" s="528">
        <v>6</v>
      </c>
      <c r="Y39" s="528">
        <v>7</v>
      </c>
      <c r="Z39" s="528">
        <v>8</v>
      </c>
      <c r="AA39" s="528">
        <v>9</v>
      </c>
      <c r="AB39" s="528">
        <v>10</v>
      </c>
      <c r="AC39" s="528">
        <v>11</v>
      </c>
      <c r="AD39" s="528">
        <v>12</v>
      </c>
      <c r="AE39" s="528">
        <v>13</v>
      </c>
      <c r="AF39" s="528">
        <v>14</v>
      </c>
      <c r="AG39" s="528">
        <v>15</v>
      </c>
      <c r="AH39" s="528">
        <v>16</v>
      </c>
      <c r="AI39" s="528">
        <v>17</v>
      </c>
      <c r="AJ39" s="131">
        <f>SUM(D40:AI40)</f>
        <v>18</v>
      </c>
      <c r="AK39" s="1011">
        <f>4.15+25.05+3.81</f>
        <v>33.010000000000005</v>
      </c>
      <c r="AL39" s="1011"/>
      <c r="AM39" s="697"/>
      <c r="AN39" s="697">
        <v>2</v>
      </c>
      <c r="AO39" s="694" t="str">
        <f>IF(COUNT(AM39,AN39)&lt;2, "0", AN39 - AM39 + 1)</f>
        <v>0</v>
      </c>
      <c r="AP39" s="538">
        <f>IFERROR(AK39/AO39,0)</f>
        <v>0</v>
      </c>
      <c r="AQ39" s="1013"/>
      <c r="AR39" s="1013"/>
      <c r="AS39" s="706"/>
      <c r="AT39" s="706"/>
      <c r="AU39" s="704"/>
      <c r="AV39" s="707">
        <f>IFERROR(AQ39/AU39,0)</f>
        <v>0</v>
      </c>
      <c r="AW39" s="1021"/>
      <c r="AX39" s="463"/>
      <c r="AY39" s="463"/>
      <c r="AZ39" s="463"/>
      <c r="BA39" s="463" t="str">
        <f>IF(COUNT(AY39,AZ39)&lt;2, "0", AZ39 - AY39 )</f>
        <v>0</v>
      </c>
      <c r="BB39" s="707">
        <f>IFERROR(AW39/BA39,0)</f>
        <v>0</v>
      </c>
      <c r="BC39" s="457"/>
      <c r="BD39" s="461"/>
      <c r="BE39" s="152">
        <f>AK39+AQ39+AW39+BC39</f>
        <v>33.010000000000005</v>
      </c>
      <c r="BF39" s="152">
        <f>AL39+AR39+AX39+BD39</f>
        <v>0</v>
      </c>
      <c r="BG39" s="156">
        <v>9</v>
      </c>
      <c r="BL39" s="92"/>
    </row>
    <row r="40" spans="1:64" ht="24" customHeight="1" x14ac:dyDescent="0.35">
      <c r="A40" s="1005"/>
      <c r="B40" s="1002"/>
      <c r="C40" s="1002"/>
      <c r="D40" s="94"/>
      <c r="E40" s="529"/>
      <c r="F40" s="529"/>
      <c r="G40" s="529"/>
      <c r="H40" s="529"/>
      <c r="I40" s="529"/>
      <c r="J40" s="529"/>
      <c r="K40" s="529"/>
      <c r="L40" s="529"/>
      <c r="M40" s="529"/>
      <c r="N40" s="529"/>
      <c r="O40" s="529"/>
      <c r="P40" s="529"/>
      <c r="Q40" s="529"/>
      <c r="R40" s="529"/>
      <c r="S40" s="529">
        <v>10</v>
      </c>
      <c r="T40" s="529">
        <v>8</v>
      </c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29"/>
      <c r="AF40" s="529"/>
      <c r="AG40" s="529"/>
      <c r="AH40" s="529"/>
      <c r="AI40" s="529"/>
      <c r="AJ40" s="132"/>
      <c r="AK40" s="1012"/>
      <c r="AL40" s="1012"/>
      <c r="AM40" s="696"/>
      <c r="AN40" s="696"/>
      <c r="AO40" s="694"/>
      <c r="AP40" s="538"/>
      <c r="AQ40" s="1014"/>
      <c r="AR40" s="1014"/>
      <c r="AS40" s="708"/>
      <c r="AT40" s="708"/>
      <c r="AU40" s="705"/>
      <c r="AV40" s="709"/>
      <c r="AW40" s="1022"/>
      <c r="AX40" s="464"/>
      <c r="AY40" s="464"/>
      <c r="AZ40" s="464"/>
      <c r="BA40" s="464"/>
      <c r="BB40" s="709"/>
      <c r="BC40" s="457"/>
      <c r="BD40" s="462"/>
      <c r="BE40" s="153"/>
      <c r="BF40" s="153"/>
      <c r="BG40" s="157"/>
      <c r="BL40" s="92"/>
    </row>
    <row r="41" spans="1:64" ht="24" customHeight="1" x14ac:dyDescent="0.35">
      <c r="A41" s="1005"/>
      <c r="B41" s="1001">
        <v>2010</v>
      </c>
      <c r="C41" s="1001">
        <v>12</v>
      </c>
      <c r="D41" s="79">
        <v>71</v>
      </c>
      <c r="E41" s="528">
        <v>2</v>
      </c>
      <c r="F41" s="85">
        <v>3</v>
      </c>
      <c r="G41" s="528">
        <v>4</v>
      </c>
      <c r="H41" s="85">
        <v>5</v>
      </c>
      <c r="I41" s="528">
        <v>6</v>
      </c>
      <c r="J41" s="528">
        <v>7</v>
      </c>
      <c r="K41" s="528">
        <v>8</v>
      </c>
      <c r="L41" s="528">
        <v>9</v>
      </c>
      <c r="M41" s="528">
        <v>10</v>
      </c>
      <c r="N41" s="528">
        <v>11</v>
      </c>
      <c r="O41" s="528">
        <v>12</v>
      </c>
      <c r="P41" s="528">
        <v>13</v>
      </c>
      <c r="Q41" s="528">
        <v>14</v>
      </c>
      <c r="R41" s="528">
        <v>15</v>
      </c>
      <c r="S41" s="528">
        <v>16</v>
      </c>
      <c r="T41" s="528">
        <v>17</v>
      </c>
      <c r="U41" s="528">
        <v>18</v>
      </c>
      <c r="V41" s="86">
        <v>1</v>
      </c>
      <c r="W41" s="86">
        <v>2</v>
      </c>
      <c r="X41" s="86">
        <v>3</v>
      </c>
      <c r="Y41" s="86">
        <v>4</v>
      </c>
      <c r="Z41" s="86">
        <v>5</v>
      </c>
      <c r="AA41" s="528">
        <v>6</v>
      </c>
      <c r="AB41" s="528">
        <v>7</v>
      </c>
      <c r="AC41" s="528">
        <v>8</v>
      </c>
      <c r="AD41" s="528">
        <v>9</v>
      </c>
      <c r="AE41" s="528">
        <v>10</v>
      </c>
      <c r="AF41" s="528">
        <v>11</v>
      </c>
      <c r="AG41" s="528">
        <v>12</v>
      </c>
      <c r="AH41" s="528">
        <v>13</v>
      </c>
      <c r="AI41" s="528">
        <v>14</v>
      </c>
      <c r="AJ41" s="128">
        <f>SUM(D42:AI42)</f>
        <v>51</v>
      </c>
      <c r="AK41" s="1011">
        <f>10.5+22.32+16.65</f>
        <v>49.47</v>
      </c>
      <c r="AL41" s="1011"/>
      <c r="AM41" s="697"/>
      <c r="AN41" s="697">
        <v>5</v>
      </c>
      <c r="AO41" s="694" t="str">
        <f t="shared" si="0"/>
        <v>0</v>
      </c>
      <c r="AP41" s="538">
        <f>IFERROR(AK41/AO41,0)</f>
        <v>0</v>
      </c>
      <c r="AQ41" s="1013">
        <f>10.3+11.83+14.44+7.34</f>
        <v>43.91</v>
      </c>
      <c r="AR41" s="1013"/>
      <c r="AS41" s="704"/>
      <c r="AT41" s="704"/>
      <c r="AU41" s="704"/>
      <c r="AV41" s="536">
        <f>IFERROR(AQ41/AU41,0)</f>
        <v>0</v>
      </c>
      <c r="AW41" s="1021"/>
      <c r="AX41" s="463"/>
      <c r="AY41" s="463"/>
      <c r="AZ41" s="463"/>
      <c r="BA41" s="463" t="str">
        <f>IF(COUNT(AY41,AZ41)&lt;2, "0", AZ41 - AY41 )</f>
        <v>0</v>
      </c>
      <c r="BB41" s="536">
        <f>IFERROR(AW41/BA41,0)</f>
        <v>0</v>
      </c>
      <c r="BC41" s="461"/>
      <c r="BD41" s="461"/>
      <c r="BE41" s="152">
        <f>AK41+AQ41+AW41+BC41</f>
        <v>93.38</v>
      </c>
      <c r="BF41" s="152">
        <f>AL41+AR41+AX41+BD41</f>
        <v>0</v>
      </c>
      <c r="BG41" s="156">
        <v>12</v>
      </c>
      <c r="BL41" s="92"/>
    </row>
    <row r="42" spans="1:64" ht="24" customHeight="1" x14ac:dyDescent="0.35">
      <c r="A42" s="1005"/>
      <c r="B42" s="1002"/>
      <c r="C42" s="1002"/>
      <c r="D42" s="83"/>
      <c r="E42" s="529"/>
      <c r="F42" s="529">
        <v>10</v>
      </c>
      <c r="G42" s="529"/>
      <c r="H42" s="529">
        <v>10</v>
      </c>
      <c r="I42" s="529"/>
      <c r="J42" s="529"/>
      <c r="K42" s="529"/>
      <c r="L42" s="529"/>
      <c r="M42" s="529"/>
      <c r="N42" s="529"/>
      <c r="O42" s="529"/>
      <c r="P42" s="529"/>
      <c r="Q42" s="529"/>
      <c r="R42" s="529"/>
      <c r="S42" s="529"/>
      <c r="T42" s="529"/>
      <c r="U42" s="529"/>
      <c r="V42" s="529">
        <v>7</v>
      </c>
      <c r="W42" s="529">
        <v>7</v>
      </c>
      <c r="X42" s="529">
        <v>7</v>
      </c>
      <c r="Y42" s="529">
        <v>7</v>
      </c>
      <c r="Z42" s="529">
        <v>3</v>
      </c>
      <c r="AA42" s="529"/>
      <c r="AB42" s="529"/>
      <c r="AC42" s="529"/>
      <c r="AD42" s="529"/>
      <c r="AE42" s="529"/>
      <c r="AF42" s="529"/>
      <c r="AG42" s="529"/>
      <c r="AH42" s="529"/>
      <c r="AI42" s="529"/>
      <c r="AJ42" s="129"/>
      <c r="AK42" s="1012"/>
      <c r="AL42" s="1012"/>
      <c r="AM42" s="696"/>
      <c r="AN42" s="696"/>
      <c r="AO42" s="694"/>
      <c r="AP42" s="538"/>
      <c r="AQ42" s="1014"/>
      <c r="AR42" s="1014"/>
      <c r="AS42" s="705"/>
      <c r="AT42" s="705"/>
      <c r="AU42" s="705"/>
      <c r="AV42" s="537"/>
      <c r="AW42" s="1022"/>
      <c r="AX42" s="464"/>
      <c r="AY42" s="464"/>
      <c r="AZ42" s="464"/>
      <c r="BA42" s="464"/>
      <c r="BB42" s="537"/>
      <c r="BC42" s="462"/>
      <c r="BD42" s="462"/>
      <c r="BE42" s="153"/>
      <c r="BF42" s="153"/>
      <c r="BG42" s="157"/>
    </row>
    <row r="43" spans="1:64" ht="24" customHeight="1" x14ac:dyDescent="0.35">
      <c r="A43" s="1005"/>
      <c r="B43" s="1001">
        <v>2011</v>
      </c>
      <c r="C43" s="1001">
        <v>10</v>
      </c>
      <c r="D43" s="79">
        <v>19.100000000000001</v>
      </c>
      <c r="E43" s="528">
        <v>2</v>
      </c>
      <c r="F43" s="528">
        <v>3</v>
      </c>
      <c r="G43" s="528">
        <v>4</v>
      </c>
      <c r="H43" s="528">
        <v>5</v>
      </c>
      <c r="I43" s="528">
        <v>6</v>
      </c>
      <c r="J43" s="528">
        <v>7</v>
      </c>
      <c r="K43" s="528">
        <v>8</v>
      </c>
      <c r="L43" s="528">
        <v>9</v>
      </c>
      <c r="M43" s="528">
        <v>10</v>
      </c>
      <c r="N43" s="528">
        <v>11</v>
      </c>
      <c r="O43" s="528">
        <v>12</v>
      </c>
      <c r="P43" s="528">
        <v>13</v>
      </c>
      <c r="Q43" s="528">
        <v>14</v>
      </c>
      <c r="R43" s="528">
        <v>15</v>
      </c>
      <c r="S43" s="528">
        <v>16</v>
      </c>
      <c r="T43" s="528">
        <v>17</v>
      </c>
      <c r="U43" s="85">
        <v>1</v>
      </c>
      <c r="V43" s="528">
        <v>2</v>
      </c>
      <c r="W43" s="528">
        <v>3</v>
      </c>
      <c r="X43" s="528">
        <v>4</v>
      </c>
      <c r="Y43" s="528">
        <v>5</v>
      </c>
      <c r="Z43" s="528">
        <v>6</v>
      </c>
      <c r="AA43" s="528">
        <v>7</v>
      </c>
      <c r="AB43" s="528">
        <v>8</v>
      </c>
      <c r="AC43" s="528">
        <v>9</v>
      </c>
      <c r="AD43" s="528">
        <v>10</v>
      </c>
      <c r="AE43" s="528">
        <v>11</v>
      </c>
      <c r="AF43" s="528">
        <v>12</v>
      </c>
      <c r="AG43" s="528">
        <v>13</v>
      </c>
      <c r="AH43" s="528">
        <v>14</v>
      </c>
      <c r="AI43" s="528">
        <v>15</v>
      </c>
      <c r="AJ43" s="131">
        <f>SUM(D44:AI44)</f>
        <v>8</v>
      </c>
      <c r="AK43" s="1011">
        <f>13.41</f>
        <v>13.41</v>
      </c>
      <c r="AL43" s="1011"/>
      <c r="AM43" s="697"/>
      <c r="AN43" s="697">
        <v>2</v>
      </c>
      <c r="AO43" s="694" t="str">
        <f t="shared" si="0"/>
        <v>0</v>
      </c>
      <c r="AP43" s="538">
        <f>IFERROR(AK43/AO43,0)</f>
        <v>0</v>
      </c>
      <c r="AQ43" s="1013"/>
      <c r="AR43" s="1013"/>
      <c r="AS43" s="704"/>
      <c r="AT43" s="704"/>
      <c r="AU43" s="704"/>
      <c r="AV43" s="536">
        <f>IFERROR(AQ43/AU43,0)</f>
        <v>0</v>
      </c>
      <c r="AW43" s="1021"/>
      <c r="AX43" s="463"/>
      <c r="AY43" s="463"/>
      <c r="AZ43" s="463"/>
      <c r="BA43" s="463" t="str">
        <f>IF(COUNT(AY43,AZ43)&lt;2, "0", AZ43 - AY43 )</f>
        <v>0</v>
      </c>
      <c r="BB43" s="536">
        <f>IFERROR(AW43/BA43,0)</f>
        <v>0</v>
      </c>
      <c r="BC43" s="461"/>
      <c r="BD43" s="461"/>
      <c r="BE43" s="152">
        <f>AK43+AQ43+AW43+BC43</f>
        <v>13.41</v>
      </c>
      <c r="BF43" s="152">
        <f>AL43+AR43+AX43+BD43</f>
        <v>0</v>
      </c>
      <c r="BG43" s="156">
        <v>10</v>
      </c>
    </row>
    <row r="44" spans="1:64" ht="24" customHeight="1" x14ac:dyDescent="0.35">
      <c r="A44" s="1005"/>
      <c r="B44" s="1002"/>
      <c r="C44" s="1002"/>
      <c r="D44" s="83"/>
      <c r="E44" s="529"/>
      <c r="F44" s="529"/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29"/>
      <c r="R44" s="529"/>
      <c r="S44" s="529"/>
      <c r="T44" s="529"/>
      <c r="U44" s="529">
        <v>8</v>
      </c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132"/>
      <c r="AK44" s="1012"/>
      <c r="AL44" s="1012"/>
      <c r="AM44" s="696"/>
      <c r="AN44" s="696"/>
      <c r="AO44" s="694"/>
      <c r="AP44" s="538"/>
      <c r="AQ44" s="1014"/>
      <c r="AR44" s="1014"/>
      <c r="AS44" s="705"/>
      <c r="AT44" s="705"/>
      <c r="AU44" s="705"/>
      <c r="AV44" s="537"/>
      <c r="AW44" s="1022"/>
      <c r="AX44" s="464"/>
      <c r="AY44" s="464"/>
      <c r="AZ44" s="464"/>
      <c r="BA44" s="464"/>
      <c r="BB44" s="537"/>
      <c r="BC44" s="462"/>
      <c r="BD44" s="462"/>
      <c r="BE44" s="153"/>
      <c r="BF44" s="153"/>
      <c r="BG44" s="157"/>
    </row>
    <row r="45" spans="1:64" ht="24" customHeight="1" x14ac:dyDescent="0.35">
      <c r="A45" s="1005"/>
      <c r="B45" s="1001">
        <v>2011</v>
      </c>
      <c r="C45" s="1001">
        <v>13</v>
      </c>
      <c r="D45" s="79">
        <v>60.8</v>
      </c>
      <c r="E45" s="528">
        <v>9</v>
      </c>
      <c r="F45" s="528">
        <v>10</v>
      </c>
      <c r="G45" s="528">
        <v>11</v>
      </c>
      <c r="H45" s="528">
        <v>12</v>
      </c>
      <c r="I45" s="528">
        <v>13</v>
      </c>
      <c r="J45" s="85">
        <v>1</v>
      </c>
      <c r="K45" s="528">
        <v>2</v>
      </c>
      <c r="L45" s="85">
        <v>3</v>
      </c>
      <c r="M45" s="85">
        <v>4</v>
      </c>
      <c r="N45" s="85">
        <v>5</v>
      </c>
      <c r="O45" s="528">
        <v>6</v>
      </c>
      <c r="P45" s="528">
        <v>7</v>
      </c>
      <c r="Q45" s="528">
        <v>8</v>
      </c>
      <c r="R45" s="528">
        <v>9</v>
      </c>
      <c r="S45" s="528">
        <v>10</v>
      </c>
      <c r="T45" s="528">
        <v>11</v>
      </c>
      <c r="U45" s="528">
        <v>12</v>
      </c>
      <c r="V45" s="528">
        <v>13</v>
      </c>
      <c r="W45" s="528">
        <v>14</v>
      </c>
      <c r="X45" s="528">
        <v>15</v>
      </c>
      <c r="Y45" s="528">
        <v>16</v>
      </c>
      <c r="Z45" s="528">
        <v>17</v>
      </c>
      <c r="AA45" s="528">
        <v>18</v>
      </c>
      <c r="AB45" s="528">
        <v>19</v>
      </c>
      <c r="AC45" s="86">
        <v>1</v>
      </c>
      <c r="AD45" s="86">
        <v>2</v>
      </c>
      <c r="AE45" s="86">
        <v>3</v>
      </c>
      <c r="AF45" s="86">
        <v>4</v>
      </c>
      <c r="AG45" s="86">
        <v>5</v>
      </c>
      <c r="AH45" s="86">
        <v>6</v>
      </c>
      <c r="AI45" s="528">
        <v>7</v>
      </c>
      <c r="AJ45" s="131">
        <f>SUM(D46:AI46)</f>
        <v>71</v>
      </c>
      <c r="AK45" s="1011">
        <f>3.8+12.7+19.26+15.35+8.47</f>
        <v>59.580000000000005</v>
      </c>
      <c r="AL45" s="1011"/>
      <c r="AM45" s="697"/>
      <c r="AN45" s="697">
        <v>3</v>
      </c>
      <c r="AO45" s="694" t="str">
        <f t="shared" si="0"/>
        <v>0</v>
      </c>
      <c r="AP45" s="538">
        <f>IFERROR(AK45/AO45,0)</f>
        <v>0</v>
      </c>
      <c r="AQ45" s="1013">
        <f>10.5+12.5+7.19+9.16+14.02</f>
        <v>53.370000000000005</v>
      </c>
      <c r="AR45" s="1013"/>
      <c r="AS45" s="704"/>
      <c r="AT45" s="704"/>
      <c r="AU45" s="704"/>
      <c r="AV45" s="536">
        <f>IFERROR(AQ45/AU45,0)</f>
        <v>0</v>
      </c>
      <c r="AW45" s="1021"/>
      <c r="AX45" s="463"/>
      <c r="AY45" s="463"/>
      <c r="AZ45" s="463"/>
      <c r="BA45" s="463" t="str">
        <f>IF(COUNT(AY45,AZ45)&lt;2, "0", AZ45 - AY45 )</f>
        <v>0</v>
      </c>
      <c r="BB45" s="536">
        <f>IFERROR(AW45/BA45,0)</f>
        <v>0</v>
      </c>
      <c r="BC45" s="461"/>
      <c r="BD45" s="461"/>
      <c r="BE45" s="152">
        <f>AK45+AQ45+AW45+BC45</f>
        <v>112.95000000000002</v>
      </c>
      <c r="BF45" s="152">
        <f>AL45+AR45+AX45+BD45</f>
        <v>0</v>
      </c>
      <c r="BG45" s="156">
        <v>13</v>
      </c>
    </row>
    <row r="46" spans="1:64" ht="24" customHeight="1" x14ac:dyDescent="0.35">
      <c r="A46" s="1005"/>
      <c r="B46" s="1002"/>
      <c r="C46" s="1002"/>
      <c r="D46" s="83"/>
      <c r="E46" s="529"/>
      <c r="F46" s="529"/>
      <c r="G46" s="529"/>
      <c r="H46" s="529"/>
      <c r="I46" s="529"/>
      <c r="J46" s="529">
        <v>5</v>
      </c>
      <c r="K46" s="529"/>
      <c r="L46" s="529">
        <v>10</v>
      </c>
      <c r="M46" s="529">
        <v>10</v>
      </c>
      <c r="N46" s="529">
        <v>10</v>
      </c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>
        <v>3</v>
      </c>
      <c r="AD46" s="529">
        <v>7</v>
      </c>
      <c r="AE46" s="529">
        <v>7</v>
      </c>
      <c r="AF46" s="529">
        <v>5</v>
      </c>
      <c r="AG46" s="529">
        <v>7</v>
      </c>
      <c r="AH46" s="529">
        <v>7</v>
      </c>
      <c r="AI46" s="529"/>
      <c r="AJ46" s="132"/>
      <c r="AK46" s="1012"/>
      <c r="AL46" s="1012"/>
      <c r="AM46" s="696"/>
      <c r="AN46" s="696"/>
      <c r="AO46" s="694"/>
      <c r="AP46" s="538"/>
      <c r="AQ46" s="1014"/>
      <c r="AR46" s="1014"/>
      <c r="AS46" s="705"/>
      <c r="AT46" s="705"/>
      <c r="AU46" s="705"/>
      <c r="AV46" s="537"/>
      <c r="AW46" s="1022"/>
      <c r="AX46" s="464"/>
      <c r="AY46" s="464"/>
      <c r="AZ46" s="464"/>
      <c r="BA46" s="464"/>
      <c r="BB46" s="537"/>
      <c r="BC46" s="462"/>
      <c r="BD46" s="462"/>
      <c r="BE46" s="153"/>
      <c r="BF46" s="153"/>
      <c r="BG46" s="157"/>
    </row>
    <row r="47" spans="1:64" ht="24" customHeight="1" x14ac:dyDescent="0.35">
      <c r="A47" s="1005"/>
      <c r="B47" s="1001">
        <v>2011</v>
      </c>
      <c r="C47" s="1001">
        <v>18</v>
      </c>
      <c r="D47" s="79">
        <v>40.799999999999997</v>
      </c>
      <c r="E47" s="528">
        <v>12</v>
      </c>
      <c r="F47" s="528">
        <v>13</v>
      </c>
      <c r="G47" s="528">
        <v>14</v>
      </c>
      <c r="H47" s="528">
        <v>15</v>
      </c>
      <c r="I47" s="85">
        <v>1</v>
      </c>
      <c r="J47" s="85">
        <v>2</v>
      </c>
      <c r="K47" s="528">
        <v>3</v>
      </c>
      <c r="L47" s="528">
        <v>4</v>
      </c>
      <c r="M47" s="528">
        <v>5</v>
      </c>
      <c r="N47" s="528">
        <v>6</v>
      </c>
      <c r="O47" s="528">
        <v>7</v>
      </c>
      <c r="P47" s="528">
        <v>8</v>
      </c>
      <c r="Q47" s="528">
        <v>9</v>
      </c>
      <c r="R47" s="528">
        <v>10</v>
      </c>
      <c r="S47" s="528">
        <v>11</v>
      </c>
      <c r="T47" s="528">
        <v>12</v>
      </c>
      <c r="U47" s="528">
        <v>13</v>
      </c>
      <c r="V47" s="528">
        <v>14</v>
      </c>
      <c r="W47" s="528">
        <v>15</v>
      </c>
      <c r="X47" s="528">
        <v>16</v>
      </c>
      <c r="Y47" s="528">
        <v>17</v>
      </c>
      <c r="Z47" s="86">
        <v>1</v>
      </c>
      <c r="AA47" s="86">
        <v>2</v>
      </c>
      <c r="AB47" s="86">
        <v>3</v>
      </c>
      <c r="AC47" s="86">
        <v>4</v>
      </c>
      <c r="AD47" s="528">
        <v>5</v>
      </c>
      <c r="AE47" s="528">
        <v>6</v>
      </c>
      <c r="AF47" s="528">
        <v>7</v>
      </c>
      <c r="AG47" s="528">
        <v>8</v>
      </c>
      <c r="AH47" s="528">
        <v>9</v>
      </c>
      <c r="AI47" s="528">
        <v>10</v>
      </c>
      <c r="AJ47" s="131">
        <f>SUM(D48:AI48)</f>
        <v>36</v>
      </c>
      <c r="AK47" s="1011">
        <f>22.14+15.72+7.35</f>
        <v>45.21</v>
      </c>
      <c r="AL47" s="1011"/>
      <c r="AM47" s="697"/>
      <c r="AN47" s="697">
        <v>3</v>
      </c>
      <c r="AO47" s="694" t="str">
        <f t="shared" si="0"/>
        <v>0</v>
      </c>
      <c r="AP47" s="538">
        <f>IFERROR(AK47/AO47,0)</f>
        <v>0</v>
      </c>
      <c r="AQ47" s="1013">
        <f>3.63+13.65+7.32+16.12</f>
        <v>40.72</v>
      </c>
      <c r="AR47" s="1013"/>
      <c r="AS47" s="704"/>
      <c r="AT47" s="704"/>
      <c r="AU47" s="704"/>
      <c r="AV47" s="536">
        <f>IFERROR(AQ47/AU47,0)</f>
        <v>0</v>
      </c>
      <c r="AW47" s="1021"/>
      <c r="AX47" s="463"/>
      <c r="AY47" s="463"/>
      <c r="AZ47" s="463"/>
      <c r="BA47" s="463" t="str">
        <f>IF(COUNT(AY47,AZ47)&lt;2, "0", AZ47 - AY47 )</f>
        <v>0</v>
      </c>
      <c r="BB47" s="536">
        <f>IFERROR(AW47/BA47,0)</f>
        <v>0</v>
      </c>
      <c r="BC47" s="461"/>
      <c r="BD47" s="461"/>
      <c r="BE47" s="152">
        <f>AK47+AQ47+AW47+BC47</f>
        <v>85.93</v>
      </c>
      <c r="BF47" s="152">
        <f>AL47+AR47+AX47+BD47</f>
        <v>0</v>
      </c>
      <c r="BG47" s="156">
        <v>18</v>
      </c>
    </row>
    <row r="48" spans="1:64" ht="24" customHeight="1" x14ac:dyDescent="0.35">
      <c r="A48" s="1006"/>
      <c r="B48" s="1002"/>
      <c r="C48" s="1002"/>
      <c r="D48" s="83"/>
      <c r="E48" s="529"/>
      <c r="F48" s="529"/>
      <c r="G48" s="529"/>
      <c r="H48" s="529"/>
      <c r="I48" s="529">
        <v>10</v>
      </c>
      <c r="J48" s="529">
        <v>5</v>
      </c>
      <c r="K48" s="529"/>
      <c r="L48" s="529"/>
      <c r="M48" s="529"/>
      <c r="N48" s="529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>
        <v>4</v>
      </c>
      <c r="AA48" s="529">
        <v>6</v>
      </c>
      <c r="AB48" s="529">
        <v>7</v>
      </c>
      <c r="AC48" s="529">
        <v>4</v>
      </c>
      <c r="AD48" s="529"/>
      <c r="AE48" s="529"/>
      <c r="AF48" s="529"/>
      <c r="AG48" s="529"/>
      <c r="AH48" s="529"/>
      <c r="AI48" s="529"/>
      <c r="AJ48" s="132"/>
      <c r="AK48" s="1012"/>
      <c r="AL48" s="1012"/>
      <c r="AM48" s="696"/>
      <c r="AN48" s="696"/>
      <c r="AO48" s="694"/>
      <c r="AP48" s="538"/>
      <c r="AQ48" s="1014"/>
      <c r="AR48" s="1014"/>
      <c r="AS48" s="705"/>
      <c r="AT48" s="705"/>
      <c r="AU48" s="705"/>
      <c r="AV48" s="537"/>
      <c r="AW48" s="1022"/>
      <c r="AX48" s="464"/>
      <c r="AY48" s="464"/>
      <c r="AZ48" s="464"/>
      <c r="BA48" s="464"/>
      <c r="BB48" s="537"/>
      <c r="BC48" s="462"/>
      <c r="BD48" s="462"/>
      <c r="BE48" s="153"/>
      <c r="BF48" s="153"/>
      <c r="BG48" s="157"/>
    </row>
    <row r="49" spans="1:59" ht="24" customHeight="1" x14ac:dyDescent="0.35">
      <c r="A49" s="1007" t="s">
        <v>91</v>
      </c>
      <c r="B49" s="1001">
        <v>2015</v>
      </c>
      <c r="C49" s="1001">
        <v>25</v>
      </c>
      <c r="D49" s="1001">
        <v>36.64</v>
      </c>
      <c r="E49" s="528">
        <v>11</v>
      </c>
      <c r="F49" s="528">
        <v>12</v>
      </c>
      <c r="G49" s="528">
        <v>13</v>
      </c>
      <c r="H49" s="528">
        <v>14</v>
      </c>
      <c r="I49" s="85">
        <v>1</v>
      </c>
      <c r="J49" s="85">
        <v>2</v>
      </c>
      <c r="K49" s="528">
        <v>3</v>
      </c>
      <c r="L49" s="85">
        <v>4</v>
      </c>
      <c r="M49" s="528">
        <v>5</v>
      </c>
      <c r="N49" s="528">
        <v>6</v>
      </c>
      <c r="O49" s="528">
        <v>7</v>
      </c>
      <c r="P49" s="528">
        <v>8</v>
      </c>
      <c r="Q49" s="528">
        <v>9</v>
      </c>
      <c r="R49" s="528">
        <v>10</v>
      </c>
      <c r="S49" s="528">
        <v>11</v>
      </c>
      <c r="T49" s="528">
        <v>12</v>
      </c>
      <c r="U49" s="528">
        <v>13</v>
      </c>
      <c r="V49" s="528">
        <v>14</v>
      </c>
      <c r="W49" s="528">
        <v>15</v>
      </c>
      <c r="X49" s="528">
        <v>16</v>
      </c>
      <c r="Y49" s="528">
        <v>17</v>
      </c>
      <c r="Z49" s="528">
        <v>18</v>
      </c>
      <c r="AA49" s="528">
        <v>19</v>
      </c>
      <c r="AB49" s="528">
        <v>20</v>
      </c>
      <c r="AC49" s="528">
        <v>21</v>
      </c>
      <c r="AD49" s="528">
        <v>22</v>
      </c>
      <c r="AE49" s="528">
        <v>23</v>
      </c>
      <c r="AF49" s="86">
        <v>1</v>
      </c>
      <c r="AG49" s="528">
        <v>2</v>
      </c>
      <c r="AH49" s="528">
        <v>3</v>
      </c>
      <c r="AI49" s="528">
        <v>4</v>
      </c>
      <c r="AJ49" s="128">
        <f>SUM(D50:AI50)</f>
        <v>24</v>
      </c>
      <c r="AK49" s="1011">
        <f>6.36+5.91</f>
        <v>12.27</v>
      </c>
      <c r="AL49" s="1011"/>
      <c r="AM49" s="697"/>
      <c r="AN49" s="697">
        <v>1</v>
      </c>
      <c r="AO49" s="694" t="str">
        <f t="shared" si="0"/>
        <v>0</v>
      </c>
      <c r="AP49" s="538">
        <f>IFERROR(AK49/AO49,0)</f>
        <v>0</v>
      </c>
      <c r="AQ49" s="1013">
        <f>5.99+3.44</f>
        <v>9.43</v>
      </c>
      <c r="AR49" s="1013"/>
      <c r="AS49" s="704"/>
      <c r="AT49" s="704"/>
      <c r="AU49" s="704"/>
      <c r="AV49" s="536">
        <f>IFERROR(AQ49/AU49,0)</f>
        <v>0</v>
      </c>
      <c r="AW49" s="734"/>
      <c r="AX49" s="463"/>
      <c r="AY49" s="463"/>
      <c r="AZ49" s="463"/>
      <c r="BA49" s="463" t="str">
        <f>IF(COUNT(AY49,AZ49)&lt;2, "0", AZ49 - AY49 )</f>
        <v>0</v>
      </c>
      <c r="BB49" s="536">
        <f>IFERROR(AW49/BA49,0)</f>
        <v>0</v>
      </c>
      <c r="BC49" s="461"/>
      <c r="BD49" s="461"/>
      <c r="BE49" s="152">
        <f>AK49+AQ49+AW49+BC49</f>
        <v>21.7</v>
      </c>
      <c r="BF49" s="152">
        <f>AL49+AR49+AX49+BD49</f>
        <v>0</v>
      </c>
      <c r="BG49" s="154">
        <v>25</v>
      </c>
    </row>
    <row r="50" spans="1:59" ht="24" customHeight="1" x14ac:dyDescent="0.35">
      <c r="A50" s="1005"/>
      <c r="B50" s="1004"/>
      <c r="C50" s="1002"/>
      <c r="D50" s="1002"/>
      <c r="E50" s="529"/>
      <c r="F50" s="529"/>
      <c r="G50" s="529"/>
      <c r="H50" s="529"/>
      <c r="I50" s="529">
        <v>3</v>
      </c>
      <c r="J50" s="529">
        <v>7</v>
      </c>
      <c r="K50" s="529"/>
      <c r="L50" s="529">
        <v>7</v>
      </c>
      <c r="M50" s="529"/>
      <c r="N50" s="529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  <c r="AA50" s="529"/>
      <c r="AB50" s="529"/>
      <c r="AC50" s="529"/>
      <c r="AD50" s="529"/>
      <c r="AE50" s="529"/>
      <c r="AF50" s="529">
        <v>7</v>
      </c>
      <c r="AG50" s="529"/>
      <c r="AH50" s="529"/>
      <c r="AI50" s="529"/>
      <c r="AJ50" s="129"/>
      <c r="AK50" s="1012"/>
      <c r="AL50" s="1012"/>
      <c r="AM50" s="696"/>
      <c r="AN50" s="696"/>
      <c r="AO50" s="694"/>
      <c r="AP50" s="538"/>
      <c r="AQ50" s="1014"/>
      <c r="AR50" s="1014"/>
      <c r="AS50" s="705"/>
      <c r="AT50" s="705"/>
      <c r="AU50" s="705"/>
      <c r="AV50" s="537"/>
      <c r="AW50" s="735"/>
      <c r="AX50" s="464"/>
      <c r="AY50" s="464"/>
      <c r="AZ50" s="464"/>
      <c r="BA50" s="464"/>
      <c r="BB50" s="537"/>
      <c r="BC50" s="462"/>
      <c r="BD50" s="462"/>
      <c r="BE50" s="153"/>
      <c r="BF50" s="153"/>
      <c r="BG50" s="155"/>
    </row>
    <row r="51" spans="1:59" ht="24" customHeight="1" x14ac:dyDescent="0.35">
      <c r="A51" s="1005"/>
      <c r="B51" s="1004"/>
      <c r="C51" s="1001" t="s">
        <v>7</v>
      </c>
      <c r="D51" s="1001">
        <v>22.75</v>
      </c>
      <c r="E51" s="85">
        <v>2</v>
      </c>
      <c r="F51" s="528">
        <v>3</v>
      </c>
      <c r="G51" s="528">
        <v>4</v>
      </c>
      <c r="H51" s="528">
        <v>5</v>
      </c>
      <c r="I51" s="528">
        <v>6</v>
      </c>
      <c r="J51" s="528">
        <v>7</v>
      </c>
      <c r="K51" s="528">
        <v>8</v>
      </c>
      <c r="L51" s="528">
        <v>9</v>
      </c>
      <c r="M51" s="528">
        <v>10</v>
      </c>
      <c r="N51" s="528">
        <v>11</v>
      </c>
      <c r="O51" s="528">
        <v>12</v>
      </c>
      <c r="P51" s="528">
        <v>13</v>
      </c>
      <c r="Q51" s="528">
        <v>14</v>
      </c>
      <c r="R51" s="528">
        <v>15</v>
      </c>
      <c r="S51" s="528">
        <v>16</v>
      </c>
      <c r="T51" s="528">
        <v>17</v>
      </c>
      <c r="U51" s="528">
        <v>18</v>
      </c>
      <c r="V51" s="528">
        <v>19</v>
      </c>
      <c r="W51" s="528">
        <v>20</v>
      </c>
      <c r="X51" s="528">
        <v>21</v>
      </c>
      <c r="Y51" s="86">
        <v>1</v>
      </c>
      <c r="Z51" s="86">
        <v>2</v>
      </c>
      <c r="AA51" s="528">
        <v>3</v>
      </c>
      <c r="AB51" s="528">
        <v>4</v>
      </c>
      <c r="AC51" s="528">
        <v>5</v>
      </c>
      <c r="AD51" s="528">
        <v>6</v>
      </c>
      <c r="AE51" s="528">
        <v>7</v>
      </c>
      <c r="AF51" s="528">
        <v>8</v>
      </c>
      <c r="AG51" s="528">
        <v>9</v>
      </c>
      <c r="AH51" s="528">
        <v>10</v>
      </c>
      <c r="AI51" s="528">
        <v>11</v>
      </c>
      <c r="AJ51" s="128">
        <f>SUM(D52:AI52)</f>
        <v>21</v>
      </c>
      <c r="AK51" s="1011">
        <f>10.02</f>
        <v>10.02</v>
      </c>
      <c r="AL51" s="1011"/>
      <c r="AM51" s="697"/>
      <c r="AN51" s="697">
        <v>4</v>
      </c>
      <c r="AO51" s="694" t="str">
        <f t="shared" si="0"/>
        <v>0</v>
      </c>
      <c r="AP51" s="538">
        <f>IFERROR(AK51/AO51,0)</f>
        <v>0</v>
      </c>
      <c r="AQ51" s="1013">
        <f>3.77+10.12+4.34</f>
        <v>18.229999999999997</v>
      </c>
      <c r="AR51" s="1013"/>
      <c r="AS51" s="704"/>
      <c r="AT51" s="704"/>
      <c r="AU51" s="704"/>
      <c r="AV51" s="536">
        <f>IFERROR(AQ51/AU51,0)</f>
        <v>0</v>
      </c>
      <c r="AW51" s="1021"/>
      <c r="AX51" s="463"/>
      <c r="AY51" s="463"/>
      <c r="AZ51" s="463"/>
      <c r="BA51" s="463" t="str">
        <f>IF(COUNT(AY51,AZ51)&lt;2, "0", AZ51 - AY51 )</f>
        <v>0</v>
      </c>
      <c r="BB51" s="536">
        <f>IFERROR(AW51/BA51,0)</f>
        <v>0</v>
      </c>
      <c r="BC51" s="466"/>
      <c r="BD51" s="461"/>
      <c r="BE51" s="152">
        <f>AK51+AQ51+AW51+BC51</f>
        <v>28.249999999999996</v>
      </c>
      <c r="BF51" s="152">
        <f>AL51+AR51+AX51+BD51</f>
        <v>0</v>
      </c>
      <c r="BG51" s="154" t="s">
        <v>7</v>
      </c>
    </row>
    <row r="52" spans="1:59" ht="24" customHeight="1" x14ac:dyDescent="0.35">
      <c r="A52" s="1005"/>
      <c r="B52" s="1004"/>
      <c r="C52" s="1002"/>
      <c r="D52" s="1002"/>
      <c r="E52" s="529">
        <v>7</v>
      </c>
      <c r="F52" s="529"/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>
        <v>7</v>
      </c>
      <c r="Z52" s="529">
        <v>7</v>
      </c>
      <c r="AA52" s="529"/>
      <c r="AB52" s="529"/>
      <c r="AC52" s="529"/>
      <c r="AD52" s="529"/>
      <c r="AE52" s="529"/>
      <c r="AF52" s="529"/>
      <c r="AG52" s="529"/>
      <c r="AH52" s="529"/>
      <c r="AI52" s="529"/>
      <c r="AJ52" s="129"/>
      <c r="AK52" s="1012"/>
      <c r="AL52" s="1012"/>
      <c r="AM52" s="696"/>
      <c r="AN52" s="696"/>
      <c r="AO52" s="694"/>
      <c r="AP52" s="538"/>
      <c r="AQ52" s="1014"/>
      <c r="AR52" s="1014"/>
      <c r="AS52" s="705"/>
      <c r="AT52" s="705"/>
      <c r="AU52" s="705"/>
      <c r="AV52" s="537"/>
      <c r="AW52" s="1022"/>
      <c r="AX52" s="464"/>
      <c r="AY52" s="464"/>
      <c r="AZ52" s="464"/>
      <c r="BA52" s="464"/>
      <c r="BB52" s="537"/>
      <c r="BC52" s="466"/>
      <c r="BD52" s="462"/>
      <c r="BE52" s="153"/>
      <c r="BF52" s="153"/>
      <c r="BG52" s="155"/>
    </row>
    <row r="53" spans="1:59" ht="24" customHeight="1" x14ac:dyDescent="0.35">
      <c r="A53" s="1005"/>
      <c r="B53" s="1004"/>
      <c r="C53" s="1001">
        <v>27</v>
      </c>
      <c r="D53" s="1001">
        <v>35.93</v>
      </c>
      <c r="E53" s="528">
        <v>13</v>
      </c>
      <c r="F53" s="528">
        <v>14</v>
      </c>
      <c r="G53" s="528">
        <v>15</v>
      </c>
      <c r="H53" s="85">
        <v>1</v>
      </c>
      <c r="I53" s="85">
        <v>2</v>
      </c>
      <c r="J53" s="528">
        <v>3</v>
      </c>
      <c r="K53" s="528">
        <v>4</v>
      </c>
      <c r="L53" s="528">
        <v>5</v>
      </c>
      <c r="M53" s="528">
        <v>6</v>
      </c>
      <c r="N53" s="528">
        <v>7</v>
      </c>
      <c r="O53" s="528">
        <v>8</v>
      </c>
      <c r="P53" s="528">
        <v>9</v>
      </c>
      <c r="Q53" s="528">
        <v>10</v>
      </c>
      <c r="R53" s="528">
        <v>11</v>
      </c>
      <c r="S53" s="528">
        <v>12</v>
      </c>
      <c r="T53" s="528">
        <v>13</v>
      </c>
      <c r="U53" s="528">
        <v>14</v>
      </c>
      <c r="V53" s="528">
        <v>15</v>
      </c>
      <c r="W53" s="528">
        <v>16</v>
      </c>
      <c r="X53" s="528">
        <v>17</v>
      </c>
      <c r="Y53" s="528">
        <v>18</v>
      </c>
      <c r="Z53" s="528">
        <v>19</v>
      </c>
      <c r="AA53" s="528">
        <v>20</v>
      </c>
      <c r="AB53" s="528">
        <v>21</v>
      </c>
      <c r="AC53" s="528">
        <v>22</v>
      </c>
      <c r="AD53" s="528">
        <v>23</v>
      </c>
      <c r="AE53" s="86">
        <v>1</v>
      </c>
      <c r="AF53" s="528">
        <v>2</v>
      </c>
      <c r="AG53" s="528">
        <v>3</v>
      </c>
      <c r="AH53" s="528">
        <v>4</v>
      </c>
      <c r="AI53" s="528">
        <v>5</v>
      </c>
      <c r="AJ53" s="128">
        <f>SUM(D54:AI54)</f>
        <v>18</v>
      </c>
      <c r="AK53" s="1011">
        <f>6.55+3.45</f>
        <v>10</v>
      </c>
      <c r="AL53" s="1011"/>
      <c r="AM53" s="697"/>
      <c r="AN53" s="697">
        <v>3</v>
      </c>
      <c r="AO53" s="694" t="str">
        <f t="shared" si="0"/>
        <v>0</v>
      </c>
      <c r="AP53" s="538">
        <f>IFERROR(AK53/AO53,0)</f>
        <v>0</v>
      </c>
      <c r="AQ53" s="1013">
        <f>6.51+2.49</f>
        <v>9</v>
      </c>
      <c r="AR53" s="1013"/>
      <c r="AS53" s="704"/>
      <c r="AT53" s="704"/>
      <c r="AU53" s="704"/>
      <c r="AV53" s="536">
        <f>IFERROR(AQ53/AU53,0)</f>
        <v>0</v>
      </c>
      <c r="AW53" s="1021"/>
      <c r="AX53" s="463"/>
      <c r="AY53" s="463"/>
      <c r="AZ53" s="463"/>
      <c r="BA53" s="463" t="str">
        <f>IF(COUNT(AY53,AZ53)&lt;2, "0", AZ53 - AY53 )</f>
        <v>0</v>
      </c>
      <c r="BB53" s="536">
        <f>IFERROR(AW53/BA53,0)</f>
        <v>0</v>
      </c>
      <c r="BC53" s="461"/>
      <c r="BD53" s="461"/>
      <c r="BE53" s="152">
        <f>AK53+AQ53+AW53+BC53</f>
        <v>19</v>
      </c>
      <c r="BF53" s="152">
        <f>AL53+AR53+AX53+BD53</f>
        <v>0</v>
      </c>
      <c r="BG53" s="154">
        <v>27</v>
      </c>
    </row>
    <row r="54" spans="1:59" ht="24" customHeight="1" x14ac:dyDescent="0.35">
      <c r="A54" s="1005"/>
      <c r="B54" s="1004"/>
      <c r="C54" s="1002"/>
      <c r="D54" s="1002"/>
      <c r="E54" s="529"/>
      <c r="F54" s="529"/>
      <c r="G54" s="529"/>
      <c r="H54" s="529">
        <v>7</v>
      </c>
      <c r="I54" s="529">
        <v>4</v>
      </c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>
        <v>7</v>
      </c>
      <c r="AF54" s="529"/>
      <c r="AG54" s="529"/>
      <c r="AH54" s="529"/>
      <c r="AI54" s="529"/>
      <c r="AJ54" s="129"/>
      <c r="AK54" s="1012"/>
      <c r="AL54" s="1012"/>
      <c r="AM54" s="696"/>
      <c r="AN54" s="696"/>
      <c r="AO54" s="694"/>
      <c r="AP54" s="538"/>
      <c r="AQ54" s="1014"/>
      <c r="AR54" s="1014"/>
      <c r="AS54" s="705"/>
      <c r="AT54" s="705"/>
      <c r="AU54" s="705"/>
      <c r="AV54" s="537"/>
      <c r="AW54" s="1023"/>
      <c r="AX54" s="464"/>
      <c r="AY54" s="464"/>
      <c r="AZ54" s="464"/>
      <c r="BA54" s="464"/>
      <c r="BB54" s="537"/>
      <c r="BC54" s="462"/>
      <c r="BD54" s="462"/>
      <c r="BE54" s="153"/>
      <c r="BF54" s="153"/>
      <c r="BG54" s="155"/>
    </row>
    <row r="55" spans="1:59" ht="24" customHeight="1" x14ac:dyDescent="0.35">
      <c r="A55" s="1005"/>
      <c r="B55" s="1004"/>
      <c r="C55" s="1001">
        <v>28</v>
      </c>
      <c r="D55" s="1001">
        <v>25.54</v>
      </c>
      <c r="E55" s="528">
        <v>3</v>
      </c>
      <c r="F55" s="528">
        <v>4</v>
      </c>
      <c r="G55" s="528">
        <v>5</v>
      </c>
      <c r="H55" s="528">
        <v>6</v>
      </c>
      <c r="I55" s="528">
        <v>7</v>
      </c>
      <c r="J55" s="528">
        <v>8</v>
      </c>
      <c r="K55" s="528">
        <v>9</v>
      </c>
      <c r="L55" s="528">
        <v>10</v>
      </c>
      <c r="M55" s="528">
        <v>11</v>
      </c>
      <c r="N55" s="528">
        <v>12</v>
      </c>
      <c r="O55" s="528">
        <v>13</v>
      </c>
      <c r="P55" s="528">
        <v>14</v>
      </c>
      <c r="Q55" s="528">
        <v>15</v>
      </c>
      <c r="R55" s="528">
        <v>16</v>
      </c>
      <c r="S55" s="528">
        <v>17</v>
      </c>
      <c r="T55" s="528">
        <v>18</v>
      </c>
      <c r="U55" s="528">
        <v>19</v>
      </c>
      <c r="V55" s="85">
        <v>1</v>
      </c>
      <c r="W55" s="528">
        <v>2</v>
      </c>
      <c r="X55" s="85">
        <v>3</v>
      </c>
      <c r="Y55" s="528">
        <v>4</v>
      </c>
      <c r="Z55" s="528">
        <v>5</v>
      </c>
      <c r="AA55" s="528">
        <v>6</v>
      </c>
      <c r="AB55" s="528">
        <v>7</v>
      </c>
      <c r="AC55" s="528">
        <v>8</v>
      </c>
      <c r="AD55" s="528">
        <v>9</v>
      </c>
      <c r="AE55" s="528">
        <v>10</v>
      </c>
      <c r="AF55" s="528">
        <v>11</v>
      </c>
      <c r="AG55" s="528">
        <v>12</v>
      </c>
      <c r="AH55" s="528">
        <v>13</v>
      </c>
      <c r="AI55" s="528">
        <v>14</v>
      </c>
      <c r="AJ55" s="128">
        <f>SUM(D56:AI56)</f>
        <v>14</v>
      </c>
      <c r="AK55" s="1011">
        <f>12.38+4.29+7.08</f>
        <v>23.75</v>
      </c>
      <c r="AL55" s="1011"/>
      <c r="AM55" s="697"/>
      <c r="AN55" s="697">
        <v>2</v>
      </c>
      <c r="AO55" s="694" t="str">
        <f t="shared" si="0"/>
        <v>0</v>
      </c>
      <c r="AP55" s="538">
        <f>IFERROR(AK55/AO55,0)</f>
        <v>0</v>
      </c>
      <c r="AQ55" s="1013"/>
      <c r="AR55" s="1013"/>
      <c r="AS55" s="704"/>
      <c r="AT55" s="704"/>
      <c r="AU55" s="704"/>
      <c r="AV55" s="536">
        <f>IFERROR(AQ55/AU55,0)</f>
        <v>0</v>
      </c>
      <c r="AW55" s="736"/>
      <c r="AX55" s="463"/>
      <c r="AY55" s="456"/>
      <c r="AZ55" s="463"/>
      <c r="BA55" s="456" t="str">
        <f>IF(COUNT(AY55,AZ55)&lt;2, "0", AZ55 - AY55 )</f>
        <v>0</v>
      </c>
      <c r="BB55" s="536">
        <f>IFERROR(AW55/BA55,0)</f>
        <v>0</v>
      </c>
      <c r="BC55" s="457"/>
      <c r="BD55" s="461"/>
      <c r="BE55" s="152">
        <f>AK55+AQ55+AW55+BC55</f>
        <v>23.75</v>
      </c>
      <c r="BF55" s="152">
        <f>AL55+AR55+AX55+BD55</f>
        <v>0</v>
      </c>
      <c r="BG55" s="154">
        <v>28</v>
      </c>
    </row>
    <row r="56" spans="1:59" ht="24" customHeight="1" x14ac:dyDescent="0.35">
      <c r="A56" s="1005"/>
      <c r="B56" s="1004"/>
      <c r="C56" s="1002"/>
      <c r="D56" s="1002"/>
      <c r="E56" s="529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>
        <v>7</v>
      </c>
      <c r="W56" s="529"/>
      <c r="X56" s="529">
        <v>7</v>
      </c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129"/>
      <c r="AK56" s="1015"/>
      <c r="AL56" s="1012"/>
      <c r="AM56" s="696"/>
      <c r="AN56" s="696"/>
      <c r="AO56" s="694"/>
      <c r="AP56" s="538"/>
      <c r="AQ56" s="1016"/>
      <c r="AR56" s="1014"/>
      <c r="AS56" s="705"/>
      <c r="AT56" s="705"/>
      <c r="AU56" s="705"/>
      <c r="AV56" s="537"/>
      <c r="AW56" s="736"/>
      <c r="AX56" s="464"/>
      <c r="AY56" s="456"/>
      <c r="AZ56" s="464"/>
      <c r="BA56" s="456"/>
      <c r="BB56" s="537"/>
      <c r="BC56" s="457"/>
      <c r="BD56" s="462"/>
      <c r="BE56" s="153"/>
      <c r="BF56" s="153"/>
      <c r="BG56" s="155"/>
    </row>
    <row r="57" spans="1:59" ht="24" customHeight="1" x14ac:dyDescent="0.35">
      <c r="A57" s="1005"/>
      <c r="B57" s="1004"/>
      <c r="C57" s="1001">
        <v>30</v>
      </c>
      <c r="D57" s="1001">
        <v>66.13</v>
      </c>
      <c r="E57" s="530">
        <v>5</v>
      </c>
      <c r="F57" s="530">
        <v>6</v>
      </c>
      <c r="G57" s="530">
        <v>7</v>
      </c>
      <c r="H57" s="530">
        <v>8</v>
      </c>
      <c r="I57" s="530">
        <v>9</v>
      </c>
      <c r="J57" s="530">
        <v>10</v>
      </c>
      <c r="K57" s="530">
        <v>11</v>
      </c>
      <c r="L57" s="530">
        <v>12</v>
      </c>
      <c r="M57" s="530">
        <v>13</v>
      </c>
      <c r="N57" s="530">
        <v>14</v>
      </c>
      <c r="O57" s="530">
        <v>15</v>
      </c>
      <c r="P57" s="530">
        <v>16</v>
      </c>
      <c r="Q57" s="530">
        <v>17</v>
      </c>
      <c r="R57" s="453">
        <v>1</v>
      </c>
      <c r="S57" s="453">
        <v>2</v>
      </c>
      <c r="T57" s="453">
        <v>3</v>
      </c>
      <c r="U57" s="530">
        <v>4</v>
      </c>
      <c r="V57" s="530">
        <v>5</v>
      </c>
      <c r="W57" s="530">
        <v>6</v>
      </c>
      <c r="X57" s="530">
        <v>7</v>
      </c>
      <c r="Y57" s="530">
        <v>8</v>
      </c>
      <c r="Z57" s="530">
        <v>9</v>
      </c>
      <c r="AA57" s="530">
        <v>10</v>
      </c>
      <c r="AB57" s="530">
        <v>11</v>
      </c>
      <c r="AC57" s="530">
        <v>12</v>
      </c>
      <c r="AD57" s="530">
        <v>13</v>
      </c>
      <c r="AE57" s="530">
        <v>14</v>
      </c>
      <c r="AF57" s="530">
        <v>15</v>
      </c>
      <c r="AG57" s="530">
        <v>16</v>
      </c>
      <c r="AH57" s="530">
        <v>17</v>
      </c>
      <c r="AI57" s="530">
        <v>18</v>
      </c>
      <c r="AJ57" s="128">
        <f>SUM(D58:AI58)</f>
        <v>17</v>
      </c>
      <c r="AK57" s="1011">
        <f>5.88+2.91+3.52</f>
        <v>12.309999999999999</v>
      </c>
      <c r="AL57" s="1011"/>
      <c r="AM57" s="697"/>
      <c r="AN57" s="697">
        <v>2</v>
      </c>
      <c r="AO57" s="694" t="str">
        <f t="shared" si="0"/>
        <v>0</v>
      </c>
      <c r="AP57" s="538">
        <f>IFERROR(AK57/AO57,0)</f>
        <v>0</v>
      </c>
      <c r="AQ57" s="1013"/>
      <c r="AR57" s="1013"/>
      <c r="AS57" s="706"/>
      <c r="AT57" s="706"/>
      <c r="AU57" s="704"/>
      <c r="AV57" s="707">
        <f>IFERROR(AQ57/AU57,0)</f>
        <v>0</v>
      </c>
      <c r="AW57" s="1021"/>
      <c r="AX57" s="463"/>
      <c r="AY57" s="465"/>
      <c r="AZ57" s="463"/>
      <c r="BA57" s="465" t="str">
        <f>IF(COUNT(AY57,AZ57)&lt;2, "0", AZ57 - AY57 )</f>
        <v>0</v>
      </c>
      <c r="BB57" s="707">
        <f>IFERROR(AW57/BA57,0)</f>
        <v>0</v>
      </c>
      <c r="BC57" s="461"/>
      <c r="BD57" s="461"/>
      <c r="BE57" s="152">
        <f>AK57+AQ57+AW57+BC57</f>
        <v>12.309999999999999</v>
      </c>
      <c r="BF57" s="152">
        <f>AL57+AR57+AX57+BD57</f>
        <v>0</v>
      </c>
      <c r="BG57" s="154">
        <v>30</v>
      </c>
    </row>
    <row r="58" spans="1:59" ht="24" customHeight="1" x14ac:dyDescent="0.35">
      <c r="A58" s="1005"/>
      <c r="B58" s="1004"/>
      <c r="C58" s="1002"/>
      <c r="D58" s="1002"/>
      <c r="E58" s="529"/>
      <c r="F58" s="529"/>
      <c r="G58" s="529"/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>
        <v>3</v>
      </c>
      <c r="S58" s="529">
        <v>7</v>
      </c>
      <c r="T58" s="529">
        <v>7</v>
      </c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129"/>
      <c r="AK58" s="1012"/>
      <c r="AL58" s="1012"/>
      <c r="AM58" s="696"/>
      <c r="AN58" s="696"/>
      <c r="AO58" s="694"/>
      <c r="AP58" s="538"/>
      <c r="AQ58" s="1014"/>
      <c r="AR58" s="1014"/>
      <c r="AS58" s="708"/>
      <c r="AT58" s="708"/>
      <c r="AU58" s="705"/>
      <c r="AV58" s="709"/>
      <c r="AW58" s="1022"/>
      <c r="AX58" s="464"/>
      <c r="AY58" s="465"/>
      <c r="AZ58" s="464"/>
      <c r="BA58" s="465"/>
      <c r="BB58" s="709"/>
      <c r="BC58" s="462"/>
      <c r="BD58" s="462"/>
      <c r="BE58" s="153"/>
      <c r="BF58" s="153"/>
      <c r="BG58" s="155"/>
    </row>
    <row r="59" spans="1:59" ht="24" customHeight="1" x14ac:dyDescent="0.35">
      <c r="A59" s="1005"/>
      <c r="B59" s="1004"/>
      <c r="C59" s="1001">
        <v>31</v>
      </c>
      <c r="D59" s="94">
        <v>34.08</v>
      </c>
      <c r="E59" s="530">
        <v>6</v>
      </c>
      <c r="F59" s="530">
        <v>7</v>
      </c>
      <c r="G59" s="530">
        <v>8</v>
      </c>
      <c r="H59" s="530">
        <v>9</v>
      </c>
      <c r="I59" s="530">
        <v>10</v>
      </c>
      <c r="J59" s="530">
        <v>11</v>
      </c>
      <c r="K59" s="530">
        <v>12</v>
      </c>
      <c r="L59" s="530">
        <v>13</v>
      </c>
      <c r="M59" s="530">
        <v>14</v>
      </c>
      <c r="N59" s="530">
        <v>15</v>
      </c>
      <c r="O59" s="530">
        <v>16</v>
      </c>
      <c r="P59" s="453">
        <v>1</v>
      </c>
      <c r="Q59" s="530">
        <v>2</v>
      </c>
      <c r="R59" s="453">
        <v>3</v>
      </c>
      <c r="S59" s="530">
        <v>4</v>
      </c>
      <c r="T59" s="530">
        <v>5</v>
      </c>
      <c r="U59" s="530">
        <v>6</v>
      </c>
      <c r="V59" s="530">
        <v>7</v>
      </c>
      <c r="W59" s="530">
        <v>8</v>
      </c>
      <c r="X59" s="530">
        <v>9</v>
      </c>
      <c r="Y59" s="530">
        <v>10</v>
      </c>
      <c r="Z59" s="530">
        <v>11</v>
      </c>
      <c r="AA59" s="530">
        <v>12</v>
      </c>
      <c r="AB59" s="530">
        <v>13</v>
      </c>
      <c r="AC59" s="530">
        <v>14</v>
      </c>
      <c r="AD59" s="530">
        <v>15</v>
      </c>
      <c r="AE59" s="530">
        <v>16</v>
      </c>
      <c r="AF59" s="530">
        <v>17</v>
      </c>
      <c r="AG59" s="530">
        <v>18</v>
      </c>
      <c r="AH59" s="530">
        <v>19</v>
      </c>
      <c r="AI59" s="530">
        <v>20</v>
      </c>
      <c r="AJ59" s="128">
        <f>SUM(D60:AI60)</f>
        <v>11</v>
      </c>
      <c r="AK59" s="1011">
        <f>7.3+6.72</f>
        <v>14.02</v>
      </c>
      <c r="AL59" s="1011"/>
      <c r="AM59" s="697"/>
      <c r="AN59" s="697">
        <v>2</v>
      </c>
      <c r="AO59" s="694" t="str">
        <f t="shared" si="0"/>
        <v>0</v>
      </c>
      <c r="AP59" s="538">
        <f>IFERROR(AK59/AO59,0)</f>
        <v>0</v>
      </c>
      <c r="AQ59" s="1013"/>
      <c r="AR59" s="1013"/>
      <c r="AS59" s="704"/>
      <c r="AT59" s="704"/>
      <c r="AU59" s="704"/>
      <c r="AV59" s="536">
        <f>IFERROR(AQ59/AU59,0)</f>
        <v>0</v>
      </c>
      <c r="AW59" s="1021"/>
      <c r="AX59" s="463"/>
      <c r="AY59" s="465"/>
      <c r="AZ59" s="463"/>
      <c r="BA59" s="465" t="str">
        <f>IF(COUNT(AY59,AZ59)&lt;2, "0", AZ59 - AY59 )</f>
        <v>0</v>
      </c>
      <c r="BB59" s="536">
        <f>IFERROR(AW59/BA59,0)</f>
        <v>0</v>
      </c>
      <c r="BC59" s="461"/>
      <c r="BD59" s="461"/>
      <c r="BE59" s="152">
        <f>AK59+AQ59+AW59+BC59</f>
        <v>14.02</v>
      </c>
      <c r="BF59" s="152">
        <f>AL59+AR59+AX59+BD59</f>
        <v>0</v>
      </c>
      <c r="BG59" s="154">
        <v>31</v>
      </c>
    </row>
    <row r="60" spans="1:59" ht="24" customHeight="1" x14ac:dyDescent="0.35">
      <c r="A60" s="1005"/>
      <c r="B60" s="1002"/>
      <c r="C60" s="1002"/>
      <c r="D60" s="83"/>
      <c r="E60" s="529"/>
      <c r="F60" s="529"/>
      <c r="G60" s="529"/>
      <c r="H60" s="529"/>
      <c r="I60" s="529"/>
      <c r="J60" s="529"/>
      <c r="K60" s="529"/>
      <c r="L60" s="529"/>
      <c r="M60" s="529"/>
      <c r="N60" s="529"/>
      <c r="O60" s="529"/>
      <c r="P60" s="529">
        <v>7</v>
      </c>
      <c r="Q60" s="529"/>
      <c r="R60" s="529">
        <v>4</v>
      </c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129"/>
      <c r="AK60" s="1012"/>
      <c r="AL60" s="1012"/>
      <c r="AM60" s="696"/>
      <c r="AN60" s="696"/>
      <c r="AO60" s="694"/>
      <c r="AP60" s="538"/>
      <c r="AQ60" s="1014"/>
      <c r="AR60" s="1014"/>
      <c r="AS60" s="705"/>
      <c r="AT60" s="705"/>
      <c r="AU60" s="705"/>
      <c r="AV60" s="537"/>
      <c r="AW60" s="1022"/>
      <c r="AX60" s="464"/>
      <c r="AY60" s="465"/>
      <c r="AZ60" s="464"/>
      <c r="BA60" s="465"/>
      <c r="BB60" s="537"/>
      <c r="BC60" s="462"/>
      <c r="BD60" s="462"/>
      <c r="BE60" s="153"/>
      <c r="BF60" s="153"/>
      <c r="BG60" s="155"/>
    </row>
    <row r="61" spans="1:59" ht="24" customHeight="1" x14ac:dyDescent="0.35">
      <c r="A61" s="1005"/>
      <c r="B61" s="1001">
        <v>2016</v>
      </c>
      <c r="C61" s="1001">
        <v>33</v>
      </c>
      <c r="D61" s="94">
        <v>28.72</v>
      </c>
      <c r="E61" s="530">
        <v>7</v>
      </c>
      <c r="F61" s="530">
        <v>8</v>
      </c>
      <c r="G61" s="530">
        <v>9</v>
      </c>
      <c r="H61" s="530">
        <v>10</v>
      </c>
      <c r="I61" s="530">
        <v>11</v>
      </c>
      <c r="J61" s="530">
        <v>12</v>
      </c>
      <c r="K61" s="530">
        <v>13</v>
      </c>
      <c r="L61" s="530">
        <v>14</v>
      </c>
      <c r="M61" s="453">
        <v>1</v>
      </c>
      <c r="N61" s="453">
        <v>2</v>
      </c>
      <c r="O61" s="453">
        <v>3</v>
      </c>
      <c r="P61" s="530">
        <v>4</v>
      </c>
      <c r="Q61" s="530">
        <v>5</v>
      </c>
      <c r="R61" s="530">
        <v>6</v>
      </c>
      <c r="S61" s="530">
        <v>7</v>
      </c>
      <c r="T61" s="530">
        <v>8</v>
      </c>
      <c r="U61" s="530">
        <v>9</v>
      </c>
      <c r="V61" s="530">
        <v>10</v>
      </c>
      <c r="W61" s="530">
        <v>11</v>
      </c>
      <c r="X61" s="530">
        <v>12</v>
      </c>
      <c r="Y61" s="530">
        <v>13</v>
      </c>
      <c r="Z61" s="530">
        <v>14</v>
      </c>
      <c r="AA61" s="530">
        <v>15</v>
      </c>
      <c r="AB61" s="530">
        <v>16</v>
      </c>
      <c r="AC61" s="530">
        <v>17</v>
      </c>
      <c r="AD61" s="530">
        <v>18</v>
      </c>
      <c r="AE61" s="530">
        <v>19</v>
      </c>
      <c r="AF61" s="530">
        <v>20</v>
      </c>
      <c r="AG61" s="454">
        <v>1</v>
      </c>
      <c r="AH61" s="454">
        <v>2</v>
      </c>
      <c r="AI61" s="454">
        <v>3</v>
      </c>
      <c r="AJ61" s="128">
        <f>SUM(D62:AI62)</f>
        <v>42</v>
      </c>
      <c r="AK61" s="1011">
        <f>3.23+10.67+6.7+3.98</f>
        <v>24.580000000000002</v>
      </c>
      <c r="AL61" s="1011"/>
      <c r="AM61" s="697"/>
      <c r="AN61" s="697">
        <v>3</v>
      </c>
      <c r="AO61" s="694" t="str">
        <f t="shared" si="0"/>
        <v>0</v>
      </c>
      <c r="AP61" s="538">
        <f>IFERROR(AK61/AO61,0)</f>
        <v>0</v>
      </c>
      <c r="AQ61" s="1013">
        <f>7.88+7.3+10.26</f>
        <v>25.439999999999998</v>
      </c>
      <c r="AR61" s="1013"/>
      <c r="AS61" s="704"/>
      <c r="AT61" s="704"/>
      <c r="AU61" s="704"/>
      <c r="AV61" s="536">
        <f>IFERROR(AQ61/AU61,0)</f>
        <v>0</v>
      </c>
      <c r="AW61" s="1021"/>
      <c r="AX61" s="463"/>
      <c r="AY61" s="463"/>
      <c r="AZ61" s="463"/>
      <c r="BA61" s="463" t="str">
        <f>IF(COUNT(AY61,AZ61)&lt;2, "0", AZ61 - AY61 )</f>
        <v>0</v>
      </c>
      <c r="BB61" s="536">
        <f>IFERROR(AW61/BA61,0)</f>
        <v>0</v>
      </c>
      <c r="BC61" s="458"/>
      <c r="BD61" s="461"/>
      <c r="BE61" s="152">
        <f>AK61+AQ61+AW61+BC61</f>
        <v>50.019999999999996</v>
      </c>
      <c r="BF61" s="152">
        <f>AL61+AR61+AX61+BD61</f>
        <v>0</v>
      </c>
      <c r="BG61" s="154">
        <v>33</v>
      </c>
    </row>
    <row r="62" spans="1:59" ht="24" customHeight="1" x14ac:dyDescent="0.35">
      <c r="A62" s="1005"/>
      <c r="B62" s="1002"/>
      <c r="C62" s="1002"/>
      <c r="D62" s="83"/>
      <c r="E62" s="529"/>
      <c r="F62" s="529"/>
      <c r="G62" s="529"/>
      <c r="H62" s="529"/>
      <c r="I62" s="529"/>
      <c r="J62" s="529"/>
      <c r="K62" s="529"/>
      <c r="L62" s="529"/>
      <c r="M62" s="529">
        <v>7</v>
      </c>
      <c r="N62" s="529">
        <v>7</v>
      </c>
      <c r="O62" s="529">
        <v>7</v>
      </c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>
        <v>7</v>
      </c>
      <c r="AH62" s="529">
        <v>7</v>
      </c>
      <c r="AI62" s="529">
        <v>7</v>
      </c>
      <c r="AJ62" s="129"/>
      <c r="AK62" s="1012"/>
      <c r="AL62" s="1012"/>
      <c r="AM62" s="696"/>
      <c r="AN62" s="696"/>
      <c r="AO62" s="694"/>
      <c r="AP62" s="538"/>
      <c r="AQ62" s="1014"/>
      <c r="AR62" s="1014"/>
      <c r="AS62" s="705"/>
      <c r="AT62" s="705"/>
      <c r="AU62" s="705"/>
      <c r="AV62" s="537"/>
      <c r="AW62" s="1022"/>
      <c r="AX62" s="464"/>
      <c r="AY62" s="464"/>
      <c r="AZ62" s="464"/>
      <c r="BA62" s="464"/>
      <c r="BB62" s="537"/>
      <c r="BC62" s="95"/>
      <c r="BD62" s="462"/>
      <c r="BE62" s="153"/>
      <c r="BF62" s="153"/>
      <c r="BG62" s="155"/>
    </row>
    <row r="63" spans="1:59" ht="24" customHeight="1" x14ac:dyDescent="0.35">
      <c r="A63" s="1005"/>
      <c r="B63" s="1009">
        <v>2016</v>
      </c>
      <c r="C63" s="1009">
        <v>39</v>
      </c>
      <c r="D63" s="79">
        <v>1.48</v>
      </c>
      <c r="E63" s="528">
        <v>4</v>
      </c>
      <c r="F63" s="528">
        <v>5</v>
      </c>
      <c r="G63" s="528">
        <v>6</v>
      </c>
      <c r="H63" s="528">
        <v>7</v>
      </c>
      <c r="I63" s="528">
        <v>8</v>
      </c>
      <c r="J63" s="528">
        <v>9</v>
      </c>
      <c r="K63" s="528">
        <v>10</v>
      </c>
      <c r="L63" s="528">
        <v>11</v>
      </c>
      <c r="M63" s="528">
        <v>12</v>
      </c>
      <c r="N63" s="528">
        <v>13</v>
      </c>
      <c r="O63" s="528">
        <v>14</v>
      </c>
      <c r="P63" s="528">
        <v>15</v>
      </c>
      <c r="Q63" s="528">
        <v>16</v>
      </c>
      <c r="R63" s="528">
        <v>17</v>
      </c>
      <c r="S63" s="528">
        <v>18</v>
      </c>
      <c r="T63" s="528">
        <v>19</v>
      </c>
      <c r="U63" s="85">
        <v>1</v>
      </c>
      <c r="V63" s="528">
        <v>2</v>
      </c>
      <c r="W63" s="528">
        <v>3</v>
      </c>
      <c r="X63" s="528">
        <v>4</v>
      </c>
      <c r="Y63" s="528">
        <v>5</v>
      </c>
      <c r="Z63" s="528">
        <v>6</v>
      </c>
      <c r="AA63" s="528">
        <v>7</v>
      </c>
      <c r="AB63" s="528">
        <v>8</v>
      </c>
      <c r="AC63" s="528">
        <v>9</v>
      </c>
      <c r="AD63" s="528">
        <v>10</v>
      </c>
      <c r="AE63" s="528">
        <v>11</v>
      </c>
      <c r="AF63" s="528">
        <v>12</v>
      </c>
      <c r="AG63" s="528">
        <v>13</v>
      </c>
      <c r="AH63" s="528">
        <v>14</v>
      </c>
      <c r="AI63" s="528">
        <v>15</v>
      </c>
      <c r="AJ63" s="128">
        <f>SUM(D64:AI64)</f>
        <v>7</v>
      </c>
      <c r="AK63" s="1011">
        <f>2.39</f>
        <v>2.39</v>
      </c>
      <c r="AL63" s="1011"/>
      <c r="AM63" s="697"/>
      <c r="AN63" s="697">
        <v>1</v>
      </c>
      <c r="AO63" s="694" t="str">
        <f t="shared" si="0"/>
        <v>0</v>
      </c>
      <c r="AP63" s="538">
        <f>IFERROR(AK63/AO63,0)</f>
        <v>0</v>
      </c>
      <c r="AQ63" s="1013"/>
      <c r="AR63" s="1013"/>
      <c r="AS63" s="704"/>
      <c r="AT63" s="704"/>
      <c r="AU63" s="704"/>
      <c r="AV63" s="536">
        <f>IFERROR(AQ63/AU63,0)</f>
        <v>0</v>
      </c>
      <c r="AW63" s="1021"/>
      <c r="AX63" s="463"/>
      <c r="AY63" s="463"/>
      <c r="AZ63" s="463"/>
      <c r="BA63" s="463" t="str">
        <f>IF(COUNT(AY63,AZ63)&lt;2, "0", AZ63 - AY63 )</f>
        <v>0</v>
      </c>
      <c r="BB63" s="536">
        <f>IFERROR(AW63/BA63,0)</f>
        <v>0</v>
      </c>
      <c r="BC63" s="461"/>
      <c r="BD63" s="461"/>
      <c r="BE63" s="152">
        <f>AK63+AQ63+AW63+BC63</f>
        <v>2.39</v>
      </c>
      <c r="BF63" s="152">
        <f>AL63+AR63+AX63+BD63</f>
        <v>0</v>
      </c>
      <c r="BG63" s="154">
        <v>39</v>
      </c>
    </row>
    <row r="64" spans="1:59" ht="24" customHeight="1" x14ac:dyDescent="0.35">
      <c r="A64" s="1006"/>
      <c r="B64" s="1010"/>
      <c r="C64" s="1010"/>
      <c r="D64" s="83"/>
      <c r="E64" s="529"/>
      <c r="F64" s="529"/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>
        <v>7</v>
      </c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129"/>
      <c r="AK64" s="1012"/>
      <c r="AL64" s="1012"/>
      <c r="AM64" s="696"/>
      <c r="AN64" s="696"/>
      <c r="AO64" s="694"/>
      <c r="AP64" s="538"/>
      <c r="AQ64" s="1014"/>
      <c r="AR64" s="1014"/>
      <c r="AS64" s="705"/>
      <c r="AT64" s="705"/>
      <c r="AU64" s="705"/>
      <c r="AV64" s="537"/>
      <c r="AW64" s="1022"/>
      <c r="AX64" s="464"/>
      <c r="AY64" s="464"/>
      <c r="AZ64" s="464"/>
      <c r="BA64" s="464"/>
      <c r="BB64" s="537"/>
      <c r="BC64" s="462"/>
      <c r="BD64" s="462"/>
      <c r="BE64" s="153"/>
      <c r="BF64" s="153"/>
      <c r="BG64" s="155"/>
    </row>
    <row r="65" spans="1:59" ht="24" customHeight="1" x14ac:dyDescent="0.35">
      <c r="A65" s="1007" t="s">
        <v>218</v>
      </c>
      <c r="B65" s="1001">
        <v>2010</v>
      </c>
      <c r="C65" s="1001">
        <v>2</v>
      </c>
      <c r="D65" s="79">
        <v>60.4</v>
      </c>
      <c r="E65" s="528">
        <v>11</v>
      </c>
      <c r="F65" s="528">
        <v>12</v>
      </c>
      <c r="G65" s="528">
        <v>13</v>
      </c>
      <c r="H65" s="528">
        <v>14</v>
      </c>
      <c r="I65" s="528">
        <v>15</v>
      </c>
      <c r="J65" s="528">
        <v>16</v>
      </c>
      <c r="K65" s="528">
        <v>17</v>
      </c>
      <c r="L65" s="528">
        <v>18</v>
      </c>
      <c r="M65" s="528">
        <v>19</v>
      </c>
      <c r="N65" s="528">
        <v>20</v>
      </c>
      <c r="O65" s="528">
        <v>21</v>
      </c>
      <c r="P65" s="528">
        <v>22</v>
      </c>
      <c r="Q65" s="528">
        <v>23</v>
      </c>
      <c r="R65" s="85">
        <v>1</v>
      </c>
      <c r="S65" s="85">
        <v>2</v>
      </c>
      <c r="T65" s="85">
        <v>3</v>
      </c>
      <c r="U65" s="85">
        <v>4</v>
      </c>
      <c r="V65" s="85">
        <v>5</v>
      </c>
      <c r="W65" s="85">
        <v>6</v>
      </c>
      <c r="X65" s="85">
        <v>7</v>
      </c>
      <c r="Y65" s="85">
        <v>8</v>
      </c>
      <c r="Z65" s="85">
        <v>9</v>
      </c>
      <c r="AA65" s="85">
        <v>10</v>
      </c>
      <c r="AB65" s="85">
        <v>11</v>
      </c>
      <c r="AC65" s="85">
        <v>12</v>
      </c>
      <c r="AD65" s="85">
        <v>13</v>
      </c>
      <c r="AE65" s="85">
        <v>14</v>
      </c>
      <c r="AF65" s="85">
        <v>15</v>
      </c>
      <c r="AG65" s="85">
        <v>16</v>
      </c>
      <c r="AH65" s="85">
        <v>17</v>
      </c>
      <c r="AI65" s="85">
        <v>18</v>
      </c>
      <c r="AJ65" s="128">
        <f>SUM(D66:AI66)</f>
        <v>71</v>
      </c>
      <c r="AK65" s="1011">
        <f>4.59+4.45+3.44+3.36+4.82+3.73+3.43+4+9.45+3.49+2.94+2.82+6.79</f>
        <v>57.309999999999995</v>
      </c>
      <c r="AL65" s="1011"/>
      <c r="AM65" s="697"/>
      <c r="AN65" s="697">
        <v>14</v>
      </c>
      <c r="AO65" s="694" t="str">
        <f t="shared" si="0"/>
        <v>0</v>
      </c>
      <c r="AP65" s="538">
        <f>IFERROR(AK65/AO65,0)</f>
        <v>0</v>
      </c>
      <c r="AQ65" s="1013"/>
      <c r="AR65" s="1013"/>
      <c r="AS65" s="704"/>
      <c r="AT65" s="704"/>
      <c r="AU65" s="704"/>
      <c r="AV65" s="536">
        <f>IFERROR(AQ65/AU65,0)</f>
        <v>0</v>
      </c>
      <c r="AW65" s="1021"/>
      <c r="AX65" s="463"/>
      <c r="AY65" s="463"/>
      <c r="AZ65" s="463"/>
      <c r="BA65" s="463" t="str">
        <f>IF(COUNT(AY65,AZ65)&lt;2, "0", AZ65 - AY65 )</f>
        <v>0</v>
      </c>
      <c r="BB65" s="536">
        <f>IFERROR(AW65/BA65,0)</f>
        <v>0</v>
      </c>
      <c r="BC65" s="461"/>
      <c r="BD65" s="461"/>
      <c r="BE65" s="152">
        <f>AK65+AQ65+AW65+BC65</f>
        <v>57.309999999999995</v>
      </c>
      <c r="BF65" s="152">
        <f>AL65+AR65+AX65+BD65</f>
        <v>0</v>
      </c>
      <c r="BG65" s="158">
        <v>2</v>
      </c>
    </row>
    <row r="66" spans="1:59" ht="24" customHeight="1" x14ac:dyDescent="0.35">
      <c r="A66" s="1005"/>
      <c r="B66" s="1002"/>
      <c r="C66" s="1002"/>
      <c r="D66" s="83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>
        <v>4</v>
      </c>
      <c r="S66" s="529">
        <v>4</v>
      </c>
      <c r="T66" s="529">
        <v>4</v>
      </c>
      <c r="U66" s="529">
        <v>4</v>
      </c>
      <c r="V66" s="529">
        <v>4</v>
      </c>
      <c r="W66" s="529">
        <v>4</v>
      </c>
      <c r="X66" s="529">
        <v>3</v>
      </c>
      <c r="Y66" s="529">
        <v>4</v>
      </c>
      <c r="Z66" s="529">
        <v>4</v>
      </c>
      <c r="AA66" s="529">
        <v>4</v>
      </c>
      <c r="AB66" s="529">
        <v>4</v>
      </c>
      <c r="AC66" s="529">
        <v>4</v>
      </c>
      <c r="AD66" s="529">
        <v>4</v>
      </c>
      <c r="AE66" s="529">
        <v>4</v>
      </c>
      <c r="AF66" s="529">
        <v>4</v>
      </c>
      <c r="AG66" s="529">
        <v>4</v>
      </c>
      <c r="AH66" s="529">
        <v>4</v>
      </c>
      <c r="AI66" s="529">
        <v>4</v>
      </c>
      <c r="AJ66" s="129"/>
      <c r="AK66" s="1012"/>
      <c r="AL66" s="1012"/>
      <c r="AM66" s="696"/>
      <c r="AN66" s="696"/>
      <c r="AO66" s="694"/>
      <c r="AP66" s="538"/>
      <c r="AQ66" s="1014"/>
      <c r="AR66" s="1014"/>
      <c r="AS66" s="705"/>
      <c r="AT66" s="705"/>
      <c r="AU66" s="705"/>
      <c r="AV66" s="537"/>
      <c r="AW66" s="1022"/>
      <c r="AX66" s="464"/>
      <c r="AY66" s="464"/>
      <c r="AZ66" s="464"/>
      <c r="BA66" s="464"/>
      <c r="BB66" s="537"/>
      <c r="BC66" s="462"/>
      <c r="BD66" s="462"/>
      <c r="BE66" s="153"/>
      <c r="BF66" s="153"/>
      <c r="BG66" s="159"/>
    </row>
    <row r="67" spans="1:59" ht="24" customHeight="1" x14ac:dyDescent="0.35">
      <c r="A67" s="1005"/>
      <c r="B67" s="1001">
        <v>2010</v>
      </c>
      <c r="C67" s="1001">
        <v>11</v>
      </c>
      <c r="D67" s="79">
        <v>44.5</v>
      </c>
      <c r="E67" s="528">
        <v>3</v>
      </c>
      <c r="F67" s="85">
        <v>4</v>
      </c>
      <c r="G67" s="85">
        <v>5</v>
      </c>
      <c r="H67" s="85">
        <v>6</v>
      </c>
      <c r="I67" s="85">
        <v>7</v>
      </c>
      <c r="J67" s="85">
        <v>8</v>
      </c>
      <c r="K67" s="528">
        <v>9</v>
      </c>
      <c r="L67" s="85">
        <v>10</v>
      </c>
      <c r="M67" s="85">
        <v>11</v>
      </c>
      <c r="N67" s="85">
        <v>12</v>
      </c>
      <c r="O67" s="85">
        <v>13</v>
      </c>
      <c r="P67" s="528">
        <v>14</v>
      </c>
      <c r="Q67" s="528">
        <v>15</v>
      </c>
      <c r="R67" s="528">
        <v>16</v>
      </c>
      <c r="S67" s="528">
        <v>17</v>
      </c>
      <c r="T67" s="528">
        <v>18</v>
      </c>
      <c r="U67" s="528">
        <v>19</v>
      </c>
      <c r="V67" s="528">
        <v>20</v>
      </c>
      <c r="W67" s="528">
        <v>21</v>
      </c>
      <c r="X67" s="528">
        <v>22</v>
      </c>
      <c r="Y67" s="528">
        <v>23</v>
      </c>
      <c r="Z67" s="528">
        <v>24</v>
      </c>
      <c r="AA67" s="528">
        <v>25</v>
      </c>
      <c r="AB67" s="528">
        <v>26</v>
      </c>
      <c r="AC67" s="528">
        <v>27</v>
      </c>
      <c r="AD67" s="528">
        <v>28</v>
      </c>
      <c r="AE67" s="528">
        <v>29</v>
      </c>
      <c r="AF67" s="528">
        <v>30</v>
      </c>
      <c r="AG67" s="528">
        <v>31</v>
      </c>
      <c r="AH67" s="528">
        <v>32</v>
      </c>
      <c r="AI67" s="528">
        <v>33</v>
      </c>
      <c r="AJ67" s="128">
        <f>SUM(D68:AI68)</f>
        <v>36</v>
      </c>
      <c r="AK67" s="1011">
        <f>3.66+3.79+7.8+3.66+3.71+4.15+5.65</f>
        <v>32.42</v>
      </c>
      <c r="AL67" s="1011"/>
      <c r="AM67" s="697"/>
      <c r="AN67" s="697">
        <v>2</v>
      </c>
      <c r="AO67" s="694" t="str">
        <f t="shared" si="0"/>
        <v>0</v>
      </c>
      <c r="AP67" s="538">
        <f>IFERROR(AK67/AO67,0)</f>
        <v>0</v>
      </c>
      <c r="AQ67" s="1013"/>
      <c r="AR67" s="1013"/>
      <c r="AS67" s="704"/>
      <c r="AT67" s="704"/>
      <c r="AU67" s="704"/>
      <c r="AV67" s="536">
        <f>IFERROR(AQ67/AU67,0)</f>
        <v>0</v>
      </c>
      <c r="AW67" s="1021"/>
      <c r="AX67" s="463"/>
      <c r="AY67" s="463"/>
      <c r="AZ67" s="463"/>
      <c r="BA67" s="463" t="str">
        <f>IF(COUNT(AY67,AZ67)&lt;2, "0", AZ67 - AY67 )</f>
        <v>0</v>
      </c>
      <c r="BB67" s="536">
        <f>IFERROR(AW67/BA67,0)</f>
        <v>0</v>
      </c>
      <c r="BC67" s="461"/>
      <c r="BD67" s="461"/>
      <c r="BE67" s="152">
        <f>AK67+AQ67+AW67+BC67</f>
        <v>32.42</v>
      </c>
      <c r="BF67" s="152">
        <f>AL67+AR67+AX67+BD67</f>
        <v>0</v>
      </c>
      <c r="BG67" s="158">
        <v>11</v>
      </c>
    </row>
    <row r="68" spans="1:59" ht="24" customHeight="1" x14ac:dyDescent="0.35">
      <c r="A68" s="1005"/>
      <c r="B68" s="1002"/>
      <c r="C68" s="1002"/>
      <c r="D68" s="83"/>
      <c r="E68" s="529"/>
      <c r="F68" s="529">
        <v>4</v>
      </c>
      <c r="G68" s="529">
        <v>4</v>
      </c>
      <c r="H68" s="529">
        <v>4</v>
      </c>
      <c r="I68" s="529">
        <v>4</v>
      </c>
      <c r="J68" s="529">
        <v>4</v>
      </c>
      <c r="K68" s="529"/>
      <c r="L68" s="529">
        <v>4</v>
      </c>
      <c r="M68" s="529">
        <v>4</v>
      </c>
      <c r="N68" s="529">
        <v>4</v>
      </c>
      <c r="O68" s="529">
        <v>4</v>
      </c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529"/>
      <c r="AG68" s="529"/>
      <c r="AH68" s="529"/>
      <c r="AI68" s="529"/>
      <c r="AJ68" s="129"/>
      <c r="AK68" s="1012"/>
      <c r="AL68" s="1012"/>
      <c r="AM68" s="696"/>
      <c r="AN68" s="696"/>
      <c r="AO68" s="694"/>
      <c r="AP68" s="538"/>
      <c r="AQ68" s="1014"/>
      <c r="AR68" s="1014"/>
      <c r="AS68" s="705"/>
      <c r="AT68" s="705"/>
      <c r="AU68" s="705"/>
      <c r="AV68" s="537"/>
      <c r="AW68" s="1022"/>
      <c r="AX68" s="464"/>
      <c r="AY68" s="464"/>
      <c r="AZ68" s="464"/>
      <c r="BA68" s="464"/>
      <c r="BB68" s="537"/>
      <c r="BC68" s="462"/>
      <c r="BD68" s="462"/>
      <c r="BE68" s="153"/>
      <c r="BF68" s="153"/>
      <c r="BG68" s="159"/>
    </row>
    <row r="69" spans="1:59" ht="24" customHeight="1" x14ac:dyDescent="0.35">
      <c r="A69" s="1005"/>
      <c r="B69" s="1001">
        <v>2015</v>
      </c>
      <c r="C69" s="1001">
        <v>29</v>
      </c>
      <c r="D69" s="94">
        <v>11.38</v>
      </c>
      <c r="E69" s="530">
        <v>15</v>
      </c>
      <c r="F69" s="530">
        <v>16</v>
      </c>
      <c r="G69" s="453">
        <v>1</v>
      </c>
      <c r="H69" s="530">
        <v>2</v>
      </c>
      <c r="I69" s="530">
        <v>3</v>
      </c>
      <c r="J69" s="530">
        <v>4</v>
      </c>
      <c r="K69" s="530">
        <v>5</v>
      </c>
      <c r="L69" s="530">
        <v>6</v>
      </c>
      <c r="M69" s="530">
        <v>7</v>
      </c>
      <c r="N69" s="530">
        <v>8</v>
      </c>
      <c r="O69" s="530">
        <v>9</v>
      </c>
      <c r="P69" s="530">
        <v>10</v>
      </c>
      <c r="Q69" s="530">
        <v>11</v>
      </c>
      <c r="R69" s="530">
        <v>12</v>
      </c>
      <c r="S69" s="530">
        <v>13</v>
      </c>
      <c r="T69" s="530">
        <v>14</v>
      </c>
      <c r="U69" s="530">
        <v>15</v>
      </c>
      <c r="V69" s="530">
        <v>16</v>
      </c>
      <c r="W69" s="530">
        <v>17</v>
      </c>
      <c r="X69" s="530">
        <v>18</v>
      </c>
      <c r="Y69" s="530">
        <v>19</v>
      </c>
      <c r="Z69" s="530">
        <v>20</v>
      </c>
      <c r="AA69" s="454">
        <v>1</v>
      </c>
      <c r="AB69" s="454">
        <v>2</v>
      </c>
      <c r="AC69" s="530">
        <v>3</v>
      </c>
      <c r="AD69" s="530">
        <v>4</v>
      </c>
      <c r="AE69" s="530">
        <v>5</v>
      </c>
      <c r="AF69" s="530">
        <v>6</v>
      </c>
      <c r="AG69" s="530">
        <v>7</v>
      </c>
      <c r="AH69" s="530">
        <v>8</v>
      </c>
      <c r="AI69" s="530">
        <v>9</v>
      </c>
      <c r="AJ69" s="128">
        <f>SUM(D70:AI70)</f>
        <v>21</v>
      </c>
      <c r="AK69" s="1011">
        <f>4.74</f>
        <v>4.74</v>
      </c>
      <c r="AL69" s="1011"/>
      <c r="AM69" s="697"/>
      <c r="AN69" s="697">
        <v>2</v>
      </c>
      <c r="AO69" s="694" t="str">
        <f>IF(COUNT(AM69,AN69)&lt;2, "0", AN69 - AM69 + 1)</f>
        <v>0</v>
      </c>
      <c r="AP69" s="538">
        <f>IFERROR(AK69/AO69,0)</f>
        <v>0</v>
      </c>
      <c r="AQ69" s="1013">
        <f>6.76+3.62</f>
        <v>10.379999999999999</v>
      </c>
      <c r="AR69" s="1013"/>
      <c r="AS69" s="704"/>
      <c r="AT69" s="704"/>
      <c r="AU69" s="704"/>
      <c r="AV69" s="536">
        <f>IFERROR(AQ69/AU69,0)</f>
        <v>0</v>
      </c>
      <c r="AW69" s="1021"/>
      <c r="AX69" s="463"/>
      <c r="AY69" s="463"/>
      <c r="AZ69" s="463"/>
      <c r="BA69" s="463" t="str">
        <f>IF(COUNT(AY69,AZ69)&lt;2, "0", AZ69 - AY69 )</f>
        <v>0</v>
      </c>
      <c r="BB69" s="536">
        <f>IFERROR(AW69/BA69,0)</f>
        <v>0</v>
      </c>
      <c r="BC69" s="457"/>
      <c r="BD69" s="461"/>
      <c r="BE69" s="152">
        <f>AK69+AQ69+AW69+BC69</f>
        <v>15.12</v>
      </c>
      <c r="BF69" s="152">
        <f>AL69+AR69+AX69+BD69</f>
        <v>0</v>
      </c>
      <c r="BG69" s="158">
        <v>29</v>
      </c>
    </row>
    <row r="70" spans="1:59" ht="24" customHeight="1" x14ac:dyDescent="0.35">
      <c r="A70" s="1006"/>
      <c r="B70" s="1002"/>
      <c r="C70" s="1002"/>
      <c r="D70" s="94"/>
      <c r="E70" s="531"/>
      <c r="F70" s="531"/>
      <c r="G70" s="531">
        <v>7</v>
      </c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>
        <v>7</v>
      </c>
      <c r="AB70" s="531">
        <v>7</v>
      </c>
      <c r="AC70" s="531"/>
      <c r="AD70" s="531"/>
      <c r="AE70" s="531"/>
      <c r="AF70" s="531"/>
      <c r="AG70" s="531"/>
      <c r="AH70" s="531"/>
      <c r="AI70" s="531"/>
      <c r="AJ70" s="129"/>
      <c r="AK70" s="1012"/>
      <c r="AL70" s="1012"/>
      <c r="AM70" s="696"/>
      <c r="AN70" s="696"/>
      <c r="AO70" s="694"/>
      <c r="AP70" s="538"/>
      <c r="AQ70" s="1014"/>
      <c r="AR70" s="1014"/>
      <c r="AS70" s="705"/>
      <c r="AT70" s="705"/>
      <c r="AU70" s="705"/>
      <c r="AV70" s="537"/>
      <c r="AW70" s="1022"/>
      <c r="AX70" s="464"/>
      <c r="AY70" s="464"/>
      <c r="AZ70" s="464"/>
      <c r="BA70" s="464"/>
      <c r="BB70" s="537"/>
      <c r="BC70" s="457"/>
      <c r="BD70" s="462"/>
      <c r="BE70" s="153"/>
      <c r="BF70" s="153"/>
      <c r="BG70" s="159"/>
    </row>
    <row r="71" spans="1:59" ht="24" customHeight="1" x14ac:dyDescent="0.35">
      <c r="A71" s="124"/>
      <c r="B71" s="1001">
        <v>2014</v>
      </c>
      <c r="C71" s="1001">
        <v>105</v>
      </c>
      <c r="D71" s="1001"/>
      <c r="E71" s="530">
        <v>526</v>
      </c>
      <c r="F71" s="530">
        <v>527</v>
      </c>
      <c r="G71" s="530">
        <v>528</v>
      </c>
      <c r="H71" s="530">
        <v>529</v>
      </c>
      <c r="I71" s="530">
        <v>530</v>
      </c>
      <c r="J71" s="530">
        <v>531</v>
      </c>
      <c r="K71" s="530">
        <v>532</v>
      </c>
      <c r="L71" s="530">
        <v>533</v>
      </c>
      <c r="M71" s="530">
        <v>534</v>
      </c>
      <c r="N71" s="530">
        <v>535</v>
      </c>
      <c r="O71" s="530">
        <v>536</v>
      </c>
      <c r="P71" s="530">
        <v>537</v>
      </c>
      <c r="Q71" s="530">
        <v>538</v>
      </c>
      <c r="R71" s="530">
        <v>539</v>
      </c>
      <c r="S71" s="530">
        <v>540</v>
      </c>
      <c r="T71" s="530">
        <v>541</v>
      </c>
      <c r="U71" s="530">
        <v>542</v>
      </c>
      <c r="V71" s="530">
        <v>543</v>
      </c>
      <c r="W71" s="530">
        <v>544</v>
      </c>
      <c r="X71" s="530">
        <v>545</v>
      </c>
      <c r="Y71" s="530">
        <v>546</v>
      </c>
      <c r="Z71" s="530">
        <v>547</v>
      </c>
      <c r="AA71" s="530">
        <v>548</v>
      </c>
      <c r="AB71" s="530">
        <v>549</v>
      </c>
      <c r="AC71" s="530">
        <v>550</v>
      </c>
      <c r="AD71" s="530">
        <v>551</v>
      </c>
      <c r="AE71" s="530">
        <v>552</v>
      </c>
      <c r="AF71" s="530">
        <v>553</v>
      </c>
      <c r="AG71" s="530">
        <v>554</v>
      </c>
      <c r="AH71" s="530">
        <v>555</v>
      </c>
      <c r="AI71" s="530">
        <v>556</v>
      </c>
      <c r="AJ71" s="128">
        <f>SUM(D72:AI72)</f>
        <v>0</v>
      </c>
      <c r="AK71" s="1011"/>
      <c r="AL71" s="1011"/>
      <c r="AM71" s="695"/>
      <c r="AN71" s="695"/>
      <c r="AO71" s="695"/>
      <c r="AP71" s="534"/>
      <c r="AQ71" s="1013"/>
      <c r="AR71" s="1013"/>
      <c r="AS71" s="704"/>
      <c r="AT71" s="704"/>
      <c r="AU71" s="704"/>
      <c r="AV71" s="536"/>
      <c r="AW71" s="1021"/>
      <c r="AX71" s="463"/>
      <c r="AY71" s="465"/>
      <c r="AZ71" s="463"/>
      <c r="BA71" s="465"/>
      <c r="BB71" s="536"/>
      <c r="BC71" s="461"/>
      <c r="BD71" s="461"/>
      <c r="BE71" s="152">
        <f>AK71+AQ71+AW71+BC71</f>
        <v>0</v>
      </c>
      <c r="BF71" s="152">
        <f>AL71+AR71+AX71+BD71</f>
        <v>0</v>
      </c>
      <c r="BG71" s="154">
        <v>105</v>
      </c>
    </row>
    <row r="72" spans="1:59" ht="24" customHeight="1" x14ac:dyDescent="0.35">
      <c r="A72" s="130"/>
      <c r="B72" s="1002"/>
      <c r="C72" s="1002"/>
      <c r="D72" s="1002"/>
      <c r="E72" s="529"/>
      <c r="F72" s="529"/>
      <c r="G72" s="529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529"/>
      <c r="AG72" s="529"/>
      <c r="AH72" s="529"/>
      <c r="AI72" s="529"/>
      <c r="AJ72" s="129"/>
      <c r="AK72" s="1012"/>
      <c r="AL72" s="1012"/>
      <c r="AM72" s="696"/>
      <c r="AN72" s="696"/>
      <c r="AO72" s="696"/>
      <c r="AP72" s="535"/>
      <c r="AQ72" s="1014"/>
      <c r="AR72" s="1014"/>
      <c r="AS72" s="705"/>
      <c r="AT72" s="705"/>
      <c r="AU72" s="705"/>
      <c r="AV72" s="537"/>
      <c r="AW72" s="1022"/>
      <c r="AX72" s="464"/>
      <c r="AY72" s="465"/>
      <c r="AZ72" s="464"/>
      <c r="BA72" s="465"/>
      <c r="BB72" s="537"/>
      <c r="BC72" s="462"/>
      <c r="BD72" s="462"/>
      <c r="BE72" s="153"/>
      <c r="BF72" s="153"/>
      <c r="BG72" s="155"/>
    </row>
    <row r="73" spans="1:59" ht="24" customHeight="1" x14ac:dyDescent="0.35">
      <c r="A73" s="130"/>
      <c r="B73" s="1001">
        <v>2008</v>
      </c>
      <c r="C73" s="1001">
        <v>114</v>
      </c>
      <c r="D73" s="94"/>
      <c r="E73" s="530">
        <v>526</v>
      </c>
      <c r="F73" s="530">
        <v>527</v>
      </c>
      <c r="G73" s="530">
        <v>528</v>
      </c>
      <c r="H73" s="530">
        <v>529</v>
      </c>
      <c r="I73" s="530">
        <v>530</v>
      </c>
      <c r="J73" s="530">
        <v>531</v>
      </c>
      <c r="K73" s="530">
        <v>532</v>
      </c>
      <c r="L73" s="530">
        <v>533</v>
      </c>
      <c r="M73" s="530">
        <v>534</v>
      </c>
      <c r="N73" s="530">
        <v>535</v>
      </c>
      <c r="O73" s="530">
        <v>536</v>
      </c>
      <c r="P73" s="530">
        <v>537</v>
      </c>
      <c r="Q73" s="530">
        <v>538</v>
      </c>
      <c r="R73" s="530">
        <v>539</v>
      </c>
      <c r="S73" s="530">
        <v>540</v>
      </c>
      <c r="T73" s="530">
        <v>541</v>
      </c>
      <c r="U73" s="530">
        <v>542</v>
      </c>
      <c r="V73" s="530">
        <v>543</v>
      </c>
      <c r="W73" s="530">
        <v>544</v>
      </c>
      <c r="X73" s="530">
        <v>545</v>
      </c>
      <c r="Y73" s="530">
        <v>546</v>
      </c>
      <c r="Z73" s="530">
        <v>547</v>
      </c>
      <c r="AA73" s="530">
        <v>548</v>
      </c>
      <c r="AB73" s="530">
        <v>549</v>
      </c>
      <c r="AC73" s="530">
        <v>550</v>
      </c>
      <c r="AD73" s="530">
        <v>551</v>
      </c>
      <c r="AE73" s="530">
        <v>552</v>
      </c>
      <c r="AF73" s="530">
        <v>553</v>
      </c>
      <c r="AG73" s="530">
        <v>554</v>
      </c>
      <c r="AH73" s="530">
        <v>555</v>
      </c>
      <c r="AI73" s="530">
        <v>556</v>
      </c>
      <c r="AJ73" s="128">
        <f>SUM(D74:AI74)</f>
        <v>0</v>
      </c>
      <c r="AK73" s="1011"/>
      <c r="AL73" s="1011"/>
      <c r="AM73" s="695"/>
      <c r="AN73" s="695"/>
      <c r="AO73" s="695"/>
      <c r="AP73" s="534"/>
      <c r="AQ73" s="1013"/>
      <c r="AR73" s="1013"/>
      <c r="AS73" s="704"/>
      <c r="AT73" s="704"/>
      <c r="AU73" s="704"/>
      <c r="AV73" s="536"/>
      <c r="AW73" s="1021"/>
      <c r="AX73" s="463"/>
      <c r="AY73" s="465"/>
      <c r="AZ73" s="463"/>
      <c r="BA73" s="465"/>
      <c r="BB73" s="536"/>
      <c r="BC73" s="461"/>
      <c r="BD73" s="461"/>
      <c r="BE73" s="152">
        <f>AK73+AQ73+AW73+BC73</f>
        <v>0</v>
      </c>
      <c r="BF73" s="152">
        <f>AL73+AR73+AX73+BD73</f>
        <v>0</v>
      </c>
      <c r="BG73" s="154">
        <v>114</v>
      </c>
    </row>
    <row r="74" spans="1:59" ht="24" customHeight="1" thickBot="1" x14ac:dyDescent="0.4">
      <c r="A74" s="125"/>
      <c r="B74" s="1002"/>
      <c r="C74" s="1002"/>
      <c r="D74" s="83"/>
      <c r="E74" s="452"/>
      <c r="F74" s="452"/>
      <c r="G74" s="452"/>
      <c r="H74" s="452"/>
      <c r="I74" s="452"/>
      <c r="J74" s="452"/>
      <c r="K74" s="452"/>
      <c r="L74" s="452"/>
      <c r="M74" s="452"/>
      <c r="N74" s="452"/>
      <c r="O74" s="452"/>
      <c r="P74" s="452"/>
      <c r="Q74" s="452"/>
      <c r="R74" s="452"/>
      <c r="S74" s="452"/>
      <c r="T74" s="452"/>
      <c r="U74" s="452"/>
      <c r="V74" s="452"/>
      <c r="W74" s="452"/>
      <c r="X74" s="452"/>
      <c r="Y74" s="452"/>
      <c r="Z74" s="452"/>
      <c r="AA74" s="452"/>
      <c r="AB74" s="452"/>
      <c r="AC74" s="452"/>
      <c r="AD74" s="452"/>
      <c r="AE74" s="452"/>
      <c r="AF74" s="452"/>
      <c r="AG74" s="452"/>
      <c r="AH74" s="452"/>
      <c r="AI74" s="452"/>
      <c r="AJ74" s="129"/>
      <c r="AK74" s="1012"/>
      <c r="AL74" s="1012"/>
      <c r="AM74" s="696"/>
      <c r="AN74" s="696"/>
      <c r="AO74" s="696"/>
      <c r="AP74" s="535"/>
      <c r="AQ74" s="1014"/>
      <c r="AR74" s="1014"/>
      <c r="AS74" s="705"/>
      <c r="AT74" s="705"/>
      <c r="AU74" s="705"/>
      <c r="AV74" s="537"/>
      <c r="AW74" s="1022"/>
      <c r="AX74" s="464"/>
      <c r="AY74" s="465"/>
      <c r="AZ74" s="464"/>
      <c r="BA74" s="465"/>
      <c r="BB74" s="537"/>
      <c r="BC74" s="462"/>
      <c r="BD74" s="462"/>
      <c r="BE74" s="153"/>
      <c r="BF74" s="153"/>
      <c r="BG74" s="155"/>
    </row>
    <row r="75" spans="1:59" ht="21" customHeight="1" x14ac:dyDescent="0.35">
      <c r="A75" s="111" t="s">
        <v>92</v>
      </c>
      <c r="B75" s="112"/>
      <c r="C75" s="112"/>
      <c r="D75" s="143"/>
      <c r="E75" s="96">
        <f>E6+E8+E10+E12+E14+E16+E18+E20+E22+E24+E26+E28+E30+E32+E34+E36+E38+E40+E42+E44+E46+E48+E50+E52+E54+E56+E58+E60+E62+E68+E64+E66+E70+E72+E74</f>
        <v>23</v>
      </c>
      <c r="F75" s="96">
        <f t="shared" ref="F75:AH75" si="1">F6+F8+F10+F12+F14+F16+F18+F20+F22+F24+F26+F28+F30+F32+F34+F36+F38+F40+F42+F44+F46+F48+F50+F52+F54+F56+F58+F60+F62+F68+F64+F66+F70+F72+F74</f>
        <v>23</v>
      </c>
      <c r="G75" s="96">
        <f t="shared" si="1"/>
        <v>39</v>
      </c>
      <c r="H75" s="96">
        <f t="shared" si="1"/>
        <v>53</v>
      </c>
      <c r="I75" s="96">
        <f t="shared" si="1"/>
        <v>52</v>
      </c>
      <c r="J75" s="96">
        <f t="shared" si="1"/>
        <v>55</v>
      </c>
      <c r="K75" s="96">
        <f t="shared" si="1"/>
        <v>0</v>
      </c>
      <c r="L75" s="96">
        <f t="shared" si="1"/>
        <v>36</v>
      </c>
      <c r="M75" s="96">
        <f t="shared" si="1"/>
        <v>55</v>
      </c>
      <c r="N75" s="96">
        <f t="shared" si="1"/>
        <v>55</v>
      </c>
      <c r="O75" s="96">
        <f t="shared" si="1"/>
        <v>54</v>
      </c>
      <c r="P75" s="96">
        <f t="shared" si="1"/>
        <v>51</v>
      </c>
      <c r="Q75" s="96">
        <f t="shared" si="1"/>
        <v>0</v>
      </c>
      <c r="R75" s="96">
        <f t="shared" si="1"/>
        <v>49</v>
      </c>
      <c r="S75" s="96">
        <f t="shared" si="1"/>
        <v>56</v>
      </c>
      <c r="T75" s="96">
        <f t="shared" si="1"/>
        <v>54</v>
      </c>
      <c r="U75" s="96">
        <f t="shared" si="1"/>
        <v>53</v>
      </c>
      <c r="V75" s="96">
        <f t="shared" si="1"/>
        <v>52</v>
      </c>
      <c r="W75" s="96">
        <f t="shared" si="1"/>
        <v>21</v>
      </c>
      <c r="X75" s="96">
        <f t="shared" si="1"/>
        <v>52</v>
      </c>
      <c r="Y75" s="96">
        <f t="shared" si="1"/>
        <v>52</v>
      </c>
      <c r="Z75" s="96">
        <f t="shared" si="1"/>
        <v>46</v>
      </c>
      <c r="AA75" s="96">
        <f t="shared" si="1"/>
        <v>51</v>
      </c>
      <c r="AB75" s="96">
        <f t="shared" si="1"/>
        <v>52</v>
      </c>
      <c r="AC75" s="96">
        <f t="shared" si="1"/>
        <v>22</v>
      </c>
      <c r="AD75" s="96">
        <f t="shared" si="1"/>
        <v>25</v>
      </c>
      <c r="AE75" s="96">
        <f t="shared" si="1"/>
        <v>50</v>
      </c>
      <c r="AF75" s="96">
        <f t="shared" si="1"/>
        <v>48</v>
      </c>
      <c r="AG75" s="96">
        <f t="shared" si="1"/>
        <v>51</v>
      </c>
      <c r="AH75" s="96">
        <f t="shared" si="1"/>
        <v>54</v>
      </c>
      <c r="AI75" s="96">
        <f>AI6+AI8+AI10+AI12+AI14+AI16+AI18+AI20+AI22+AI24+AI26+AI28+AI30+AI32+AI34+AI36+AI38+AI40+AI42+AI44+AI46+AI48+AI50+AI52+AI54+AI56+AI58+AI60+AI62+AI68+AI64+AI66+AI70+AI72+AI74</f>
        <v>51</v>
      </c>
      <c r="AJ75" s="118" t="s">
        <v>93</v>
      </c>
      <c r="AK75" s="120">
        <f>SUM(AK5:AK74)</f>
        <v>1311.06</v>
      </c>
      <c r="AL75" s="120">
        <f>SUM(AL5:AL74)</f>
        <v>0</v>
      </c>
      <c r="AM75" s="695"/>
      <c r="AN75" s="695"/>
      <c r="AO75" s="694">
        <f>SUM(AO5:AO74)</f>
        <v>0</v>
      </c>
      <c r="AP75" s="538" t="e">
        <f>AK75/AO75</f>
        <v>#DIV/0!</v>
      </c>
      <c r="AQ75" s="122">
        <f>SUM(AQ5:AQ74)</f>
        <v>659.65</v>
      </c>
      <c r="AR75" s="122">
        <f>SUM(AR5:AR74)</f>
        <v>0</v>
      </c>
      <c r="AS75" s="704"/>
      <c r="AT75" s="704"/>
      <c r="AU75" s="704">
        <f>SUM(AU5:AU74)</f>
        <v>0</v>
      </c>
      <c r="AV75" s="536" t="e">
        <f>AQ75/AU75</f>
        <v>#DIV/0!</v>
      </c>
      <c r="AW75" s="115">
        <f>SUM(AW5:AW74)</f>
        <v>0</v>
      </c>
      <c r="AX75" s="115">
        <f>SUM(AX5:AX74)</f>
        <v>0</v>
      </c>
      <c r="AY75" s="115"/>
      <c r="AZ75" s="115"/>
      <c r="BA75" s="115">
        <f>SUM(BA5:BA74)</f>
        <v>0</v>
      </c>
      <c r="BB75" s="536" t="e">
        <f>AW75/BA75</f>
        <v>#DIV/0!</v>
      </c>
      <c r="BC75" s="117">
        <f>SUM(BC5:BC74)</f>
        <v>0</v>
      </c>
      <c r="BD75" s="148">
        <f>SUM(BD5:BD74)</f>
        <v>0</v>
      </c>
      <c r="BE75" s="150">
        <f>BE5+BE7+BE9+BE11+BE13+BE15+BE17+BE19+BE21+BE23+BE25+BE27+BE29+BE31+BE33+BE35+BE37+BE39+BE41+BE43+BE45+BE47+BE49+BE51+BE53+BE55+BE57+BE59+BE61+BE63+BE65+BE67+BE71+BE73+BE69</f>
        <v>1970.7100000000003</v>
      </c>
      <c r="BF75" s="150">
        <f>BF5+BF7+BF9+BF11+BF13+BF15+BF17+BF19+BF21+BF23+BF25+BF27+BF29+BF31+BF33+BF35+BF37+BF39+BF41+BF43+BF45+BF47+BF49+BF51+BF53+BF55+BF57+BF59+BF61+BF63+BF65+BF67+BF69+BF71+BF73</f>
        <v>0</v>
      </c>
      <c r="BG75" s="75"/>
    </row>
    <row r="76" spans="1:59" x14ac:dyDescent="0.35">
      <c r="A76" s="111" t="s">
        <v>94</v>
      </c>
      <c r="B76" s="112"/>
      <c r="C76" s="112"/>
      <c r="D76" s="143"/>
      <c r="E76" s="96">
        <f>E75</f>
        <v>23</v>
      </c>
      <c r="F76" s="96">
        <f>E76+F75</f>
        <v>46</v>
      </c>
      <c r="G76" s="96">
        <f t="shared" ref="G76:AI76" si="2">F76+G75</f>
        <v>85</v>
      </c>
      <c r="H76" s="96">
        <f t="shared" si="2"/>
        <v>138</v>
      </c>
      <c r="I76" s="96">
        <f t="shared" si="2"/>
        <v>190</v>
      </c>
      <c r="J76" s="96">
        <f t="shared" si="2"/>
        <v>245</v>
      </c>
      <c r="K76" s="96">
        <f t="shared" si="2"/>
        <v>245</v>
      </c>
      <c r="L76" s="96">
        <f t="shared" si="2"/>
        <v>281</v>
      </c>
      <c r="M76" s="96">
        <f t="shared" si="2"/>
        <v>336</v>
      </c>
      <c r="N76" s="96">
        <f t="shared" si="2"/>
        <v>391</v>
      </c>
      <c r="O76" s="96">
        <f t="shared" si="2"/>
        <v>445</v>
      </c>
      <c r="P76" s="96">
        <f t="shared" si="2"/>
        <v>496</v>
      </c>
      <c r="Q76" s="96">
        <f t="shared" si="2"/>
        <v>496</v>
      </c>
      <c r="R76" s="96">
        <f t="shared" si="2"/>
        <v>545</v>
      </c>
      <c r="S76" s="96">
        <f t="shared" si="2"/>
        <v>601</v>
      </c>
      <c r="T76" s="96">
        <f t="shared" si="2"/>
        <v>655</v>
      </c>
      <c r="U76" s="96">
        <f t="shared" si="2"/>
        <v>708</v>
      </c>
      <c r="V76" s="96">
        <f t="shared" si="2"/>
        <v>760</v>
      </c>
      <c r="W76" s="96">
        <f t="shared" si="2"/>
        <v>781</v>
      </c>
      <c r="X76" s="96">
        <f t="shared" si="2"/>
        <v>833</v>
      </c>
      <c r="Y76" s="96">
        <f t="shared" si="2"/>
        <v>885</v>
      </c>
      <c r="Z76" s="96">
        <f t="shared" si="2"/>
        <v>931</v>
      </c>
      <c r="AA76" s="96">
        <f t="shared" si="2"/>
        <v>982</v>
      </c>
      <c r="AB76" s="96">
        <f t="shared" si="2"/>
        <v>1034</v>
      </c>
      <c r="AC76" s="96">
        <f t="shared" si="2"/>
        <v>1056</v>
      </c>
      <c r="AD76" s="96">
        <f t="shared" si="2"/>
        <v>1081</v>
      </c>
      <c r="AE76" s="96">
        <f t="shared" si="2"/>
        <v>1131</v>
      </c>
      <c r="AF76" s="96">
        <f t="shared" si="2"/>
        <v>1179</v>
      </c>
      <c r="AG76" s="96">
        <f t="shared" si="2"/>
        <v>1230</v>
      </c>
      <c r="AH76" s="96">
        <f t="shared" si="2"/>
        <v>1284</v>
      </c>
      <c r="AI76" s="96">
        <f t="shared" si="2"/>
        <v>1335</v>
      </c>
      <c r="AJ76" s="119"/>
      <c r="AK76" s="121"/>
      <c r="AL76" s="121"/>
      <c r="AM76" s="696"/>
      <c r="AN76" s="696"/>
      <c r="AO76" s="694"/>
      <c r="AP76" s="538"/>
      <c r="AQ76" s="123"/>
      <c r="AR76" s="123"/>
      <c r="AS76" s="705"/>
      <c r="AT76" s="705"/>
      <c r="AU76" s="705"/>
      <c r="AV76" s="537"/>
      <c r="AW76" s="116"/>
      <c r="AX76" s="116"/>
      <c r="AY76" s="116"/>
      <c r="AZ76" s="116"/>
      <c r="BA76" s="116"/>
      <c r="BB76" s="537"/>
      <c r="BC76" s="95"/>
      <c r="BD76" s="149"/>
      <c r="BE76" s="151"/>
      <c r="BF76" s="151"/>
      <c r="BG76" s="75"/>
    </row>
    <row r="77" spans="1:59" ht="28.5" customHeight="1" x14ac:dyDescent="0.35">
      <c r="A77" s="111" t="s">
        <v>95</v>
      </c>
      <c r="B77" s="112"/>
      <c r="C77" s="112"/>
      <c r="D77" s="143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144" t="s">
        <v>96</v>
      </c>
      <c r="AK77" s="145"/>
      <c r="AL77" s="145"/>
      <c r="AM77" s="698"/>
      <c r="AN77" s="698"/>
      <c r="AO77" s="698"/>
      <c r="AP77" s="698"/>
      <c r="AQ77" s="145"/>
      <c r="AR77" s="145"/>
      <c r="AS77" s="698"/>
      <c r="AT77" s="698"/>
      <c r="AU77" s="698"/>
      <c r="AV77" s="698"/>
      <c r="AW77" s="145"/>
      <c r="AX77" s="145"/>
      <c r="AY77" s="145"/>
      <c r="AZ77" s="145"/>
      <c r="BA77" s="145"/>
      <c r="BB77" s="698"/>
      <c r="BC77" s="145"/>
      <c r="BD77" s="146"/>
      <c r="BE77" s="147">
        <f>BE75+BF75</f>
        <v>1970.7100000000003</v>
      </c>
      <c r="BF77" s="113"/>
      <c r="BG77" s="75"/>
    </row>
    <row r="78" spans="1:59" ht="21" customHeight="1" x14ac:dyDescent="0.35">
      <c r="A78" s="76"/>
      <c r="B78" s="76"/>
      <c r="E78" s="97"/>
      <c r="P78" s="98"/>
      <c r="Q78" s="98"/>
      <c r="T78" s="99"/>
      <c r="X78" s="100"/>
      <c r="Z78" s="101"/>
      <c r="AD78" s="97"/>
      <c r="BF78" s="76"/>
      <c r="BG78" s="75"/>
    </row>
    <row r="79" spans="1:59" ht="42" customHeight="1" x14ac:dyDescent="0.35">
      <c r="A79" s="76"/>
      <c r="B79" s="76"/>
      <c r="E79" s="114" t="s">
        <v>97</v>
      </c>
      <c r="F79" s="114"/>
      <c r="G79" s="114"/>
      <c r="H79" s="114"/>
      <c r="I79" s="114"/>
      <c r="P79" s="98"/>
      <c r="Q79" s="98"/>
      <c r="T79" s="99"/>
      <c r="X79" s="100"/>
      <c r="Z79" s="102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BF79" s="76"/>
      <c r="BG79" s="75"/>
    </row>
    <row r="80" spans="1:59" ht="21" customHeight="1" x14ac:dyDescent="0.35">
      <c r="B80" s="76"/>
      <c r="E80" s="103"/>
      <c r="P80" s="98"/>
      <c r="Q80" s="98"/>
      <c r="T80" s="99"/>
      <c r="X80" s="100"/>
      <c r="Z80" s="102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BF80" s="76"/>
      <c r="BG80" s="75"/>
    </row>
    <row r="81" spans="1:59" ht="30.75" customHeight="1" x14ac:dyDescent="0.55000000000000004">
      <c r="A81" s="104"/>
      <c r="B81" s="105"/>
      <c r="C81" s="105"/>
      <c r="D81" s="105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2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BF81" s="76"/>
      <c r="BG81" s="75"/>
    </row>
    <row r="82" spans="1:59" ht="30.75" customHeight="1" x14ac:dyDescent="0.55000000000000004">
      <c r="C82" s="75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2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BG82" s="75"/>
    </row>
    <row r="83" spans="1:59" ht="30.75" customHeight="1" x14ac:dyDescent="0.55000000000000004">
      <c r="A83" s="104"/>
      <c r="C83" s="75"/>
      <c r="D83" s="75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2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BG83" s="75"/>
    </row>
    <row r="84" spans="1:59" ht="30.75" customHeight="1" x14ac:dyDescent="0.55000000000000004">
      <c r="A84" s="104"/>
      <c r="C84" s="75"/>
      <c r="D84" s="75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2"/>
      <c r="AA84" s="75"/>
      <c r="AB84" s="75"/>
      <c r="AC84" s="75"/>
      <c r="AD84" s="75"/>
      <c r="AE84" s="75"/>
      <c r="AF84" s="75"/>
      <c r="AG84" s="75"/>
      <c r="AH84" s="75"/>
      <c r="AI84" s="75"/>
      <c r="AJ84" s="75"/>
    </row>
    <row r="85" spans="1:59" ht="30.75" customHeight="1" x14ac:dyDescent="0.55000000000000004">
      <c r="A85" s="104"/>
      <c r="C85" s="75"/>
      <c r="D85" s="75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2"/>
      <c r="AA85" s="75"/>
      <c r="AB85" s="75"/>
      <c r="AC85" s="75"/>
      <c r="AD85" s="75"/>
      <c r="AE85" s="75"/>
      <c r="AF85" s="75"/>
      <c r="AG85" s="75"/>
      <c r="AH85" s="75"/>
      <c r="AI85" s="75"/>
      <c r="AJ85" s="75"/>
    </row>
    <row r="86" spans="1:59" ht="30.75" customHeight="1" x14ac:dyDescent="0.55000000000000004">
      <c r="A86" s="104"/>
      <c r="C86" s="75"/>
      <c r="D86" s="75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2"/>
      <c r="AA86" s="75"/>
      <c r="AB86" s="75"/>
      <c r="AC86" s="75"/>
      <c r="AD86" s="75"/>
      <c r="AE86" s="75"/>
      <c r="AF86" s="75"/>
      <c r="AG86" s="75"/>
      <c r="AH86" s="75"/>
      <c r="AI86" s="75"/>
      <c r="AJ86" s="75"/>
    </row>
    <row r="87" spans="1:59" ht="30.75" customHeight="1" x14ac:dyDescent="0.55000000000000004">
      <c r="A87" s="104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2"/>
      <c r="AA87" s="75"/>
      <c r="AB87" s="75"/>
      <c r="AC87" s="75"/>
      <c r="AD87" s="75"/>
      <c r="AE87" s="75"/>
      <c r="AF87" s="75"/>
      <c r="AG87" s="75"/>
      <c r="AH87" s="75"/>
      <c r="AI87" s="75"/>
      <c r="AJ87" s="75"/>
    </row>
    <row r="88" spans="1:59" ht="30.75" customHeight="1" x14ac:dyDescent="0.55000000000000004">
      <c r="A88" s="104"/>
      <c r="C88" s="75"/>
      <c r="D88" s="75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2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BG88" s="75"/>
    </row>
    <row r="89" spans="1:59" ht="30.75" customHeight="1" x14ac:dyDescent="0.55000000000000004">
      <c r="A89" s="104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2"/>
      <c r="AA89" s="75"/>
      <c r="AB89" s="75"/>
      <c r="AC89" s="75"/>
      <c r="AD89" s="75"/>
      <c r="AE89" s="75"/>
      <c r="AF89" s="75"/>
      <c r="AG89" s="75"/>
      <c r="AH89" s="75"/>
      <c r="AI89" s="75"/>
      <c r="AJ89" s="75"/>
    </row>
    <row r="90" spans="1:59" ht="32.25" customHeight="1" x14ac:dyDescent="0.55000000000000004">
      <c r="A90" s="104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2"/>
      <c r="AA90" s="75"/>
      <c r="AB90" s="75"/>
      <c r="AC90" s="75"/>
      <c r="AD90" s="75"/>
      <c r="AE90" s="75"/>
      <c r="AF90" s="75"/>
      <c r="AG90" s="75"/>
      <c r="AH90" s="75"/>
      <c r="AI90" s="75"/>
      <c r="AJ90" s="75"/>
    </row>
    <row r="91" spans="1:59" ht="32.25" customHeight="1" x14ac:dyDescent="0.55000000000000004">
      <c r="A91" s="104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2"/>
      <c r="AA91" s="75"/>
      <c r="AB91" s="75"/>
      <c r="AC91" s="75"/>
      <c r="AD91" s="75"/>
      <c r="AE91" s="75"/>
      <c r="AF91" s="75"/>
      <c r="AG91" s="75"/>
      <c r="AH91" s="75"/>
      <c r="AI91" s="75"/>
      <c r="AJ91" s="75"/>
    </row>
    <row r="92" spans="1:59" ht="36" x14ac:dyDescent="0.55000000000000004">
      <c r="A92" s="104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2"/>
      <c r="AA92" s="75"/>
      <c r="AB92" s="75"/>
      <c r="AC92" s="75"/>
      <c r="AD92" s="75"/>
      <c r="AE92" s="75"/>
      <c r="AF92" s="75"/>
      <c r="AG92" s="75"/>
      <c r="AH92" s="75"/>
      <c r="AI92" s="75"/>
      <c r="AJ92" s="75"/>
    </row>
    <row r="93" spans="1:59" ht="36" x14ac:dyDescent="0.55000000000000004">
      <c r="A93" s="104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2"/>
      <c r="AA93" s="75"/>
      <c r="AB93" s="75"/>
      <c r="AC93" s="75"/>
      <c r="AD93" s="75"/>
      <c r="AE93" s="75"/>
      <c r="AF93" s="75"/>
      <c r="AG93" s="75"/>
      <c r="AH93" s="75"/>
      <c r="AI93" s="75"/>
      <c r="AJ93" s="75"/>
    </row>
    <row r="94" spans="1:59" ht="36" x14ac:dyDescent="0.55000000000000004">
      <c r="A94" s="104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2"/>
      <c r="AA94" s="75"/>
      <c r="AB94" s="75"/>
      <c r="AC94" s="75"/>
      <c r="AD94" s="75"/>
      <c r="AE94" s="75"/>
      <c r="AF94" s="75"/>
      <c r="AG94" s="75"/>
      <c r="AH94" s="75"/>
      <c r="AI94" s="75"/>
      <c r="AJ94" s="75"/>
    </row>
    <row r="95" spans="1:59" ht="36" x14ac:dyDescent="0.55000000000000004">
      <c r="A95" s="104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2"/>
      <c r="AA95" s="75"/>
      <c r="AB95" s="75"/>
      <c r="AC95" s="75"/>
      <c r="AD95" s="75"/>
      <c r="AE95" s="75"/>
      <c r="AF95" s="75"/>
      <c r="AG95" s="75"/>
      <c r="AH95" s="75"/>
      <c r="AI95" s="75"/>
      <c r="AJ95" s="75"/>
    </row>
    <row r="96" spans="1:59" x14ac:dyDescent="0.35">
      <c r="A96" s="104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2"/>
      <c r="AA96" s="75"/>
      <c r="AB96" s="75"/>
      <c r="AC96" s="75"/>
      <c r="AD96" s="75"/>
      <c r="AE96" s="75"/>
      <c r="AF96" s="75"/>
      <c r="AG96" s="75"/>
      <c r="AH96" s="75"/>
      <c r="AI96" s="75"/>
      <c r="AJ96" s="75"/>
    </row>
    <row r="97" spans="1:36" x14ac:dyDescent="0.35"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2"/>
      <c r="AA97" s="75"/>
      <c r="AB97" s="75"/>
      <c r="AC97" s="75"/>
      <c r="AD97" s="75"/>
      <c r="AE97" s="75"/>
      <c r="AF97" s="75"/>
      <c r="AG97" s="75"/>
      <c r="AH97" s="75"/>
      <c r="AI97" s="75"/>
      <c r="AJ97" s="75"/>
    </row>
    <row r="98" spans="1:36" x14ac:dyDescent="0.35"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2"/>
      <c r="AA98" s="75"/>
      <c r="AB98" s="75"/>
      <c r="AC98" s="75"/>
      <c r="AD98" s="75"/>
      <c r="AE98" s="75"/>
      <c r="AF98" s="75"/>
      <c r="AG98" s="75"/>
      <c r="AH98" s="75"/>
      <c r="AI98" s="75"/>
      <c r="AJ98" s="75"/>
    </row>
    <row r="99" spans="1:36" ht="28.5" x14ac:dyDescent="0.45">
      <c r="A99" s="109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2"/>
      <c r="AA99" s="75"/>
      <c r="AB99" s="75"/>
      <c r="AC99" s="75"/>
      <c r="AD99" s="75"/>
      <c r="AE99" s="75"/>
      <c r="AF99" s="75"/>
      <c r="AG99" s="75"/>
      <c r="AH99" s="75"/>
      <c r="AI99" s="75"/>
      <c r="AJ99" s="75"/>
    </row>
    <row r="100" spans="1:36" ht="28.5" x14ac:dyDescent="0.45">
      <c r="A100" s="109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2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</row>
    <row r="101" spans="1:36" ht="28.5" x14ac:dyDescent="0.45">
      <c r="A101" s="109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2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</row>
    <row r="102" spans="1:36" ht="28.5" x14ac:dyDescent="0.45">
      <c r="A102" s="109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2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</row>
    <row r="103" spans="1:36" ht="28.5" x14ac:dyDescent="0.45">
      <c r="A103" s="109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2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</row>
    <row r="104" spans="1:36" x14ac:dyDescent="0.35"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2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</row>
    <row r="105" spans="1:36" x14ac:dyDescent="0.35">
      <c r="E105" s="108"/>
      <c r="Z105" s="102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</row>
    <row r="106" spans="1:36" x14ac:dyDescent="0.35">
      <c r="Z106" s="102"/>
    </row>
    <row r="107" spans="1:36" x14ac:dyDescent="0.35">
      <c r="K107" s="110"/>
      <c r="L107" s="110"/>
      <c r="M107" s="110"/>
      <c r="Z107" s="102"/>
    </row>
    <row r="109" spans="1:36" x14ac:dyDescent="0.35">
      <c r="K109" s="107"/>
      <c r="L109" s="107"/>
      <c r="M109" s="107"/>
    </row>
    <row r="110" spans="1:36" x14ac:dyDescent="0.35">
      <c r="K110" s="107"/>
      <c r="L110" s="107"/>
      <c r="M110" s="107"/>
    </row>
    <row r="111" spans="1:36" x14ac:dyDescent="0.35">
      <c r="K111" s="107"/>
      <c r="L111" s="107"/>
      <c r="M111" s="107"/>
    </row>
  </sheetData>
  <mergeCells count="250">
    <mergeCell ref="B15:B16"/>
    <mergeCell ref="B17:B18"/>
    <mergeCell ref="B65:B66"/>
    <mergeCell ref="B63:B64"/>
    <mergeCell ref="C7:C8"/>
    <mergeCell ref="C9:C10"/>
    <mergeCell ref="C11:C12"/>
    <mergeCell ref="C13:C14"/>
    <mergeCell ref="C15:C16"/>
    <mergeCell ref="C17:C18"/>
    <mergeCell ref="C19:C20"/>
    <mergeCell ref="B21:B22"/>
    <mergeCell ref="B19:B20"/>
    <mergeCell ref="C39:C40"/>
    <mergeCell ref="C41:C42"/>
    <mergeCell ref="C45:C46"/>
    <mergeCell ref="B7:B8"/>
    <mergeCell ref="A23:A36"/>
    <mergeCell ref="B27:B28"/>
    <mergeCell ref="B33:B34"/>
    <mergeCell ref="B31:B32"/>
    <mergeCell ref="B23:B24"/>
    <mergeCell ref="B35:B36"/>
    <mergeCell ref="C21:C22"/>
    <mergeCell ref="C33:C34"/>
    <mergeCell ref="C23:C24"/>
    <mergeCell ref="A11:A22"/>
    <mergeCell ref="B11:B12"/>
    <mergeCell ref="C25:C26"/>
    <mergeCell ref="C27:C28"/>
    <mergeCell ref="C29:C30"/>
    <mergeCell ref="C31:C32"/>
    <mergeCell ref="B25:B26"/>
    <mergeCell ref="B29:B30"/>
    <mergeCell ref="B9:B10"/>
    <mergeCell ref="D57:D58"/>
    <mergeCell ref="C49:C50"/>
    <mergeCell ref="D49:D50"/>
    <mergeCell ref="D55:D56"/>
    <mergeCell ref="C65:C66"/>
    <mergeCell ref="C55:C56"/>
    <mergeCell ref="C59:C60"/>
    <mergeCell ref="C63:C64"/>
    <mergeCell ref="C73:C74"/>
    <mergeCell ref="D71:D72"/>
    <mergeCell ref="C71:C72"/>
    <mergeCell ref="C61:C62"/>
    <mergeCell ref="C53:C54"/>
    <mergeCell ref="AW63:AW64"/>
    <mergeCell ref="AW65:AW66"/>
    <mergeCell ref="AW67:AW68"/>
    <mergeCell ref="AW69:AW70"/>
    <mergeCell ref="AW71:AW72"/>
    <mergeCell ref="AW73:AW74"/>
    <mergeCell ref="AW41:AW42"/>
    <mergeCell ref="AW43:AW44"/>
    <mergeCell ref="AW45:AW46"/>
    <mergeCell ref="AW47:AW48"/>
    <mergeCell ref="AW51:AW52"/>
    <mergeCell ref="AW53:AW54"/>
    <mergeCell ref="AW57:AW58"/>
    <mergeCell ref="AW59:AW60"/>
    <mergeCell ref="AW61:AW6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K9:AK10"/>
    <mergeCell ref="AL9:AL10"/>
    <mergeCell ref="AQ9:AQ10"/>
    <mergeCell ref="AR9:AR10"/>
    <mergeCell ref="AK11:AK12"/>
    <mergeCell ref="AL11:AL12"/>
    <mergeCell ref="AQ11:AQ12"/>
    <mergeCell ref="AR11:AR12"/>
    <mergeCell ref="AK5:AK6"/>
    <mergeCell ref="AL5:AL6"/>
    <mergeCell ref="AQ5:AQ6"/>
    <mergeCell ref="AR5:AR6"/>
    <mergeCell ref="AK7:AK8"/>
    <mergeCell ref="AL7:AL8"/>
    <mergeCell ref="AQ7:AQ8"/>
    <mergeCell ref="AR7:AR8"/>
    <mergeCell ref="AK17:AK18"/>
    <mergeCell ref="AL17:AL18"/>
    <mergeCell ref="AQ17:AQ18"/>
    <mergeCell ref="AR17:AR18"/>
    <mergeCell ref="AK19:AK20"/>
    <mergeCell ref="AL19:AL20"/>
    <mergeCell ref="AQ19:AQ20"/>
    <mergeCell ref="AR19:AR20"/>
    <mergeCell ref="AK13:AK14"/>
    <mergeCell ref="AL13:AL14"/>
    <mergeCell ref="AQ13:AQ14"/>
    <mergeCell ref="AR13:AR14"/>
    <mergeCell ref="AK15:AK16"/>
    <mergeCell ref="AL15:AL16"/>
    <mergeCell ref="AQ15:AQ16"/>
    <mergeCell ref="AR15:AR16"/>
    <mergeCell ref="AK25:AK26"/>
    <mergeCell ref="AL25:AL26"/>
    <mergeCell ref="AQ25:AQ26"/>
    <mergeCell ref="AR25:AR26"/>
    <mergeCell ref="AK27:AK28"/>
    <mergeCell ref="AL27:AL28"/>
    <mergeCell ref="AQ27:AQ28"/>
    <mergeCell ref="AR27:AR28"/>
    <mergeCell ref="AK21:AK22"/>
    <mergeCell ref="AL21:AL22"/>
    <mergeCell ref="AQ21:AQ22"/>
    <mergeCell ref="AR21:AR22"/>
    <mergeCell ref="AK23:AK24"/>
    <mergeCell ref="AL23:AL24"/>
    <mergeCell ref="AQ23:AQ24"/>
    <mergeCell ref="AR23:AR24"/>
    <mergeCell ref="AK33:AK34"/>
    <mergeCell ref="AL33:AL34"/>
    <mergeCell ref="AQ33:AQ34"/>
    <mergeCell ref="AR33:AR34"/>
    <mergeCell ref="AK35:AK36"/>
    <mergeCell ref="AL35:AL36"/>
    <mergeCell ref="AQ35:AQ36"/>
    <mergeCell ref="AR35:AR36"/>
    <mergeCell ref="AK29:AK30"/>
    <mergeCell ref="AL29:AL30"/>
    <mergeCell ref="AQ29:AQ30"/>
    <mergeCell ref="AR29:AR30"/>
    <mergeCell ref="AK31:AK32"/>
    <mergeCell ref="AL31:AL32"/>
    <mergeCell ref="AQ31:AQ32"/>
    <mergeCell ref="AR31:AR32"/>
    <mergeCell ref="AK41:AK42"/>
    <mergeCell ref="AL41:AL42"/>
    <mergeCell ref="AQ41:AQ42"/>
    <mergeCell ref="AR41:AR42"/>
    <mergeCell ref="AK43:AK44"/>
    <mergeCell ref="AL43:AL44"/>
    <mergeCell ref="AQ43:AQ44"/>
    <mergeCell ref="AR43:AR44"/>
    <mergeCell ref="AK37:AK38"/>
    <mergeCell ref="AL37:AL38"/>
    <mergeCell ref="AQ37:AQ38"/>
    <mergeCell ref="AR37:AR38"/>
    <mergeCell ref="AK39:AK40"/>
    <mergeCell ref="AL39:AL40"/>
    <mergeCell ref="AQ39:AQ40"/>
    <mergeCell ref="AR39:AR40"/>
    <mergeCell ref="AK49:AK50"/>
    <mergeCell ref="AL49:AL50"/>
    <mergeCell ref="AQ49:AQ50"/>
    <mergeCell ref="AR49:AR50"/>
    <mergeCell ref="AK51:AK52"/>
    <mergeCell ref="AL51:AL52"/>
    <mergeCell ref="AQ51:AQ52"/>
    <mergeCell ref="AR51:AR52"/>
    <mergeCell ref="AK45:AK46"/>
    <mergeCell ref="AL45:AL46"/>
    <mergeCell ref="AQ45:AQ46"/>
    <mergeCell ref="AR45:AR46"/>
    <mergeCell ref="AK47:AK48"/>
    <mergeCell ref="AL47:AL48"/>
    <mergeCell ref="AQ47:AQ48"/>
    <mergeCell ref="AR47:AR48"/>
    <mergeCell ref="AK57:AK58"/>
    <mergeCell ref="AL57:AL58"/>
    <mergeCell ref="AQ57:AQ58"/>
    <mergeCell ref="AR57:AR58"/>
    <mergeCell ref="AK59:AK60"/>
    <mergeCell ref="AL59:AL60"/>
    <mergeCell ref="AQ59:AQ60"/>
    <mergeCell ref="AR59:AR60"/>
    <mergeCell ref="AK53:AK54"/>
    <mergeCell ref="AL53:AL54"/>
    <mergeCell ref="AQ53:AQ54"/>
    <mergeCell ref="AR53:AR54"/>
    <mergeCell ref="AK55:AK56"/>
    <mergeCell ref="AL55:AL56"/>
    <mergeCell ref="AQ55:AQ56"/>
    <mergeCell ref="AR55:AR56"/>
    <mergeCell ref="AK65:AK66"/>
    <mergeCell ref="AL65:AL66"/>
    <mergeCell ref="AQ65:AQ66"/>
    <mergeCell ref="AR65:AR66"/>
    <mergeCell ref="AK67:AK68"/>
    <mergeCell ref="AL67:AL68"/>
    <mergeCell ref="AQ67:AQ68"/>
    <mergeCell ref="AR67:AR68"/>
    <mergeCell ref="AK61:AK62"/>
    <mergeCell ref="AL61:AL62"/>
    <mergeCell ref="AQ61:AQ62"/>
    <mergeCell ref="AR61:AR62"/>
    <mergeCell ref="AK63:AK64"/>
    <mergeCell ref="AL63:AL64"/>
    <mergeCell ref="AQ63:AQ64"/>
    <mergeCell ref="AR63:AR64"/>
    <mergeCell ref="AK73:AK74"/>
    <mergeCell ref="AL73:AL74"/>
    <mergeCell ref="AQ73:AQ74"/>
    <mergeCell ref="AR73:AR74"/>
    <mergeCell ref="AK69:AK70"/>
    <mergeCell ref="AL69:AL70"/>
    <mergeCell ref="AQ69:AQ70"/>
    <mergeCell ref="AR69:AR70"/>
    <mergeCell ref="AK71:AK72"/>
    <mergeCell ref="AL71:AL72"/>
    <mergeCell ref="AQ71:AQ72"/>
    <mergeCell ref="AR71:AR72"/>
    <mergeCell ref="A5:A10"/>
    <mergeCell ref="B5:B6"/>
    <mergeCell ref="C5:C6"/>
    <mergeCell ref="B13:B14"/>
    <mergeCell ref="C35:C36"/>
    <mergeCell ref="A37:A48"/>
    <mergeCell ref="B37:B38"/>
    <mergeCell ref="C37:C38"/>
    <mergeCell ref="B39:B40"/>
    <mergeCell ref="B41:B42"/>
    <mergeCell ref="B43:B44"/>
    <mergeCell ref="C43:C44"/>
    <mergeCell ref="B45:B46"/>
    <mergeCell ref="B47:B48"/>
    <mergeCell ref="C47:C48"/>
    <mergeCell ref="A49:A64"/>
    <mergeCell ref="B49:B60"/>
    <mergeCell ref="C51:C52"/>
    <mergeCell ref="D51:D52"/>
    <mergeCell ref="D53:D54"/>
    <mergeCell ref="C57:C58"/>
    <mergeCell ref="B61:B62"/>
    <mergeCell ref="B73:B74"/>
    <mergeCell ref="A65:A70"/>
    <mergeCell ref="B67:B68"/>
    <mergeCell ref="C67:C68"/>
    <mergeCell ref="B69:B70"/>
    <mergeCell ref="C69:C70"/>
    <mergeCell ref="B71:B72"/>
  </mergeCells>
  <conditionalFormatting sqref="AM1:AM1048576">
    <cfRule type="cellIs" dxfId="0" priority="1" operator="greaterThan">
      <formula>1</formula>
    </cfRule>
  </conditionalFormatting>
  <printOptions horizontalCentered="1"/>
  <pageMargins left="0.19685039370078741" right="0.19685039370078741" top="0.23622047244094491" bottom="0.23622047244094491" header="0" footer="0"/>
  <pageSetup paperSize="9" scale="22" fitToHeight="0" orientation="landscape" horizontalDpi="4294967293" verticalDpi="4294967293" r:id="rId1"/>
  <colBreaks count="1" manualBreakCount="1">
    <brk id="6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3ECE-F81F-4BF1-82F8-C5A2F4962E4C}">
  <sheetPr>
    <tabColor rgb="FF00B050"/>
  </sheetPr>
  <dimension ref="A1:BH111"/>
  <sheetViews>
    <sheetView view="pageBreakPreview" zoomScale="60" zoomScaleNormal="60" workbookViewId="0">
      <selection activeCell="A5" sqref="A5:BG76"/>
    </sheetView>
  </sheetViews>
  <sheetFormatPr defaultColWidth="8.85546875" defaultRowHeight="21" x14ac:dyDescent="0.35"/>
  <cols>
    <col min="1" max="1" width="21" style="75" customWidth="1"/>
    <col min="2" max="2" width="8.85546875" style="75" customWidth="1"/>
    <col min="3" max="3" width="8.85546875" style="76" customWidth="1"/>
    <col min="4" max="4" width="12.42578125" style="76" customWidth="1"/>
    <col min="5" max="35" width="9.140625" style="76" customWidth="1"/>
    <col min="36" max="36" width="22" style="76" customWidth="1"/>
    <col min="37" max="38" width="14.85546875" style="75" customWidth="1"/>
    <col min="39" max="41" width="14.85546875" style="690" customWidth="1"/>
    <col min="42" max="42" width="14.85546875" style="75" customWidth="1"/>
    <col min="43" max="44" width="15.42578125" style="75" customWidth="1"/>
    <col min="45" max="47" width="14.85546875" style="690" customWidth="1"/>
    <col min="48" max="48" width="14.85546875" style="75" customWidth="1"/>
    <col min="49" max="50" width="13.7109375" style="75" customWidth="1"/>
    <col min="51" max="53" width="14.85546875" style="690" customWidth="1"/>
    <col min="54" max="54" width="14.85546875" style="75" customWidth="1"/>
    <col min="55" max="56" width="11.140625" style="75" customWidth="1"/>
    <col min="57" max="57" width="19.7109375" style="75" customWidth="1"/>
    <col min="58" max="58" width="22.5703125" style="75" customWidth="1"/>
    <col min="59" max="59" width="8.85546875" style="76" customWidth="1"/>
    <col min="60" max="60" width="11.28515625" style="75" customWidth="1"/>
    <col min="61" max="61" width="8.85546875" style="75"/>
    <col min="62" max="62" width="12" style="75" bestFit="1" customWidth="1"/>
    <col min="63" max="63" width="10.5703125" style="75" bestFit="1" customWidth="1"/>
    <col min="64" max="16384" width="8.85546875" style="75"/>
  </cols>
  <sheetData>
    <row r="1" spans="1:60" x14ac:dyDescent="0.3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74"/>
      <c r="BE1" s="74"/>
      <c r="BF1" s="74"/>
      <c r="BG1" s="75"/>
    </row>
    <row r="2" spans="1:60" ht="26.25" x14ac:dyDescent="0.4">
      <c r="Q2" s="76" t="s">
        <v>71</v>
      </c>
      <c r="AQ2" s="134" t="s">
        <v>76</v>
      </c>
      <c r="AR2" s="134"/>
      <c r="AS2" s="134"/>
      <c r="AT2" s="134"/>
      <c r="AU2" s="134"/>
      <c r="AV2" s="134"/>
      <c r="AW2" s="134"/>
      <c r="AX2" s="77"/>
      <c r="AY2" s="77"/>
      <c r="AZ2" s="77"/>
      <c r="BA2" s="77"/>
      <c r="BB2" s="77"/>
      <c r="BC2" s="78" t="s">
        <v>121</v>
      </c>
      <c r="BD2" s="78"/>
    </row>
    <row r="3" spans="1:60" ht="83.25" customHeight="1" x14ac:dyDescent="0.35">
      <c r="A3" s="1001" t="s">
        <v>78</v>
      </c>
      <c r="B3" s="1001" t="s">
        <v>79</v>
      </c>
      <c r="C3" s="79" t="s">
        <v>80</v>
      </c>
      <c r="D3" s="79" t="s">
        <v>20</v>
      </c>
      <c r="E3" s="80">
        <v>1</v>
      </c>
      <c r="F3" s="81">
        <v>2</v>
      </c>
      <c r="G3" s="81">
        <v>3</v>
      </c>
      <c r="H3" s="81">
        <v>4</v>
      </c>
      <c r="I3" s="81">
        <v>5</v>
      </c>
      <c r="J3" s="81">
        <v>6</v>
      </c>
      <c r="K3" s="81">
        <v>7</v>
      </c>
      <c r="L3" s="81">
        <v>8</v>
      </c>
      <c r="M3" s="81">
        <v>9</v>
      </c>
      <c r="N3" s="81">
        <v>10</v>
      </c>
      <c r="O3" s="81">
        <v>11</v>
      </c>
      <c r="P3" s="81">
        <v>12</v>
      </c>
      <c r="Q3" s="81">
        <v>13</v>
      </c>
      <c r="R3" s="81">
        <v>14</v>
      </c>
      <c r="S3" s="81">
        <v>15</v>
      </c>
      <c r="T3" s="81">
        <v>16</v>
      </c>
      <c r="U3" s="81">
        <v>17</v>
      </c>
      <c r="V3" s="81">
        <v>18</v>
      </c>
      <c r="W3" s="81">
        <v>19</v>
      </c>
      <c r="X3" s="81">
        <v>20</v>
      </c>
      <c r="Y3" s="81">
        <v>21</v>
      </c>
      <c r="Z3" s="81">
        <v>22</v>
      </c>
      <c r="AA3" s="81">
        <v>23</v>
      </c>
      <c r="AB3" s="81">
        <v>24</v>
      </c>
      <c r="AC3" s="81">
        <v>25</v>
      </c>
      <c r="AD3" s="81">
        <v>26</v>
      </c>
      <c r="AE3" s="81">
        <v>27</v>
      </c>
      <c r="AF3" s="81">
        <v>28</v>
      </c>
      <c r="AG3" s="81">
        <v>29</v>
      </c>
      <c r="AH3" s="81">
        <v>30</v>
      </c>
      <c r="AI3" s="81">
        <v>31</v>
      </c>
      <c r="AJ3" s="118" t="s">
        <v>81</v>
      </c>
      <c r="AK3" s="135" t="s">
        <v>82</v>
      </c>
      <c r="AL3" s="136"/>
      <c r="AM3" s="691"/>
      <c r="AN3" s="691"/>
      <c r="AO3" s="691"/>
      <c r="AP3" s="691"/>
      <c r="AQ3" s="137" t="s">
        <v>83</v>
      </c>
      <c r="AR3" s="138"/>
      <c r="AS3" s="711"/>
      <c r="AT3" s="711"/>
      <c r="AU3" s="711"/>
      <c r="AV3" s="711"/>
      <c r="AW3" s="139" t="s">
        <v>84</v>
      </c>
      <c r="AX3" s="140"/>
      <c r="AY3" s="712"/>
      <c r="AZ3" s="712"/>
      <c r="BA3" s="712"/>
      <c r="BB3" s="712"/>
      <c r="BC3" s="141" t="s">
        <v>85</v>
      </c>
      <c r="BD3" s="142"/>
      <c r="BE3" s="999" t="s">
        <v>86</v>
      </c>
      <c r="BF3" s="1000"/>
      <c r="BG3" s="82" t="s">
        <v>80</v>
      </c>
    </row>
    <row r="4" spans="1:60" x14ac:dyDescent="0.35">
      <c r="A4" s="1002"/>
      <c r="B4" s="1002"/>
      <c r="C4" s="83" t="s">
        <v>87</v>
      </c>
      <c r="D4" s="83"/>
      <c r="E4" s="1003"/>
      <c r="F4" s="1003"/>
      <c r="G4" s="1003"/>
      <c r="H4" s="1003"/>
      <c r="I4" s="1003"/>
      <c r="J4" s="1003"/>
      <c r="K4" s="1003"/>
      <c r="L4" s="1003"/>
      <c r="M4" s="1003"/>
      <c r="N4" s="1003"/>
      <c r="O4" s="1003"/>
      <c r="P4" s="1003"/>
      <c r="Q4" s="1003"/>
      <c r="R4" s="1003"/>
      <c r="S4" s="1003"/>
      <c r="T4" s="1003"/>
      <c r="U4" s="1003"/>
      <c r="V4" s="1003"/>
      <c r="W4" s="1003"/>
      <c r="X4" s="1003"/>
      <c r="Y4" s="1003"/>
      <c r="Z4" s="1003"/>
      <c r="AA4" s="1003"/>
      <c r="AB4" s="1003"/>
      <c r="AC4" s="1003"/>
      <c r="AD4" s="1003"/>
      <c r="AE4" s="1003"/>
      <c r="AF4" s="1003"/>
      <c r="AG4" s="1003"/>
      <c r="AH4" s="84"/>
      <c r="AI4" s="84"/>
      <c r="AJ4" s="119"/>
      <c r="AK4" s="85" t="s">
        <v>88</v>
      </c>
      <c r="AL4" s="85" t="s">
        <v>89</v>
      </c>
      <c r="AM4" s="693" t="s">
        <v>187</v>
      </c>
      <c r="AN4" s="693" t="s">
        <v>188</v>
      </c>
      <c r="AO4" s="693" t="s">
        <v>189</v>
      </c>
      <c r="AP4" s="85" t="s">
        <v>190</v>
      </c>
      <c r="AQ4" s="86" t="s">
        <v>88</v>
      </c>
      <c r="AR4" s="86" t="s">
        <v>89</v>
      </c>
      <c r="AS4" s="702" t="s">
        <v>187</v>
      </c>
      <c r="AT4" s="702" t="s">
        <v>188</v>
      </c>
      <c r="AU4" s="702" t="s">
        <v>189</v>
      </c>
      <c r="AV4" s="86" t="s">
        <v>190</v>
      </c>
      <c r="AW4" s="87" t="s">
        <v>88</v>
      </c>
      <c r="AX4" s="87" t="s">
        <v>89</v>
      </c>
      <c r="AY4" s="713" t="s">
        <v>187</v>
      </c>
      <c r="AZ4" s="713" t="s">
        <v>188</v>
      </c>
      <c r="BA4" s="713" t="s">
        <v>189</v>
      </c>
      <c r="BB4" s="87" t="s">
        <v>190</v>
      </c>
      <c r="BC4" s="88" t="s">
        <v>88</v>
      </c>
      <c r="BD4" s="88" t="s">
        <v>89</v>
      </c>
      <c r="BE4" s="89" t="s">
        <v>88</v>
      </c>
      <c r="BF4" s="90" t="s">
        <v>89</v>
      </c>
      <c r="BG4" s="83" t="s">
        <v>87</v>
      </c>
    </row>
    <row r="5" spans="1:60" ht="24" customHeight="1" x14ac:dyDescent="0.35">
      <c r="A5" s="1007" t="s">
        <v>111</v>
      </c>
      <c r="B5" s="1001">
        <v>2010</v>
      </c>
      <c r="C5" s="1001">
        <v>1</v>
      </c>
      <c r="D5" s="1061">
        <v>53.2</v>
      </c>
      <c r="E5" s="1074">
        <v>11</v>
      </c>
      <c r="F5" s="1074">
        <v>12</v>
      </c>
      <c r="G5" s="1074">
        <v>13</v>
      </c>
      <c r="H5" s="1074">
        <v>14</v>
      </c>
      <c r="I5" s="1074">
        <v>15</v>
      </c>
      <c r="J5" s="1074">
        <v>16</v>
      </c>
      <c r="K5" s="1074">
        <v>17</v>
      </c>
      <c r="L5" s="1074">
        <v>18</v>
      </c>
      <c r="M5" s="1074">
        <v>19</v>
      </c>
      <c r="N5" s="1074">
        <v>20</v>
      </c>
      <c r="O5" s="1074">
        <v>21</v>
      </c>
      <c r="P5" s="1066">
        <v>1</v>
      </c>
      <c r="Q5" s="1066">
        <v>2</v>
      </c>
      <c r="R5" s="1066">
        <v>3</v>
      </c>
      <c r="S5" s="1066">
        <v>4</v>
      </c>
      <c r="T5" s="1074">
        <v>5</v>
      </c>
      <c r="U5" s="1066">
        <v>6</v>
      </c>
      <c r="V5" s="1074">
        <v>7</v>
      </c>
      <c r="W5" s="1074">
        <v>8</v>
      </c>
      <c r="X5" s="1074">
        <v>9</v>
      </c>
      <c r="Y5" s="1074">
        <v>10</v>
      </c>
      <c r="Z5" s="1074">
        <v>11</v>
      </c>
      <c r="AA5" s="1074">
        <v>12</v>
      </c>
      <c r="AB5" s="1074">
        <v>13</v>
      </c>
      <c r="AC5" s="1074">
        <v>14</v>
      </c>
      <c r="AD5" s="1067">
        <v>1</v>
      </c>
      <c r="AE5" s="1067">
        <v>2</v>
      </c>
      <c r="AF5" s="1067">
        <v>3</v>
      </c>
      <c r="AG5" s="1067">
        <v>4</v>
      </c>
      <c r="AH5" s="1074">
        <v>5</v>
      </c>
      <c r="AI5" s="1074">
        <v>6</v>
      </c>
      <c r="AJ5" s="128">
        <f>SUM(D6:AI6)</f>
        <v>80</v>
      </c>
      <c r="AK5" s="1011">
        <f>5.31+12.83+6.99+4.8+15.31+13.79+12.16+13.36+13.17+13.33</f>
        <v>111.05</v>
      </c>
      <c r="AL5" s="120"/>
      <c r="AM5" s="714"/>
      <c r="AN5" s="714"/>
      <c r="AO5" s="714" t="str">
        <f>IF(COUNT(AM5,AN5)&lt;2, "0", AN5 - AM5 + 1)</f>
        <v>0</v>
      </c>
      <c r="AP5" s="715">
        <f>IFERROR((AK5+AL5)/AO5,0)</f>
        <v>0</v>
      </c>
      <c r="AQ5" s="1013">
        <f>10.16+14.46+16.01</f>
        <v>40.630000000000003</v>
      </c>
      <c r="AR5" s="1013"/>
      <c r="AS5" s="716"/>
      <c r="AT5" s="716"/>
      <c r="AU5" s="716" t="str">
        <f>IF(COUNT(AS5,AT5)&lt;2, "0", AT5 - AS5 )</f>
        <v>0</v>
      </c>
      <c r="AV5" s="717">
        <f>IFERROR((AQ5+AR5)/AU5,0)</f>
        <v>0</v>
      </c>
      <c r="AW5" s="1017"/>
      <c r="AX5" s="115"/>
      <c r="AY5" s="718"/>
      <c r="AZ5" s="718"/>
      <c r="BA5" s="718" t="str">
        <f>IF(COUNT(AY5,AZ5)&lt;2, "0", AZ5 - AY5 )</f>
        <v>0</v>
      </c>
      <c r="BB5" s="719">
        <f>IFERROR((AW5+AX5)/BA5,0)</f>
        <v>0</v>
      </c>
      <c r="BC5" s="117"/>
      <c r="BD5" s="117"/>
      <c r="BE5" s="982">
        <f>AK5+AQ5+AW5+BC5</f>
        <v>151.68</v>
      </c>
      <c r="BF5" s="982">
        <f>AL5+AR5+AX5+BD5</f>
        <v>0</v>
      </c>
      <c r="BG5" s="997">
        <v>3</v>
      </c>
      <c r="BH5" s="92"/>
    </row>
    <row r="6" spans="1:60" ht="24" customHeight="1" x14ac:dyDescent="0.35">
      <c r="A6" s="1005"/>
      <c r="B6" s="1002"/>
      <c r="C6" s="1002"/>
      <c r="D6" s="1062"/>
      <c r="E6" s="1073"/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>
        <v>8</v>
      </c>
      <c r="Q6" s="1073">
        <v>10</v>
      </c>
      <c r="R6" s="1073">
        <v>9</v>
      </c>
      <c r="S6" s="1073">
        <v>10</v>
      </c>
      <c r="T6" s="1073"/>
      <c r="U6" s="1073">
        <v>7</v>
      </c>
      <c r="V6" s="1073"/>
      <c r="W6" s="1073"/>
      <c r="X6" s="1073"/>
      <c r="Y6" s="1073"/>
      <c r="Z6" s="1073"/>
      <c r="AA6" s="1073"/>
      <c r="AB6" s="1073"/>
      <c r="AC6" s="1073"/>
      <c r="AD6" s="1073">
        <v>7</v>
      </c>
      <c r="AE6" s="1073">
        <v>9</v>
      </c>
      <c r="AF6" s="1073">
        <v>10</v>
      </c>
      <c r="AG6" s="1073">
        <v>10</v>
      </c>
      <c r="AH6" s="1073"/>
      <c r="AI6" s="1073"/>
      <c r="AJ6" s="129"/>
      <c r="AK6" s="1012"/>
      <c r="AL6" s="121"/>
      <c r="AM6" s="714"/>
      <c r="AN6" s="714"/>
      <c r="AO6" s="714"/>
      <c r="AP6" s="715"/>
      <c r="AQ6" s="1014"/>
      <c r="AR6" s="1014"/>
      <c r="AS6" s="716"/>
      <c r="AT6" s="716"/>
      <c r="AU6" s="716"/>
      <c r="AV6" s="717"/>
      <c r="AW6" s="1018"/>
      <c r="AX6" s="116"/>
      <c r="AY6" s="718"/>
      <c r="AZ6" s="718"/>
      <c r="BA6" s="718"/>
      <c r="BB6" s="719"/>
      <c r="BC6" s="95"/>
      <c r="BD6" s="95"/>
      <c r="BE6" s="990"/>
      <c r="BF6" s="990"/>
      <c r="BG6" s="998"/>
      <c r="BH6" s="92"/>
    </row>
    <row r="7" spans="1:60" ht="24" customHeight="1" x14ac:dyDescent="0.35">
      <c r="A7" s="1005"/>
      <c r="B7" s="1004">
        <v>2010</v>
      </c>
      <c r="C7" s="1001">
        <v>3</v>
      </c>
      <c r="D7" s="1061">
        <v>69.2</v>
      </c>
      <c r="E7" s="1074">
        <v>18</v>
      </c>
      <c r="F7" s="1074">
        <v>19</v>
      </c>
      <c r="G7" s="1074">
        <v>20</v>
      </c>
      <c r="H7" s="1074">
        <v>21</v>
      </c>
      <c r="I7" s="1074">
        <v>22</v>
      </c>
      <c r="J7" s="1074">
        <v>23</v>
      </c>
      <c r="K7" s="1066">
        <v>1</v>
      </c>
      <c r="L7" s="1066">
        <v>2</v>
      </c>
      <c r="M7" s="1066">
        <v>3</v>
      </c>
      <c r="N7" s="1066">
        <v>4</v>
      </c>
      <c r="O7" s="1066">
        <v>5</v>
      </c>
      <c r="P7" s="1074">
        <v>6</v>
      </c>
      <c r="Q7" s="1074">
        <v>7</v>
      </c>
      <c r="R7" s="1074">
        <v>8</v>
      </c>
      <c r="S7" s="1074">
        <v>9</v>
      </c>
      <c r="T7" s="1074">
        <v>10</v>
      </c>
      <c r="U7" s="1074">
        <v>11</v>
      </c>
      <c r="V7" s="1074">
        <v>12</v>
      </c>
      <c r="W7" s="1074">
        <v>13</v>
      </c>
      <c r="X7" s="1074">
        <v>14</v>
      </c>
      <c r="Y7" s="1074">
        <v>15</v>
      </c>
      <c r="Z7" s="1067">
        <v>1</v>
      </c>
      <c r="AA7" s="1067">
        <v>2</v>
      </c>
      <c r="AB7" s="1067">
        <v>3</v>
      </c>
      <c r="AC7" s="1074">
        <v>4</v>
      </c>
      <c r="AD7" s="1074">
        <v>5</v>
      </c>
      <c r="AE7" s="1074">
        <v>6</v>
      </c>
      <c r="AF7" s="1074">
        <v>7</v>
      </c>
      <c r="AG7" s="1074">
        <v>8</v>
      </c>
      <c r="AH7" s="1074">
        <v>9</v>
      </c>
      <c r="AI7" s="1074">
        <v>10</v>
      </c>
      <c r="AJ7" s="128">
        <f>SUM(D8:AI8)</f>
        <v>72</v>
      </c>
      <c r="AK7" s="1011">
        <f>14.8+13.78+12.61+7.06+4.93+4.83+7.92</f>
        <v>65.929999999999993</v>
      </c>
      <c r="AL7" s="715"/>
      <c r="AM7" s="720"/>
      <c r="AN7" s="720"/>
      <c r="AO7" s="714" t="str">
        <f>IF(COUNT(AM7,AN7)&lt;2, "0", AN7 - AM7 + 1)</f>
        <v>0</v>
      </c>
      <c r="AP7" s="715">
        <f>IFERROR((AK7+AL7)/AO7,0)</f>
        <v>0</v>
      </c>
      <c r="AQ7" s="1013">
        <f>4.91+8.29+2.94</f>
        <v>16.14</v>
      </c>
      <c r="AR7" s="1013"/>
      <c r="AS7" s="701"/>
      <c r="AT7" s="701"/>
      <c r="AU7" s="716" t="str">
        <f>IF(COUNT(AS7,AT7)&lt;2, "0", AT7 - AS7 )</f>
        <v>0</v>
      </c>
      <c r="AV7" s="717">
        <f>IFERROR((AQ7+AR7)/AU7,0)</f>
        <v>0</v>
      </c>
      <c r="AW7" s="1017"/>
      <c r="AX7" s="115"/>
      <c r="AY7" s="721"/>
      <c r="AZ7" s="721"/>
      <c r="BA7" s="718" t="str">
        <f>IF(COUNT(AY7,AZ7)&lt;2, "0", AZ7 - AY7 )</f>
        <v>0</v>
      </c>
      <c r="BB7" s="719">
        <f>IFERROR((AW7+AX7)/BA7,0)</f>
        <v>0</v>
      </c>
      <c r="BC7" s="117"/>
      <c r="BD7" s="117"/>
      <c r="BE7" s="982">
        <f>AK7+AQ7+AW7+BC7</f>
        <v>82.07</v>
      </c>
      <c r="BF7" s="982">
        <f>AL7+AR7+AX7+BD7</f>
        <v>0</v>
      </c>
      <c r="BG7" s="997">
        <v>1</v>
      </c>
      <c r="BH7" s="92"/>
    </row>
    <row r="8" spans="1:60" ht="24" customHeight="1" x14ac:dyDescent="0.35">
      <c r="A8" s="1005"/>
      <c r="B8" s="1004"/>
      <c r="C8" s="1002"/>
      <c r="D8" s="1062"/>
      <c r="E8" s="1073"/>
      <c r="F8" s="1073"/>
      <c r="G8" s="1073"/>
      <c r="H8" s="1073"/>
      <c r="I8" s="1073"/>
      <c r="J8" s="1073"/>
      <c r="K8" s="1073">
        <v>9</v>
      </c>
      <c r="L8" s="1073">
        <v>10</v>
      </c>
      <c r="M8" s="1073">
        <v>10</v>
      </c>
      <c r="N8" s="1073">
        <v>9</v>
      </c>
      <c r="O8" s="1073">
        <v>10</v>
      </c>
      <c r="P8" s="1073"/>
      <c r="Q8" s="1073"/>
      <c r="R8" s="1073"/>
      <c r="S8" s="1073"/>
      <c r="T8" s="1073"/>
      <c r="U8" s="1073"/>
      <c r="V8" s="1073"/>
      <c r="W8" s="1073"/>
      <c r="X8" s="1073"/>
      <c r="Y8" s="1073"/>
      <c r="Z8" s="1073">
        <v>5</v>
      </c>
      <c r="AA8" s="1073">
        <v>9</v>
      </c>
      <c r="AB8" s="1073">
        <v>10</v>
      </c>
      <c r="AC8" s="1073"/>
      <c r="AD8" s="1073"/>
      <c r="AE8" s="1073"/>
      <c r="AF8" s="1073"/>
      <c r="AG8" s="1073"/>
      <c r="AH8" s="1073"/>
      <c r="AI8" s="1073"/>
      <c r="AJ8" s="129"/>
      <c r="AK8" s="1012"/>
      <c r="AL8" s="715"/>
      <c r="AM8" s="722"/>
      <c r="AN8" s="722"/>
      <c r="AO8" s="714"/>
      <c r="AP8" s="715"/>
      <c r="AQ8" s="1014"/>
      <c r="AR8" s="1014"/>
      <c r="AS8" s="703"/>
      <c r="AT8" s="703"/>
      <c r="AU8" s="716"/>
      <c r="AV8" s="717"/>
      <c r="AW8" s="1018"/>
      <c r="AX8" s="116"/>
      <c r="AY8" s="723"/>
      <c r="AZ8" s="723"/>
      <c r="BA8" s="718"/>
      <c r="BB8" s="719"/>
      <c r="BC8" s="95"/>
      <c r="BD8" s="95"/>
      <c r="BE8" s="990"/>
      <c r="BF8" s="990"/>
      <c r="BG8" s="998"/>
      <c r="BH8" s="92"/>
    </row>
    <row r="9" spans="1:60" ht="24" customHeight="1" x14ac:dyDescent="0.35">
      <c r="A9" s="1005"/>
      <c r="B9" s="1004">
        <v>2011</v>
      </c>
      <c r="C9" s="1001">
        <v>14</v>
      </c>
      <c r="D9" s="1061">
        <v>41.6</v>
      </c>
      <c r="E9" s="1074">
        <v>2</v>
      </c>
      <c r="F9" s="1074">
        <v>3</v>
      </c>
      <c r="G9" s="1066">
        <v>4</v>
      </c>
      <c r="H9" s="1066">
        <v>5</v>
      </c>
      <c r="I9" s="1066">
        <v>6</v>
      </c>
      <c r="J9" s="1066">
        <v>7</v>
      </c>
      <c r="K9" s="1074">
        <v>8</v>
      </c>
      <c r="L9" s="1074">
        <v>9</v>
      </c>
      <c r="M9" s="1074">
        <v>10</v>
      </c>
      <c r="N9" s="1074">
        <v>11</v>
      </c>
      <c r="O9" s="1074">
        <v>12</v>
      </c>
      <c r="P9" s="1074">
        <v>13</v>
      </c>
      <c r="Q9" s="1074">
        <v>14</v>
      </c>
      <c r="R9" s="1074">
        <v>15</v>
      </c>
      <c r="S9" s="1074">
        <v>16</v>
      </c>
      <c r="T9" s="1074">
        <v>17</v>
      </c>
      <c r="U9" s="1074">
        <v>18</v>
      </c>
      <c r="V9" s="1067">
        <v>1</v>
      </c>
      <c r="W9" s="1067">
        <v>2</v>
      </c>
      <c r="X9" s="1067">
        <v>3</v>
      </c>
      <c r="Y9" s="1067">
        <v>4</v>
      </c>
      <c r="Z9" s="1067">
        <v>5</v>
      </c>
      <c r="AA9" s="1074">
        <v>6</v>
      </c>
      <c r="AB9" s="1074">
        <v>7</v>
      </c>
      <c r="AC9" s="1074">
        <v>8</v>
      </c>
      <c r="AD9" s="1074">
        <v>9</v>
      </c>
      <c r="AE9" s="1074">
        <v>10</v>
      </c>
      <c r="AF9" s="1074">
        <v>11</v>
      </c>
      <c r="AG9" s="1074">
        <v>12</v>
      </c>
      <c r="AH9" s="1074">
        <v>13</v>
      </c>
      <c r="AI9" s="1068">
        <v>1</v>
      </c>
      <c r="AJ9" s="128">
        <f>SUM(D10:AI10)</f>
        <v>77</v>
      </c>
      <c r="AK9" s="1011">
        <f>9.42+13.81+19.73+16.8</f>
        <v>59.760000000000005</v>
      </c>
      <c r="AL9" s="724"/>
      <c r="AM9" s="725"/>
      <c r="AN9" s="725"/>
      <c r="AO9" s="714" t="str">
        <f>IF(COUNT(AM9,AN9)&lt;2, "0", AN9 - AM9 + 1)</f>
        <v>0</v>
      </c>
      <c r="AP9" s="715">
        <f>IFERROR((AK9+AL9)/AO9,0)</f>
        <v>0</v>
      </c>
      <c r="AQ9" s="1013">
        <f>4.48+9.32+16.37+3.98</f>
        <v>34.15</v>
      </c>
      <c r="AR9" s="1013"/>
      <c r="AS9" s="726"/>
      <c r="AT9" s="726"/>
      <c r="AU9" s="716" t="str">
        <f>IF(COUNT(AS9,AT9)&lt;2, "0", AT9 - AS9 )</f>
        <v>0</v>
      </c>
      <c r="AV9" s="717">
        <f>IFERROR((AQ9+AR9)/AU9,0)</f>
        <v>0</v>
      </c>
      <c r="AW9" s="1017"/>
      <c r="AX9" s="115"/>
      <c r="AY9" s="727"/>
      <c r="AZ9" s="727"/>
      <c r="BA9" s="718" t="str">
        <f>IF(COUNT(AY9,AZ9)&lt;2, "0", AZ9 - AY9 )</f>
        <v>0</v>
      </c>
      <c r="BB9" s="719">
        <f>IFERROR((AW9+AX9)/BA9,0)</f>
        <v>0</v>
      </c>
      <c r="BC9" s="117"/>
      <c r="BD9" s="117"/>
      <c r="BE9" s="982">
        <f>AK9+AQ9+AW9+BC9</f>
        <v>93.91</v>
      </c>
      <c r="BF9" s="982">
        <f>AL9+AR9+AX9+BD9</f>
        <v>0</v>
      </c>
      <c r="BG9" s="997">
        <v>14</v>
      </c>
      <c r="BH9" s="92"/>
    </row>
    <row r="10" spans="1:60" ht="24" customHeight="1" x14ac:dyDescent="0.35">
      <c r="A10" s="1006"/>
      <c r="B10" s="1004"/>
      <c r="C10" s="1002"/>
      <c r="D10" s="1062"/>
      <c r="E10" s="1073"/>
      <c r="F10" s="1073"/>
      <c r="G10" s="1073">
        <v>6</v>
      </c>
      <c r="H10" s="1073">
        <v>9</v>
      </c>
      <c r="I10" s="1073">
        <v>7</v>
      </c>
      <c r="J10" s="1073">
        <v>10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>
        <v>8</v>
      </c>
      <c r="W10" s="1073">
        <v>9</v>
      </c>
      <c r="X10" s="1073">
        <v>9</v>
      </c>
      <c r="Y10" s="1073">
        <v>9</v>
      </c>
      <c r="Z10" s="1073">
        <v>4</v>
      </c>
      <c r="AA10" s="1073"/>
      <c r="AB10" s="1073"/>
      <c r="AC10" s="1073"/>
      <c r="AD10" s="1073"/>
      <c r="AE10" s="1073"/>
      <c r="AF10" s="1073"/>
      <c r="AG10" s="1073"/>
      <c r="AH10" s="1073"/>
      <c r="AI10" s="1073">
        <v>6</v>
      </c>
      <c r="AJ10" s="129"/>
      <c r="AK10" s="1012"/>
      <c r="AL10" s="121"/>
      <c r="AM10" s="722"/>
      <c r="AN10" s="722"/>
      <c r="AO10" s="714"/>
      <c r="AP10" s="715"/>
      <c r="AQ10" s="1014"/>
      <c r="AR10" s="1014"/>
      <c r="AS10" s="703"/>
      <c r="AT10" s="703"/>
      <c r="AU10" s="716"/>
      <c r="AV10" s="717"/>
      <c r="AW10" s="1018"/>
      <c r="AX10" s="116"/>
      <c r="AY10" s="723"/>
      <c r="AZ10" s="723"/>
      <c r="BA10" s="718"/>
      <c r="BB10" s="719"/>
      <c r="BC10" s="95"/>
      <c r="BD10" s="95"/>
      <c r="BE10" s="990"/>
      <c r="BF10" s="990"/>
      <c r="BG10" s="998"/>
      <c r="BH10" s="93"/>
    </row>
    <row r="11" spans="1:60" ht="24" customHeight="1" x14ac:dyDescent="0.35">
      <c r="A11" s="1005" t="s">
        <v>195</v>
      </c>
      <c r="B11" s="1001">
        <v>2010</v>
      </c>
      <c r="C11" s="1001">
        <v>4</v>
      </c>
      <c r="D11" s="1061">
        <v>70.599999999999994</v>
      </c>
      <c r="E11" s="1074">
        <v>21</v>
      </c>
      <c r="F11" s="1074">
        <v>22</v>
      </c>
      <c r="G11" s="1074">
        <v>23</v>
      </c>
      <c r="H11" s="1074">
        <v>24</v>
      </c>
      <c r="I11" s="1066">
        <v>1</v>
      </c>
      <c r="J11" s="1066">
        <v>2</v>
      </c>
      <c r="K11" s="1066">
        <v>3</v>
      </c>
      <c r="L11" s="1074">
        <v>4</v>
      </c>
      <c r="M11" s="1074">
        <v>5</v>
      </c>
      <c r="N11" s="1074">
        <v>6</v>
      </c>
      <c r="O11" s="1074">
        <v>7</v>
      </c>
      <c r="P11" s="1074">
        <v>8</v>
      </c>
      <c r="Q11" s="1074">
        <v>9</v>
      </c>
      <c r="R11" s="1074">
        <v>10</v>
      </c>
      <c r="S11" s="1074">
        <v>11</v>
      </c>
      <c r="T11" s="1074">
        <v>12</v>
      </c>
      <c r="U11" s="1074">
        <v>13</v>
      </c>
      <c r="V11" s="1074">
        <v>14</v>
      </c>
      <c r="W11" s="1067">
        <v>1</v>
      </c>
      <c r="X11" s="1067">
        <v>2</v>
      </c>
      <c r="Y11" s="1074">
        <v>3</v>
      </c>
      <c r="Z11" s="1074">
        <v>4</v>
      </c>
      <c r="AA11" s="1074">
        <v>5</v>
      </c>
      <c r="AB11" s="1074">
        <v>6</v>
      </c>
      <c r="AC11" s="1074">
        <v>7</v>
      </c>
      <c r="AD11" s="1074">
        <v>8</v>
      </c>
      <c r="AE11" s="1074">
        <v>9</v>
      </c>
      <c r="AF11" s="1074">
        <v>10</v>
      </c>
      <c r="AG11" s="1074">
        <v>11</v>
      </c>
      <c r="AH11" s="1074">
        <v>12</v>
      </c>
      <c r="AI11" s="1074">
        <v>13</v>
      </c>
      <c r="AJ11" s="128">
        <f>SUM(D12:AI12)</f>
        <v>59</v>
      </c>
      <c r="AK11" s="1011">
        <f>14.78+12.09+4.37+4.45+16.8+18.04</f>
        <v>70.53</v>
      </c>
      <c r="AL11" s="534"/>
      <c r="AM11" s="725"/>
      <c r="AN11" s="725"/>
      <c r="AO11" s="714" t="str">
        <f>IF(COUNT(AM11,AN11)&lt;2, "0", AN11 - AM11 + 1)</f>
        <v>0</v>
      </c>
      <c r="AP11" s="715">
        <f>IFERROR((AK11+AL11)/AO11,0)</f>
        <v>0</v>
      </c>
      <c r="AQ11" s="1013"/>
      <c r="AR11" s="1013"/>
      <c r="AS11" s="726"/>
      <c r="AT11" s="726"/>
      <c r="AU11" s="716" t="str">
        <f>IF(COUNT(AS11,AT11)&lt;2, "0", AT11 - AS11 )</f>
        <v>0</v>
      </c>
      <c r="AV11" s="717">
        <f>IFERROR((AQ11+AR11)/AU11,0)</f>
        <v>0</v>
      </c>
      <c r="AW11" s="1017"/>
      <c r="AX11" s="115"/>
      <c r="AY11" s="727"/>
      <c r="AZ11" s="727"/>
      <c r="BA11" s="718" t="str">
        <f>IF(COUNT(AY11,AZ11)&lt;2, "0", AZ11 - AY11 )</f>
        <v>0</v>
      </c>
      <c r="BB11" s="719">
        <f>IFERROR((AW11+AX11)/BA11,0)</f>
        <v>0</v>
      </c>
      <c r="BC11" s="117"/>
      <c r="BD11" s="117"/>
      <c r="BE11" s="982">
        <f>AK11+AQ11</f>
        <v>70.53</v>
      </c>
      <c r="BF11" s="982">
        <f>AL11+AR11+AX11+BD11</f>
        <v>0</v>
      </c>
      <c r="BG11" s="995">
        <v>4</v>
      </c>
      <c r="BH11" s="92"/>
    </row>
    <row r="12" spans="1:60" ht="24" customHeight="1" x14ac:dyDescent="0.35">
      <c r="A12" s="1005"/>
      <c r="B12" s="1004"/>
      <c r="C12" s="1002"/>
      <c r="D12" s="1062"/>
      <c r="E12" s="1073"/>
      <c r="F12" s="1073"/>
      <c r="G12" s="1073"/>
      <c r="H12" s="1073"/>
      <c r="I12" s="1073">
        <v>12</v>
      </c>
      <c r="J12" s="1073">
        <v>12</v>
      </c>
      <c r="K12" s="1073">
        <v>11</v>
      </c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>
        <v>12</v>
      </c>
      <c r="X12" s="1073">
        <v>12</v>
      </c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73"/>
      <c r="AJ12" s="129"/>
      <c r="AK12" s="1012"/>
      <c r="AL12" s="535"/>
      <c r="AM12" s="722"/>
      <c r="AN12" s="722"/>
      <c r="AO12" s="714"/>
      <c r="AP12" s="715"/>
      <c r="AQ12" s="1014"/>
      <c r="AR12" s="1014"/>
      <c r="AS12" s="703"/>
      <c r="AT12" s="703"/>
      <c r="AU12" s="716"/>
      <c r="AV12" s="717"/>
      <c r="AW12" s="1018"/>
      <c r="AX12" s="116"/>
      <c r="AY12" s="723"/>
      <c r="AZ12" s="723"/>
      <c r="BA12" s="718"/>
      <c r="BB12" s="719"/>
      <c r="BC12" s="95"/>
      <c r="BD12" s="95"/>
      <c r="BE12" s="990"/>
      <c r="BF12" s="990"/>
      <c r="BG12" s="996"/>
      <c r="BH12" s="92"/>
    </row>
    <row r="13" spans="1:60" ht="24" customHeight="1" x14ac:dyDescent="0.35">
      <c r="A13" s="1005"/>
      <c r="B13" s="1004">
        <v>2010</v>
      </c>
      <c r="C13" s="1001">
        <v>5</v>
      </c>
      <c r="D13" s="1061">
        <v>54.3</v>
      </c>
      <c r="E13" s="1074">
        <v>4</v>
      </c>
      <c r="F13" s="1074">
        <v>5</v>
      </c>
      <c r="G13" s="1066">
        <v>6</v>
      </c>
      <c r="H13" s="1074">
        <v>7</v>
      </c>
      <c r="I13" s="1074">
        <v>8</v>
      </c>
      <c r="J13" s="1074">
        <v>9</v>
      </c>
      <c r="K13" s="1074">
        <v>10</v>
      </c>
      <c r="L13" s="1074">
        <v>11</v>
      </c>
      <c r="M13" s="1074">
        <v>12</v>
      </c>
      <c r="N13" s="1074">
        <v>13</v>
      </c>
      <c r="O13" s="1074">
        <v>14</v>
      </c>
      <c r="P13" s="1074">
        <v>15</v>
      </c>
      <c r="Q13" s="1074">
        <v>16</v>
      </c>
      <c r="R13" s="1074">
        <v>17</v>
      </c>
      <c r="S13" s="1067">
        <v>1</v>
      </c>
      <c r="T13" s="1074">
        <v>2</v>
      </c>
      <c r="U13" s="1067">
        <v>3</v>
      </c>
      <c r="V13" s="1067">
        <v>4</v>
      </c>
      <c r="W13" s="1074">
        <v>5</v>
      </c>
      <c r="X13" s="1074">
        <v>6</v>
      </c>
      <c r="Y13" s="1074">
        <v>7</v>
      </c>
      <c r="Z13" s="1074">
        <v>8</v>
      </c>
      <c r="AA13" s="1074">
        <v>9</v>
      </c>
      <c r="AB13" s="1074">
        <v>10</v>
      </c>
      <c r="AC13" s="1074">
        <v>11</v>
      </c>
      <c r="AD13" s="1074">
        <v>12</v>
      </c>
      <c r="AE13" s="1068">
        <v>1</v>
      </c>
      <c r="AF13" s="1074">
        <v>2</v>
      </c>
      <c r="AG13" s="1074">
        <v>3</v>
      </c>
      <c r="AH13" s="1074">
        <v>4</v>
      </c>
      <c r="AI13" s="1074">
        <v>5</v>
      </c>
      <c r="AJ13" s="131">
        <f>SUM(D14:AI14)</f>
        <v>52</v>
      </c>
      <c r="AK13" s="1011">
        <f>10.27+22.35+4.51</f>
        <v>37.130000000000003</v>
      </c>
      <c r="AL13" s="120"/>
      <c r="AM13" s="725"/>
      <c r="AN13" s="725"/>
      <c r="AO13" s="714" t="str">
        <f>IF(COUNT(AM13,AN13)&lt;2, "0", AN13 - AM13 + 1)</f>
        <v>0</v>
      </c>
      <c r="AP13" s="715">
        <f>IFERROR((AK13+AL13)/AO13,0)</f>
        <v>0</v>
      </c>
      <c r="AQ13" s="1013">
        <f>4.43+16.99+17.74</f>
        <v>39.159999999999997</v>
      </c>
      <c r="AR13" s="1013"/>
      <c r="AS13" s="726"/>
      <c r="AT13" s="726"/>
      <c r="AU13" s="716" t="str">
        <f>IF(COUNT(AS13,AT13)&lt;2, "0", AT13 - AS13 )</f>
        <v>0</v>
      </c>
      <c r="AV13" s="717">
        <f>IFERROR((AQ13+AR13)/AU13,0)</f>
        <v>0</v>
      </c>
      <c r="AW13" s="1017"/>
      <c r="AX13" s="115"/>
      <c r="AY13" s="727"/>
      <c r="AZ13" s="727"/>
      <c r="BA13" s="718" t="str">
        <f>IF(COUNT(AY13,AZ13)&lt;2, "0", AZ13 - AY13 )</f>
        <v>0</v>
      </c>
      <c r="BB13" s="719">
        <f>IFERROR((AW13+AX13)/BA13,0)</f>
        <v>0</v>
      </c>
      <c r="BC13" s="117"/>
      <c r="BD13" s="117"/>
      <c r="BE13" s="982">
        <f>AK13+AQ13+AW13+BC13</f>
        <v>76.289999999999992</v>
      </c>
      <c r="BF13" s="982">
        <f>AL13+AR13+AX13+BD13</f>
        <v>0</v>
      </c>
      <c r="BG13" s="995">
        <v>5</v>
      </c>
      <c r="BH13" s="92"/>
    </row>
    <row r="14" spans="1:60" ht="24" customHeight="1" x14ac:dyDescent="0.35">
      <c r="A14" s="1005"/>
      <c r="B14" s="1004"/>
      <c r="C14" s="1002"/>
      <c r="D14" s="1062"/>
      <c r="E14" s="1073"/>
      <c r="F14" s="1073"/>
      <c r="G14" s="1073">
        <v>10</v>
      </c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>
        <v>6</v>
      </c>
      <c r="T14" s="1073"/>
      <c r="U14" s="1073">
        <v>12</v>
      </c>
      <c r="V14" s="1073">
        <v>12</v>
      </c>
      <c r="W14" s="1073"/>
      <c r="X14" s="1073"/>
      <c r="Y14" s="1073"/>
      <c r="Z14" s="1073"/>
      <c r="AA14" s="1073"/>
      <c r="AB14" s="1073"/>
      <c r="AC14" s="1073"/>
      <c r="AD14" s="1073"/>
      <c r="AE14" s="1073">
        <v>12</v>
      </c>
      <c r="AF14" s="1073"/>
      <c r="AG14" s="1073"/>
      <c r="AH14" s="1073"/>
      <c r="AI14" s="1073"/>
      <c r="AJ14" s="132"/>
      <c r="AK14" s="1012"/>
      <c r="AL14" s="121"/>
      <c r="AM14" s="722"/>
      <c r="AN14" s="722"/>
      <c r="AO14" s="714"/>
      <c r="AP14" s="715"/>
      <c r="AQ14" s="1014"/>
      <c r="AR14" s="1014"/>
      <c r="AS14" s="703"/>
      <c r="AT14" s="703"/>
      <c r="AU14" s="716"/>
      <c r="AV14" s="717"/>
      <c r="AW14" s="1018"/>
      <c r="AX14" s="116"/>
      <c r="AY14" s="723"/>
      <c r="AZ14" s="723"/>
      <c r="BA14" s="718"/>
      <c r="BB14" s="719"/>
      <c r="BC14" s="95"/>
      <c r="BD14" s="95"/>
      <c r="BE14" s="990"/>
      <c r="BF14" s="990"/>
      <c r="BG14" s="996"/>
      <c r="BH14" s="92"/>
    </row>
    <row r="15" spans="1:60" ht="24" customHeight="1" x14ac:dyDescent="0.35">
      <c r="A15" s="1005"/>
      <c r="B15" s="1004">
        <v>2010</v>
      </c>
      <c r="C15" s="1001">
        <v>6</v>
      </c>
      <c r="D15" s="1061">
        <v>58.6</v>
      </c>
      <c r="E15" s="1074">
        <v>10</v>
      </c>
      <c r="F15" s="1074">
        <v>11</v>
      </c>
      <c r="G15" s="1074">
        <v>12</v>
      </c>
      <c r="H15" s="1074">
        <v>13</v>
      </c>
      <c r="I15" s="1074">
        <v>14</v>
      </c>
      <c r="J15" s="1074">
        <v>15</v>
      </c>
      <c r="K15" s="1074">
        <v>16</v>
      </c>
      <c r="L15" s="1074">
        <v>17</v>
      </c>
      <c r="M15" s="1074">
        <v>18</v>
      </c>
      <c r="N15" s="1074">
        <v>19</v>
      </c>
      <c r="O15" s="1074">
        <v>20</v>
      </c>
      <c r="P15" s="1066">
        <v>1</v>
      </c>
      <c r="Q15" s="1066">
        <v>2</v>
      </c>
      <c r="R15" s="1066">
        <v>3</v>
      </c>
      <c r="S15" s="1066">
        <v>4</v>
      </c>
      <c r="T15" s="1074">
        <v>5</v>
      </c>
      <c r="U15" s="1074">
        <v>6</v>
      </c>
      <c r="V15" s="1074">
        <v>7</v>
      </c>
      <c r="W15" s="1074">
        <v>8</v>
      </c>
      <c r="X15" s="1074">
        <v>9</v>
      </c>
      <c r="Y15" s="1074">
        <v>10</v>
      </c>
      <c r="Z15" s="1074">
        <v>11</v>
      </c>
      <c r="AA15" s="1067">
        <v>1</v>
      </c>
      <c r="AB15" s="1067">
        <v>2</v>
      </c>
      <c r="AC15" s="1074">
        <v>3</v>
      </c>
      <c r="AD15" s="1067">
        <v>4</v>
      </c>
      <c r="AE15" s="1074">
        <v>5</v>
      </c>
      <c r="AF15" s="1074">
        <v>6</v>
      </c>
      <c r="AG15" s="1074">
        <v>7</v>
      </c>
      <c r="AH15" s="1074">
        <v>8</v>
      </c>
      <c r="AI15" s="1074">
        <v>9</v>
      </c>
      <c r="AJ15" s="131">
        <f>SUM(D16:AI16)</f>
        <v>71</v>
      </c>
      <c r="AK15" s="1011">
        <f>4.14+4.46+21.26+5.04+9.28</f>
        <v>44.18</v>
      </c>
      <c r="AL15" s="120"/>
      <c r="AM15" s="725"/>
      <c r="AN15" s="725"/>
      <c r="AO15" s="714" t="str">
        <f>IF(COUNT(AM15,AN15)&lt;2, "0", AN15 - AM15 + 1)</f>
        <v>0</v>
      </c>
      <c r="AP15" s="715">
        <f>IFERROR((AK15+AL15)/AO15,0)</f>
        <v>0</v>
      </c>
      <c r="AQ15" s="1013">
        <f>17.6+13.21+2.73+9.51+20.34</f>
        <v>63.39</v>
      </c>
      <c r="AR15" s="1013"/>
      <c r="AS15" s="726"/>
      <c r="AT15" s="726"/>
      <c r="AU15" s="716" t="str">
        <f>IF(COUNT(AS15,AT15)&lt;2, "0", AT15 - AS15 )</f>
        <v>0</v>
      </c>
      <c r="AV15" s="717">
        <f>IFERROR((AQ15+AR15)/AU15,0)</f>
        <v>0</v>
      </c>
      <c r="AW15" s="1017"/>
      <c r="AX15" s="115"/>
      <c r="AY15" s="727"/>
      <c r="AZ15" s="727"/>
      <c r="BA15" s="718" t="str">
        <f>IF(COUNT(AY15,AZ15)&lt;2, "0", AZ15 - AY15 )</f>
        <v>0</v>
      </c>
      <c r="BB15" s="719">
        <f>IFERROR((AW15+AX15)/BA15,0)</f>
        <v>0</v>
      </c>
      <c r="BC15" s="117"/>
      <c r="BD15" s="117"/>
      <c r="BE15" s="982">
        <f>AK15+AQ15+AW15+BC15</f>
        <v>107.57</v>
      </c>
      <c r="BF15" s="982">
        <f>AL15+AR15+AX15+BD15</f>
        <v>0</v>
      </c>
      <c r="BG15" s="995">
        <v>6</v>
      </c>
      <c r="BH15" s="92"/>
    </row>
    <row r="16" spans="1:60" ht="24" customHeight="1" x14ac:dyDescent="0.35">
      <c r="A16" s="1005"/>
      <c r="B16" s="1004"/>
      <c r="C16" s="1002"/>
      <c r="D16" s="1062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>
        <v>12</v>
      </c>
      <c r="Q16" s="1073">
        <v>11</v>
      </c>
      <c r="R16" s="1073">
        <v>12</v>
      </c>
      <c r="S16" s="1073">
        <v>6</v>
      </c>
      <c r="T16" s="1073"/>
      <c r="U16" s="1073"/>
      <c r="V16" s="1073"/>
      <c r="W16" s="1073"/>
      <c r="X16" s="1073"/>
      <c r="Y16" s="1073"/>
      <c r="Z16" s="1073"/>
      <c r="AA16" s="1073">
        <v>6</v>
      </c>
      <c r="AB16" s="1073">
        <v>12</v>
      </c>
      <c r="AC16" s="1073"/>
      <c r="AD16" s="1073">
        <v>12</v>
      </c>
      <c r="AE16" s="1073"/>
      <c r="AF16" s="1073"/>
      <c r="AG16" s="1073"/>
      <c r="AH16" s="1073"/>
      <c r="AI16" s="1073"/>
      <c r="AJ16" s="132"/>
      <c r="AK16" s="1012"/>
      <c r="AL16" s="121"/>
      <c r="AM16" s="722"/>
      <c r="AN16" s="722"/>
      <c r="AO16" s="714"/>
      <c r="AP16" s="715"/>
      <c r="AQ16" s="1014"/>
      <c r="AR16" s="1014"/>
      <c r="AS16" s="703"/>
      <c r="AT16" s="703"/>
      <c r="AU16" s="716"/>
      <c r="AV16" s="717"/>
      <c r="AW16" s="1018"/>
      <c r="AX16" s="116"/>
      <c r="AY16" s="723"/>
      <c r="AZ16" s="723"/>
      <c r="BA16" s="718"/>
      <c r="BB16" s="719"/>
      <c r="BC16" s="95"/>
      <c r="BD16" s="95"/>
      <c r="BE16" s="990"/>
      <c r="BF16" s="990"/>
      <c r="BG16" s="996"/>
      <c r="BH16" s="92"/>
    </row>
    <row r="17" spans="1:59" ht="24" customHeight="1" x14ac:dyDescent="0.35">
      <c r="A17" s="1005"/>
      <c r="B17" s="1004">
        <v>2010</v>
      </c>
      <c r="C17" s="1001">
        <v>7</v>
      </c>
      <c r="D17" s="1061">
        <v>23.6</v>
      </c>
      <c r="E17" s="1074">
        <v>21</v>
      </c>
      <c r="F17" s="1074">
        <v>22</v>
      </c>
      <c r="G17" s="1074">
        <v>23</v>
      </c>
      <c r="H17" s="1066">
        <v>1</v>
      </c>
      <c r="I17" s="1074">
        <v>2</v>
      </c>
      <c r="J17" s="1074">
        <v>3</v>
      </c>
      <c r="K17" s="1074">
        <v>4</v>
      </c>
      <c r="L17" s="1074">
        <v>5</v>
      </c>
      <c r="M17" s="1074">
        <v>6</v>
      </c>
      <c r="N17" s="1074">
        <v>7</v>
      </c>
      <c r="O17" s="1074">
        <v>8</v>
      </c>
      <c r="P17" s="1074">
        <v>9</v>
      </c>
      <c r="Q17" s="1074">
        <v>10</v>
      </c>
      <c r="R17" s="1074">
        <v>11</v>
      </c>
      <c r="S17" s="1074">
        <v>12</v>
      </c>
      <c r="T17" s="1074">
        <v>13</v>
      </c>
      <c r="U17" s="1074">
        <v>14</v>
      </c>
      <c r="V17" s="1074">
        <v>15</v>
      </c>
      <c r="W17" s="1074">
        <v>16</v>
      </c>
      <c r="X17" s="1074">
        <v>17</v>
      </c>
      <c r="Y17" s="1074">
        <v>18</v>
      </c>
      <c r="Z17" s="1074">
        <v>19</v>
      </c>
      <c r="AA17" s="1074">
        <v>20</v>
      </c>
      <c r="AB17" s="1074">
        <v>21</v>
      </c>
      <c r="AC17" s="1074">
        <v>22</v>
      </c>
      <c r="AD17" s="1074">
        <v>23</v>
      </c>
      <c r="AE17" s="1074">
        <v>24</v>
      </c>
      <c r="AF17" s="1074">
        <v>25</v>
      </c>
      <c r="AG17" s="1074">
        <v>26</v>
      </c>
      <c r="AH17" s="1074">
        <v>27</v>
      </c>
      <c r="AI17" s="1074">
        <v>28</v>
      </c>
      <c r="AJ17" s="131">
        <f>SUM(D18:AI18)</f>
        <v>12</v>
      </c>
      <c r="AK17" s="1011">
        <f>12.72+12.93</f>
        <v>25.65</v>
      </c>
      <c r="AL17" s="120"/>
      <c r="AM17" s="725"/>
      <c r="AN17" s="725"/>
      <c r="AO17" s="714" t="str">
        <f>IF(COUNT(AM17,AN17)&lt;2, "0", AN17 - AM17 + 1)</f>
        <v>0</v>
      </c>
      <c r="AP17" s="715">
        <f>IFERROR((AK17+AL17)/AO17,0)</f>
        <v>0</v>
      </c>
      <c r="AQ17" s="1013">
        <f>12.39+7.33</f>
        <v>19.72</v>
      </c>
      <c r="AR17" s="1013"/>
      <c r="AS17" s="726"/>
      <c r="AT17" s="726"/>
      <c r="AU17" s="716" t="str">
        <f>IF(COUNT(AS17,AT17)&lt;2, "0", AT17 - AS17 )</f>
        <v>0</v>
      </c>
      <c r="AV17" s="717">
        <f>IFERROR((AQ17+AR17)/AU17,0)</f>
        <v>0</v>
      </c>
      <c r="AW17" s="1017"/>
      <c r="AX17" s="115"/>
      <c r="AY17" s="727"/>
      <c r="AZ17" s="727"/>
      <c r="BA17" s="718" t="str">
        <f>IF(COUNT(AY17,AZ17)&lt;2, "0", AZ17 - AY17 )</f>
        <v>0</v>
      </c>
      <c r="BB17" s="719">
        <f>IFERROR((AW17+AX17)/BA17,0)</f>
        <v>0</v>
      </c>
      <c r="BC17" s="117"/>
      <c r="BD17" s="117"/>
      <c r="BE17" s="982">
        <f>AK17+AQ17+AW17+BC17</f>
        <v>45.37</v>
      </c>
      <c r="BF17" s="982">
        <f>AL17+AR17+AX17+BD17</f>
        <v>0</v>
      </c>
      <c r="BG17" s="995">
        <v>7</v>
      </c>
    </row>
    <row r="18" spans="1:59" ht="24" customHeight="1" x14ac:dyDescent="0.35">
      <c r="A18" s="1005"/>
      <c r="B18" s="1004"/>
      <c r="C18" s="1002"/>
      <c r="D18" s="1062"/>
      <c r="E18" s="1073"/>
      <c r="F18" s="1073"/>
      <c r="G18" s="1073"/>
      <c r="H18" s="1073">
        <v>12</v>
      </c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73"/>
      <c r="AJ18" s="132"/>
      <c r="AK18" s="1012"/>
      <c r="AL18" s="121"/>
      <c r="AM18" s="722"/>
      <c r="AN18" s="722"/>
      <c r="AO18" s="714"/>
      <c r="AP18" s="715"/>
      <c r="AQ18" s="1014"/>
      <c r="AR18" s="1014"/>
      <c r="AS18" s="703"/>
      <c r="AT18" s="703"/>
      <c r="AU18" s="716"/>
      <c r="AV18" s="717"/>
      <c r="AW18" s="1018"/>
      <c r="AX18" s="116"/>
      <c r="AY18" s="723"/>
      <c r="AZ18" s="723"/>
      <c r="BA18" s="718"/>
      <c r="BB18" s="719"/>
      <c r="BC18" s="95"/>
      <c r="BD18" s="95"/>
      <c r="BE18" s="990"/>
      <c r="BF18" s="990"/>
      <c r="BG18" s="996"/>
    </row>
    <row r="19" spans="1:59" ht="24" customHeight="1" x14ac:dyDescent="0.35">
      <c r="A19" s="1005"/>
      <c r="B19" s="1004">
        <v>2010</v>
      </c>
      <c r="C19" s="1001">
        <v>23</v>
      </c>
      <c r="D19" s="1061">
        <v>14.6</v>
      </c>
      <c r="E19" s="1074">
        <v>12</v>
      </c>
      <c r="F19" s="1074">
        <v>13</v>
      </c>
      <c r="G19" s="1074">
        <v>14</v>
      </c>
      <c r="H19" s="1074">
        <v>15</v>
      </c>
      <c r="I19" s="1074">
        <v>16</v>
      </c>
      <c r="J19" s="1074">
        <v>17</v>
      </c>
      <c r="K19" s="1074">
        <v>18</v>
      </c>
      <c r="L19" s="1074">
        <v>19</v>
      </c>
      <c r="M19" s="1074">
        <v>20</v>
      </c>
      <c r="N19" s="1074">
        <v>21</v>
      </c>
      <c r="O19" s="1066">
        <v>1</v>
      </c>
      <c r="P19" s="1074">
        <v>2</v>
      </c>
      <c r="Q19" s="1074">
        <v>3</v>
      </c>
      <c r="R19" s="1074">
        <v>4</v>
      </c>
      <c r="S19" s="1074">
        <v>5</v>
      </c>
      <c r="T19" s="1074">
        <v>6</v>
      </c>
      <c r="U19" s="1074">
        <v>7</v>
      </c>
      <c r="V19" s="1074">
        <v>8</v>
      </c>
      <c r="W19" s="1074">
        <v>9</v>
      </c>
      <c r="X19" s="1074">
        <v>10</v>
      </c>
      <c r="Y19" s="1074">
        <v>11</v>
      </c>
      <c r="Z19" s="1074">
        <v>12</v>
      </c>
      <c r="AA19" s="1067">
        <v>1</v>
      </c>
      <c r="AB19" s="1074">
        <v>2</v>
      </c>
      <c r="AC19" s="1074">
        <v>3</v>
      </c>
      <c r="AD19" s="1074">
        <v>4</v>
      </c>
      <c r="AE19" s="1074">
        <v>5</v>
      </c>
      <c r="AF19" s="1074">
        <v>6</v>
      </c>
      <c r="AG19" s="1074">
        <v>7</v>
      </c>
      <c r="AH19" s="1074">
        <v>8</v>
      </c>
      <c r="AI19" s="1074">
        <v>9</v>
      </c>
      <c r="AJ19" s="128">
        <f>SUM(D20:AI20)</f>
        <v>18</v>
      </c>
      <c r="AK19" s="1011">
        <f>4</f>
        <v>4</v>
      </c>
      <c r="AL19" s="120"/>
      <c r="AM19" s="725"/>
      <c r="AN19" s="725"/>
      <c r="AO19" s="714" t="str">
        <f>IF(COUNT(AM19,AN19)&lt;2, "0", AN19 - AM19 + 1)</f>
        <v>0</v>
      </c>
      <c r="AP19" s="715">
        <f>IFERROR((AK19+AL19)/AO19,0)</f>
        <v>0</v>
      </c>
      <c r="AQ19" s="1013">
        <f>8.9+8.76</f>
        <v>17.66</v>
      </c>
      <c r="AR19" s="1013"/>
      <c r="AS19" s="726"/>
      <c r="AT19" s="726"/>
      <c r="AU19" s="716" t="str">
        <f>IF(COUNT(AS19,AT19)&lt;2, "0", AT19 - AS19 )</f>
        <v>0</v>
      </c>
      <c r="AV19" s="717">
        <f>IFERROR((AQ19+AR19)/AU19,0)</f>
        <v>0</v>
      </c>
      <c r="AW19" s="1017"/>
      <c r="AX19" s="115"/>
      <c r="AY19" s="727"/>
      <c r="AZ19" s="727"/>
      <c r="BA19" s="718" t="str">
        <f>IF(COUNT(AY19,AZ19)&lt;2, "0", AZ19 - AY19 )</f>
        <v>0</v>
      </c>
      <c r="BB19" s="719">
        <f>IFERROR((AW19+AX19)/BA19,0)</f>
        <v>0</v>
      </c>
      <c r="BC19" s="117"/>
      <c r="BD19" s="117"/>
      <c r="BE19" s="982">
        <f>AK19+AQ19+AW19+BC19</f>
        <v>21.66</v>
      </c>
      <c r="BF19" s="982">
        <f>AL19+AR19+AX19+BD19</f>
        <v>0</v>
      </c>
      <c r="BG19" s="995">
        <v>23</v>
      </c>
    </row>
    <row r="20" spans="1:59" ht="24" customHeight="1" x14ac:dyDescent="0.35">
      <c r="A20" s="1005"/>
      <c r="B20" s="1004"/>
      <c r="C20" s="1002"/>
      <c r="D20" s="1062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>
        <v>12</v>
      </c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>
        <v>6</v>
      </c>
      <c r="AB20" s="1073"/>
      <c r="AC20" s="1073"/>
      <c r="AD20" s="1073"/>
      <c r="AE20" s="1073"/>
      <c r="AF20" s="1073"/>
      <c r="AG20" s="1073"/>
      <c r="AH20" s="1073"/>
      <c r="AI20" s="1073"/>
      <c r="AJ20" s="129"/>
      <c r="AK20" s="1012"/>
      <c r="AL20" s="121"/>
      <c r="AM20" s="722"/>
      <c r="AN20" s="722"/>
      <c r="AO20" s="714"/>
      <c r="AP20" s="715"/>
      <c r="AQ20" s="1014"/>
      <c r="AR20" s="1014"/>
      <c r="AS20" s="703"/>
      <c r="AT20" s="703"/>
      <c r="AU20" s="716"/>
      <c r="AV20" s="717"/>
      <c r="AW20" s="1018"/>
      <c r="AX20" s="116"/>
      <c r="AY20" s="723"/>
      <c r="AZ20" s="723"/>
      <c r="BA20" s="718"/>
      <c r="BB20" s="719"/>
      <c r="BC20" s="95"/>
      <c r="BD20" s="95"/>
      <c r="BE20" s="990"/>
      <c r="BF20" s="990"/>
      <c r="BG20" s="996"/>
    </row>
    <row r="21" spans="1:59" ht="24" customHeight="1" x14ac:dyDescent="0.35">
      <c r="A21" s="1005"/>
      <c r="B21" s="1004">
        <v>2012</v>
      </c>
      <c r="C21" s="1001">
        <v>24</v>
      </c>
      <c r="D21" s="1064">
        <v>44.7</v>
      </c>
      <c r="E21" s="1074">
        <v>16</v>
      </c>
      <c r="F21" s="1074">
        <v>17</v>
      </c>
      <c r="G21" s="1074">
        <v>18</v>
      </c>
      <c r="H21" s="1074">
        <v>19</v>
      </c>
      <c r="I21" s="1074">
        <v>20</v>
      </c>
      <c r="J21" s="1074">
        <v>21</v>
      </c>
      <c r="K21" s="1074">
        <v>22</v>
      </c>
      <c r="L21" s="1066">
        <v>1</v>
      </c>
      <c r="M21" s="1066">
        <v>2</v>
      </c>
      <c r="N21" s="1066">
        <v>3</v>
      </c>
      <c r="O21" s="1074">
        <v>4</v>
      </c>
      <c r="P21" s="1074">
        <v>5</v>
      </c>
      <c r="Q21" s="1074">
        <v>6</v>
      </c>
      <c r="R21" s="1074">
        <v>7</v>
      </c>
      <c r="S21" s="1074">
        <v>8</v>
      </c>
      <c r="T21" s="1074">
        <v>9</v>
      </c>
      <c r="U21" s="1074">
        <v>10</v>
      </c>
      <c r="V21" s="1074">
        <v>11</v>
      </c>
      <c r="W21" s="1074">
        <v>12</v>
      </c>
      <c r="X21" s="1074">
        <v>13</v>
      </c>
      <c r="Y21" s="1067">
        <v>1</v>
      </c>
      <c r="Z21" s="1067">
        <v>2</v>
      </c>
      <c r="AA21" s="1074">
        <v>3</v>
      </c>
      <c r="AB21" s="1074">
        <v>4</v>
      </c>
      <c r="AC21" s="1074">
        <v>5</v>
      </c>
      <c r="AD21" s="1074">
        <v>6</v>
      </c>
      <c r="AE21" s="1074">
        <v>7</v>
      </c>
      <c r="AF21" s="1074">
        <v>8</v>
      </c>
      <c r="AG21" s="1074">
        <v>9</v>
      </c>
      <c r="AH21" s="1074">
        <v>10</v>
      </c>
      <c r="AI21" s="1074">
        <v>11</v>
      </c>
      <c r="AJ21" s="131">
        <f>SUM(D22:AI22)</f>
        <v>55</v>
      </c>
      <c r="AK21" s="1011">
        <f>4.19+16.94+8.48</f>
        <v>29.610000000000003</v>
      </c>
      <c r="AL21" s="120"/>
      <c r="AM21" s="725"/>
      <c r="AN21" s="725"/>
      <c r="AO21" s="714" t="str">
        <f>IF(COUNT(AM21,AN21)&lt;2, "0", AN21 - AM21 + 1)</f>
        <v>0</v>
      </c>
      <c r="AP21" s="715">
        <f>IFERROR((AK21+AL21)/AO21,0)</f>
        <v>0</v>
      </c>
      <c r="AQ21" s="1013">
        <f>8.69+4.34+4.66+9.01+26.89+4.36</f>
        <v>57.949999999999996</v>
      </c>
      <c r="AR21" s="1013"/>
      <c r="AS21" s="726"/>
      <c r="AT21" s="726"/>
      <c r="AU21" s="716" t="str">
        <f>IF(COUNT(AS21,AT21)&lt;2, "0", AT21 - AS21 )</f>
        <v>0</v>
      </c>
      <c r="AV21" s="717">
        <f>IFERROR((AQ21+AR21)/AU21,0)</f>
        <v>0</v>
      </c>
      <c r="AW21" s="1017"/>
      <c r="AX21" s="115"/>
      <c r="AY21" s="727"/>
      <c r="AZ21" s="727"/>
      <c r="BA21" s="718" t="str">
        <f>IF(COUNT(AY21,AZ21)&lt;2, "0", AZ21 - AY21 )</f>
        <v>0</v>
      </c>
      <c r="BB21" s="719">
        <f>IFERROR((AW21+AX21)/BA21,0)</f>
        <v>0</v>
      </c>
      <c r="BC21" s="117"/>
      <c r="BD21" s="117"/>
      <c r="BE21" s="982">
        <f>AK21+AQ21+AW21+BC21</f>
        <v>87.56</v>
      </c>
      <c r="BF21" s="982">
        <f>AL21+AR21+AX21+BD21</f>
        <v>0</v>
      </c>
      <c r="BG21" s="995">
        <v>24</v>
      </c>
    </row>
    <row r="22" spans="1:59" ht="24" customHeight="1" x14ac:dyDescent="0.35">
      <c r="A22" s="1006"/>
      <c r="B22" s="1002"/>
      <c r="C22" s="1002"/>
      <c r="D22" s="1062"/>
      <c r="E22" s="1073"/>
      <c r="F22" s="1073"/>
      <c r="G22" s="1073"/>
      <c r="H22" s="1073"/>
      <c r="I22" s="1073"/>
      <c r="J22" s="1073"/>
      <c r="K22" s="1073"/>
      <c r="L22" s="1073">
        <v>11</v>
      </c>
      <c r="M22" s="1073">
        <v>12</v>
      </c>
      <c r="N22" s="1073">
        <v>10</v>
      </c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>
        <v>10</v>
      </c>
      <c r="Z22" s="1073">
        <v>12</v>
      </c>
      <c r="AA22" s="1073"/>
      <c r="AB22" s="1073"/>
      <c r="AC22" s="1073"/>
      <c r="AD22" s="1073"/>
      <c r="AE22" s="1073"/>
      <c r="AF22" s="1073"/>
      <c r="AG22" s="1073"/>
      <c r="AH22" s="1073"/>
      <c r="AI22" s="1073"/>
      <c r="AJ22" s="132"/>
      <c r="AK22" s="1012"/>
      <c r="AL22" s="121"/>
      <c r="AM22" s="722"/>
      <c r="AN22" s="722"/>
      <c r="AO22" s="714"/>
      <c r="AP22" s="715"/>
      <c r="AQ22" s="1014"/>
      <c r="AR22" s="1014"/>
      <c r="AS22" s="703"/>
      <c r="AT22" s="703"/>
      <c r="AU22" s="716"/>
      <c r="AV22" s="717"/>
      <c r="AW22" s="1018"/>
      <c r="AX22" s="116"/>
      <c r="AY22" s="723"/>
      <c r="AZ22" s="723"/>
      <c r="BA22" s="718"/>
      <c r="BB22" s="719"/>
      <c r="BC22" s="95"/>
      <c r="BD22" s="95"/>
      <c r="BE22" s="990"/>
      <c r="BF22" s="990"/>
      <c r="BG22" s="996"/>
    </row>
    <row r="23" spans="1:59" ht="24" customHeight="1" x14ac:dyDescent="0.35">
      <c r="A23" s="1005" t="s">
        <v>64</v>
      </c>
      <c r="B23" s="1004">
        <v>2011</v>
      </c>
      <c r="C23" s="1001">
        <v>15</v>
      </c>
      <c r="D23" s="1061">
        <v>49.3</v>
      </c>
      <c r="E23" s="1074">
        <v>8</v>
      </c>
      <c r="F23" s="1074">
        <v>9</v>
      </c>
      <c r="G23" s="1074">
        <v>10</v>
      </c>
      <c r="H23" s="1074">
        <v>11</v>
      </c>
      <c r="I23" s="1074">
        <v>12</v>
      </c>
      <c r="J23" s="1074">
        <v>13</v>
      </c>
      <c r="K23" s="1074">
        <v>14</v>
      </c>
      <c r="L23" s="1066">
        <v>1</v>
      </c>
      <c r="M23" s="1066">
        <v>2</v>
      </c>
      <c r="N23" s="1074">
        <v>3</v>
      </c>
      <c r="O23" s="1074">
        <v>4</v>
      </c>
      <c r="P23" s="1074">
        <v>5</v>
      </c>
      <c r="Q23" s="1074">
        <v>6</v>
      </c>
      <c r="R23" s="1074">
        <v>7</v>
      </c>
      <c r="S23" s="1074">
        <v>8</v>
      </c>
      <c r="T23" s="1074">
        <v>9</v>
      </c>
      <c r="U23" s="1074">
        <v>10</v>
      </c>
      <c r="V23" s="1067">
        <v>1</v>
      </c>
      <c r="W23" s="1074">
        <v>2</v>
      </c>
      <c r="X23" s="1074">
        <v>3</v>
      </c>
      <c r="Y23" s="1074">
        <v>4</v>
      </c>
      <c r="Z23" s="1074">
        <v>5</v>
      </c>
      <c r="AA23" s="1074">
        <v>6</v>
      </c>
      <c r="AB23" s="1074">
        <v>7</v>
      </c>
      <c r="AC23" s="1074">
        <v>8</v>
      </c>
      <c r="AD23" s="1074">
        <v>9</v>
      </c>
      <c r="AE23" s="1074">
        <v>10</v>
      </c>
      <c r="AF23" s="1068">
        <v>1</v>
      </c>
      <c r="AG23" s="1068">
        <v>2</v>
      </c>
      <c r="AH23" s="1074">
        <v>3</v>
      </c>
      <c r="AI23" s="1074">
        <v>4</v>
      </c>
      <c r="AJ23" s="128">
        <f>SUM(D24:AI24)</f>
        <v>56</v>
      </c>
      <c r="AK23" s="1011">
        <f>3.91+7.65+8.61+4.31+9.17+7.78+17.04+3.78</f>
        <v>62.25</v>
      </c>
      <c r="AL23" s="120"/>
      <c r="AM23" s="725"/>
      <c r="AN23" s="725"/>
      <c r="AO23" s="714" t="str">
        <f>IF(COUNT(AM23,AN23)&lt;2, "0", AN23 - AM23 + 1)</f>
        <v>0</v>
      </c>
      <c r="AP23" s="715">
        <f>IFERROR((AK23+AL23)/AO23,0)</f>
        <v>0</v>
      </c>
      <c r="AQ23" s="1013">
        <f>4.42+4.32</f>
        <v>8.74</v>
      </c>
      <c r="AR23" s="1013"/>
      <c r="AS23" s="726"/>
      <c r="AT23" s="726"/>
      <c r="AU23" s="716" t="str">
        <f>IF(COUNT(AS23,AT23)&lt;2, "0", AT23 - AS23 )</f>
        <v>0</v>
      </c>
      <c r="AV23" s="717">
        <f>IFERROR((AQ23+AR23)/AU23,0)</f>
        <v>0</v>
      </c>
      <c r="AW23" s="1017"/>
      <c r="AX23" s="115"/>
      <c r="AY23" s="727"/>
      <c r="AZ23" s="727"/>
      <c r="BA23" s="718" t="str">
        <f>IF(COUNT(AY23,AZ23)&lt;2, "0", AZ23 - AY23 )</f>
        <v>0</v>
      </c>
      <c r="BB23" s="719">
        <f>IFERROR((AW23+AX23)/BA23,0)</f>
        <v>0</v>
      </c>
      <c r="BC23" s="117"/>
      <c r="BD23" s="117"/>
      <c r="BE23" s="982">
        <f>AK23+AQ23+AW23+BC23</f>
        <v>70.989999999999995</v>
      </c>
      <c r="BF23" s="982">
        <f>AL23+AR23+AX23+BD23</f>
        <v>0</v>
      </c>
      <c r="BG23" s="993">
        <v>2</v>
      </c>
    </row>
    <row r="24" spans="1:59" ht="24" customHeight="1" x14ac:dyDescent="0.35">
      <c r="A24" s="1005"/>
      <c r="B24" s="1004"/>
      <c r="C24" s="1002"/>
      <c r="D24" s="1062"/>
      <c r="E24" s="1073"/>
      <c r="F24" s="1073"/>
      <c r="G24" s="1073"/>
      <c r="H24" s="1073"/>
      <c r="I24" s="1073"/>
      <c r="J24" s="1073"/>
      <c r="K24" s="1073"/>
      <c r="L24" s="1073">
        <v>7</v>
      </c>
      <c r="M24" s="1073">
        <v>13</v>
      </c>
      <c r="N24" s="1073"/>
      <c r="O24" s="1073"/>
      <c r="P24" s="1073"/>
      <c r="Q24" s="1073"/>
      <c r="R24" s="1073"/>
      <c r="S24" s="1073"/>
      <c r="T24" s="1073"/>
      <c r="U24" s="1073"/>
      <c r="V24" s="1073">
        <v>15</v>
      </c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>
        <v>15</v>
      </c>
      <c r="AG24" s="1073">
        <v>6</v>
      </c>
      <c r="AH24" s="1073"/>
      <c r="AI24" s="1073"/>
      <c r="AJ24" s="129"/>
      <c r="AK24" s="1012"/>
      <c r="AL24" s="121"/>
      <c r="AM24" s="722"/>
      <c r="AN24" s="722"/>
      <c r="AO24" s="714"/>
      <c r="AP24" s="715"/>
      <c r="AQ24" s="1014"/>
      <c r="AR24" s="1014"/>
      <c r="AS24" s="703"/>
      <c r="AT24" s="703"/>
      <c r="AU24" s="716"/>
      <c r="AV24" s="717"/>
      <c r="AW24" s="1018"/>
      <c r="AX24" s="116"/>
      <c r="AY24" s="723"/>
      <c r="AZ24" s="723"/>
      <c r="BA24" s="718"/>
      <c r="BB24" s="719"/>
      <c r="BC24" s="95"/>
      <c r="BD24" s="95"/>
      <c r="BE24" s="990"/>
      <c r="BF24" s="990"/>
      <c r="BG24" s="994"/>
    </row>
    <row r="25" spans="1:59" ht="24" customHeight="1" x14ac:dyDescent="0.35">
      <c r="A25" s="1005"/>
      <c r="B25" s="1004">
        <v>2011</v>
      </c>
      <c r="C25" s="1001">
        <v>16</v>
      </c>
      <c r="D25" s="1061">
        <v>50.4</v>
      </c>
      <c r="E25" s="1074">
        <v>11</v>
      </c>
      <c r="F25" s="1074">
        <v>12</v>
      </c>
      <c r="G25" s="1074">
        <v>13</v>
      </c>
      <c r="H25" s="1074">
        <v>14</v>
      </c>
      <c r="I25" s="1074">
        <v>15</v>
      </c>
      <c r="J25" s="1074">
        <v>16</v>
      </c>
      <c r="K25" s="1066">
        <v>1</v>
      </c>
      <c r="L25" s="1066">
        <v>2</v>
      </c>
      <c r="M25" s="1074">
        <v>3</v>
      </c>
      <c r="N25" s="1074">
        <v>4</v>
      </c>
      <c r="O25" s="1074">
        <v>5</v>
      </c>
      <c r="P25" s="1074">
        <v>6</v>
      </c>
      <c r="Q25" s="1074">
        <v>7</v>
      </c>
      <c r="R25" s="1074">
        <v>8</v>
      </c>
      <c r="S25" s="1074">
        <v>9</v>
      </c>
      <c r="T25" s="1074">
        <v>10</v>
      </c>
      <c r="U25" s="1067">
        <v>1</v>
      </c>
      <c r="V25" s="1074">
        <v>2</v>
      </c>
      <c r="W25" s="1074">
        <v>3</v>
      </c>
      <c r="X25" s="1074">
        <v>4</v>
      </c>
      <c r="Y25" s="1074">
        <v>5</v>
      </c>
      <c r="Z25" s="1074">
        <v>6</v>
      </c>
      <c r="AA25" s="1074">
        <v>7</v>
      </c>
      <c r="AB25" s="1074">
        <v>8</v>
      </c>
      <c r="AC25" s="1074">
        <v>9</v>
      </c>
      <c r="AD25" s="1074">
        <v>10</v>
      </c>
      <c r="AE25" s="1068">
        <v>1</v>
      </c>
      <c r="AF25" s="1074">
        <v>2</v>
      </c>
      <c r="AG25" s="1074">
        <v>3</v>
      </c>
      <c r="AH25" s="1074">
        <v>4</v>
      </c>
      <c r="AI25" s="1074">
        <v>5</v>
      </c>
      <c r="AJ25" s="128">
        <f>SUM(D26:AI26)</f>
        <v>51</v>
      </c>
      <c r="AK25" s="1011">
        <f>4.3+23.34+6.57</f>
        <v>34.21</v>
      </c>
      <c r="AL25" s="120"/>
      <c r="AM25" s="725"/>
      <c r="AN25" s="725"/>
      <c r="AO25" s="714" t="str">
        <f>IF(COUNT(AM25,AN25)&lt;2, "0", AN25 - AM25 + 1)</f>
        <v>0</v>
      </c>
      <c r="AP25" s="715">
        <f>IFERROR((AK25+AL25)/AO25,0)</f>
        <v>0</v>
      </c>
      <c r="AQ25" s="1013">
        <f>3.87+7.9+14.51</f>
        <v>26.28</v>
      </c>
      <c r="AR25" s="1013"/>
      <c r="AS25" s="726"/>
      <c r="AT25" s="726"/>
      <c r="AU25" s="716" t="str">
        <f>IF(COUNT(AS25,AT25)&lt;2, "0", AT25 - AS25 )</f>
        <v>0</v>
      </c>
      <c r="AV25" s="717">
        <f>IFERROR((AQ25+AR25)/AU25,0)</f>
        <v>0</v>
      </c>
      <c r="AW25" s="1017"/>
      <c r="AX25" s="115"/>
      <c r="AY25" s="727"/>
      <c r="AZ25" s="727"/>
      <c r="BA25" s="718" t="str">
        <f>IF(COUNT(AY25,AZ25)&lt;2, "0", AZ25 - AY25 )</f>
        <v>0</v>
      </c>
      <c r="BB25" s="719">
        <f>IFERROR((AW25+AX25)/BA25,0)</f>
        <v>0</v>
      </c>
      <c r="BC25" s="117"/>
      <c r="BD25" s="117"/>
      <c r="BE25" s="982">
        <f>AK25+AQ25+AW25+BC25</f>
        <v>60.49</v>
      </c>
      <c r="BF25" s="982">
        <f>AL25+AR25+AX25+BD25</f>
        <v>0</v>
      </c>
      <c r="BG25" s="993">
        <v>15</v>
      </c>
    </row>
    <row r="26" spans="1:59" ht="24" customHeight="1" x14ac:dyDescent="0.35">
      <c r="A26" s="1005"/>
      <c r="B26" s="1004"/>
      <c r="C26" s="1002"/>
      <c r="D26" s="1062"/>
      <c r="E26" s="1073"/>
      <c r="F26" s="1073"/>
      <c r="G26" s="1073"/>
      <c r="H26" s="1073"/>
      <c r="I26" s="1073"/>
      <c r="J26" s="1073"/>
      <c r="K26" s="1073">
        <v>13</v>
      </c>
      <c r="L26" s="1073">
        <v>6</v>
      </c>
      <c r="M26" s="1073"/>
      <c r="N26" s="1073"/>
      <c r="O26" s="1073"/>
      <c r="P26" s="1073"/>
      <c r="Q26" s="1073"/>
      <c r="R26" s="1073"/>
      <c r="S26" s="1073"/>
      <c r="T26" s="1073"/>
      <c r="U26" s="1073">
        <v>16</v>
      </c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>
        <v>16</v>
      </c>
      <c r="AF26" s="1073"/>
      <c r="AG26" s="1073"/>
      <c r="AH26" s="1073"/>
      <c r="AI26" s="1073"/>
      <c r="AJ26" s="129"/>
      <c r="AK26" s="1012"/>
      <c r="AL26" s="121"/>
      <c r="AM26" s="722"/>
      <c r="AN26" s="722"/>
      <c r="AO26" s="714"/>
      <c r="AP26" s="715"/>
      <c r="AQ26" s="1014"/>
      <c r="AR26" s="1014"/>
      <c r="AS26" s="703"/>
      <c r="AT26" s="703"/>
      <c r="AU26" s="716"/>
      <c r="AV26" s="717"/>
      <c r="AW26" s="1018"/>
      <c r="AX26" s="116"/>
      <c r="AY26" s="723"/>
      <c r="AZ26" s="723"/>
      <c r="BA26" s="718"/>
      <c r="BB26" s="719"/>
      <c r="BC26" s="95"/>
      <c r="BD26" s="95"/>
      <c r="BE26" s="990"/>
      <c r="BF26" s="990"/>
      <c r="BG26" s="994"/>
    </row>
    <row r="27" spans="1:59" ht="24" customHeight="1" x14ac:dyDescent="0.35">
      <c r="A27" s="1005"/>
      <c r="B27" s="1004">
        <v>2011</v>
      </c>
      <c r="C27" s="1001">
        <v>17</v>
      </c>
      <c r="D27" s="1061">
        <v>45.7</v>
      </c>
      <c r="E27" s="1074">
        <v>12</v>
      </c>
      <c r="F27" s="1074">
        <v>13</v>
      </c>
      <c r="G27" s="1074">
        <v>14</v>
      </c>
      <c r="H27" s="1074">
        <v>15</v>
      </c>
      <c r="I27" s="1074">
        <v>16</v>
      </c>
      <c r="J27" s="1066">
        <v>1</v>
      </c>
      <c r="K27" s="1074">
        <v>2</v>
      </c>
      <c r="L27" s="1074">
        <v>3</v>
      </c>
      <c r="M27" s="1074">
        <v>4</v>
      </c>
      <c r="N27" s="1074">
        <v>5</v>
      </c>
      <c r="O27" s="1074">
        <v>6</v>
      </c>
      <c r="P27" s="1074">
        <v>7</v>
      </c>
      <c r="Q27" s="1074">
        <v>8</v>
      </c>
      <c r="R27" s="1074">
        <v>9</v>
      </c>
      <c r="S27" s="1067">
        <v>1</v>
      </c>
      <c r="T27" s="1074">
        <v>2</v>
      </c>
      <c r="U27" s="1074">
        <v>3</v>
      </c>
      <c r="V27" s="1074">
        <v>4</v>
      </c>
      <c r="W27" s="1074">
        <v>5</v>
      </c>
      <c r="X27" s="1074">
        <v>6</v>
      </c>
      <c r="Y27" s="1074">
        <v>7</v>
      </c>
      <c r="Z27" s="1074">
        <v>8</v>
      </c>
      <c r="AA27" s="1074">
        <v>9</v>
      </c>
      <c r="AB27" s="1074">
        <v>10</v>
      </c>
      <c r="AC27" s="1074">
        <v>11</v>
      </c>
      <c r="AD27" s="1068">
        <v>1</v>
      </c>
      <c r="AE27" s="1074">
        <v>2</v>
      </c>
      <c r="AF27" s="1074">
        <v>3</v>
      </c>
      <c r="AG27" s="1074">
        <v>4</v>
      </c>
      <c r="AH27" s="1074">
        <v>5</v>
      </c>
      <c r="AI27" s="1074">
        <v>6</v>
      </c>
      <c r="AJ27" s="128">
        <f>SUM(D28:AI28)</f>
        <v>49</v>
      </c>
      <c r="AK27" s="1011">
        <f>13.01+15.59</f>
        <v>28.6</v>
      </c>
      <c r="AL27" s="120"/>
      <c r="AM27" s="725"/>
      <c r="AN27" s="725"/>
      <c r="AO27" s="714" t="str">
        <f>IF(COUNT(AM27,AN27)&lt;2, "0", AN27 - AM27 + 1)</f>
        <v>0</v>
      </c>
      <c r="AP27" s="715">
        <f>IFERROR((AK27+AL27)/AO27,0)</f>
        <v>0</v>
      </c>
      <c r="AQ27" s="1013">
        <f>16.72+10.63</f>
        <v>27.35</v>
      </c>
      <c r="AR27" s="1013"/>
      <c r="AS27" s="726"/>
      <c r="AT27" s="726"/>
      <c r="AU27" s="716" t="str">
        <f>IF(COUNT(AS27,AT27)&lt;2, "0", AT27 - AS27 )</f>
        <v>0</v>
      </c>
      <c r="AV27" s="717">
        <f>IFERROR((AQ27+AR27)/AU27,0)</f>
        <v>0</v>
      </c>
      <c r="AW27" s="1017">
        <f>19.2+12.51</f>
        <v>31.71</v>
      </c>
      <c r="AX27" s="115"/>
      <c r="AY27" s="727"/>
      <c r="AZ27" s="727"/>
      <c r="BA27" s="718" t="str">
        <f>IF(COUNT(AY27,AZ27)&lt;2, "0", AZ27 - AY27 )</f>
        <v>0</v>
      </c>
      <c r="BB27" s="719">
        <f>IFERROR((AW27+AX27)/BA27,0)</f>
        <v>0</v>
      </c>
      <c r="BC27" s="117"/>
      <c r="BD27" s="117"/>
      <c r="BE27" s="982">
        <f>AK27+AQ27+AW27+BC27</f>
        <v>87.66</v>
      </c>
      <c r="BF27" s="982">
        <f>AL27+AR27+AX27+BD27</f>
        <v>0</v>
      </c>
      <c r="BG27" s="993">
        <v>16</v>
      </c>
    </row>
    <row r="28" spans="1:59" ht="24" customHeight="1" x14ac:dyDescent="0.35">
      <c r="A28" s="1005"/>
      <c r="B28" s="1004"/>
      <c r="C28" s="1002"/>
      <c r="D28" s="1062"/>
      <c r="E28" s="1073"/>
      <c r="F28" s="1073"/>
      <c r="G28" s="1073"/>
      <c r="H28" s="1073"/>
      <c r="I28" s="1073"/>
      <c r="J28" s="1073">
        <v>17</v>
      </c>
      <c r="K28" s="1073"/>
      <c r="L28" s="1073"/>
      <c r="M28" s="1073"/>
      <c r="N28" s="1073"/>
      <c r="O28" s="1073"/>
      <c r="P28" s="1073"/>
      <c r="Q28" s="1073"/>
      <c r="R28" s="1073"/>
      <c r="S28" s="1073">
        <v>17</v>
      </c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>
        <v>15</v>
      </c>
      <c r="AE28" s="1073"/>
      <c r="AF28" s="1073"/>
      <c r="AG28" s="1073"/>
      <c r="AH28" s="1073"/>
      <c r="AI28" s="1073"/>
      <c r="AJ28" s="129"/>
      <c r="AK28" s="1012"/>
      <c r="AL28" s="121"/>
      <c r="AM28" s="722"/>
      <c r="AN28" s="722"/>
      <c r="AO28" s="714"/>
      <c r="AP28" s="715"/>
      <c r="AQ28" s="1014"/>
      <c r="AR28" s="1014"/>
      <c r="AS28" s="703"/>
      <c r="AT28" s="703"/>
      <c r="AU28" s="716"/>
      <c r="AV28" s="717"/>
      <c r="AW28" s="1018"/>
      <c r="AX28" s="116"/>
      <c r="AY28" s="723"/>
      <c r="AZ28" s="723"/>
      <c r="BA28" s="718"/>
      <c r="BB28" s="719"/>
      <c r="BC28" s="95"/>
      <c r="BD28" s="95"/>
      <c r="BE28" s="990"/>
      <c r="BF28" s="990"/>
      <c r="BG28" s="994"/>
    </row>
    <row r="29" spans="1:59" ht="24" customHeight="1" x14ac:dyDescent="0.35">
      <c r="A29" s="1005"/>
      <c r="B29" s="1004">
        <v>2012</v>
      </c>
      <c r="C29" s="1001">
        <v>19</v>
      </c>
      <c r="D29" s="1061">
        <v>50.6</v>
      </c>
      <c r="E29" s="1074">
        <v>6</v>
      </c>
      <c r="F29" s="1074">
        <v>7</v>
      </c>
      <c r="G29" s="1074">
        <v>8</v>
      </c>
      <c r="H29" s="1074">
        <v>9</v>
      </c>
      <c r="I29" s="1074">
        <v>10</v>
      </c>
      <c r="J29" s="1074">
        <v>11</v>
      </c>
      <c r="K29" s="1074">
        <v>12</v>
      </c>
      <c r="L29" s="1074">
        <v>13</v>
      </c>
      <c r="M29" s="1074">
        <v>14</v>
      </c>
      <c r="N29" s="1066">
        <v>1</v>
      </c>
      <c r="O29" s="1074">
        <v>2</v>
      </c>
      <c r="P29" s="1074">
        <v>3</v>
      </c>
      <c r="Q29" s="1074">
        <v>4</v>
      </c>
      <c r="R29" s="1074">
        <v>5</v>
      </c>
      <c r="S29" s="1074">
        <v>6</v>
      </c>
      <c r="T29" s="1074">
        <v>7</v>
      </c>
      <c r="U29" s="1074">
        <v>8</v>
      </c>
      <c r="V29" s="1074">
        <v>9</v>
      </c>
      <c r="W29" s="1074">
        <v>10</v>
      </c>
      <c r="X29" s="1067">
        <v>1</v>
      </c>
      <c r="Y29" s="1074">
        <v>2</v>
      </c>
      <c r="Z29" s="1074">
        <v>3</v>
      </c>
      <c r="AA29" s="1074">
        <v>4</v>
      </c>
      <c r="AB29" s="1074">
        <v>5</v>
      </c>
      <c r="AC29" s="1074">
        <v>6</v>
      </c>
      <c r="AD29" s="1074">
        <v>7</v>
      </c>
      <c r="AE29" s="1074">
        <v>8</v>
      </c>
      <c r="AF29" s="1074">
        <v>9</v>
      </c>
      <c r="AG29" s="1068">
        <v>1</v>
      </c>
      <c r="AH29" s="1074">
        <v>2</v>
      </c>
      <c r="AI29" s="1074">
        <v>3</v>
      </c>
      <c r="AJ29" s="128">
        <f>SUM(D30:AI30)</f>
        <v>40</v>
      </c>
      <c r="AK29" s="1011">
        <f>7.81+21.04</f>
        <v>28.849999999999998</v>
      </c>
      <c r="AL29" s="120"/>
      <c r="AM29" s="725"/>
      <c r="AN29" s="725"/>
      <c r="AO29" s="714" t="str">
        <f>IF(COUNT(AM29,AN29)&lt;2, "0", AN29 - AM29 + 1)</f>
        <v>0</v>
      </c>
      <c r="AP29" s="715">
        <f>IFERROR((AK29+AL29)/AO29,0)</f>
        <v>0</v>
      </c>
      <c r="AQ29" s="1013">
        <f>11.99+15.65+7.82</f>
        <v>35.46</v>
      </c>
      <c r="AR29" s="1013"/>
      <c r="AS29" s="726"/>
      <c r="AT29" s="726"/>
      <c r="AU29" s="716" t="str">
        <f>IF(COUNT(AS29,AT29)&lt;2, "0", AT29 - AS29 )</f>
        <v>0</v>
      </c>
      <c r="AV29" s="717">
        <f>IFERROR((AQ29+AR29)/AU29,0)</f>
        <v>0</v>
      </c>
      <c r="AW29" s="1017">
        <f>11.06+21.52</f>
        <v>32.58</v>
      </c>
      <c r="AX29" s="115"/>
      <c r="AY29" s="727"/>
      <c r="AZ29" s="727"/>
      <c r="BA29" s="718" t="str">
        <f>IF(COUNT(AY29,AZ29)&lt;2, "0", AZ29 - AY29 )</f>
        <v>0</v>
      </c>
      <c r="BB29" s="719">
        <f>IFERROR((AW29+AX29)/BA29,0)</f>
        <v>0</v>
      </c>
      <c r="BC29" s="117"/>
      <c r="BD29" s="117"/>
      <c r="BE29" s="982">
        <f>AK29+AQ29+AW29+BC29</f>
        <v>96.89</v>
      </c>
      <c r="BF29" s="982">
        <f>AL29+AR29+AX29+BD29</f>
        <v>0</v>
      </c>
      <c r="BG29" s="993">
        <v>17</v>
      </c>
    </row>
    <row r="30" spans="1:59" ht="24" customHeight="1" x14ac:dyDescent="0.35">
      <c r="A30" s="1005"/>
      <c r="B30" s="1004"/>
      <c r="C30" s="1002"/>
      <c r="D30" s="1062"/>
      <c r="E30" s="1073"/>
      <c r="F30" s="1073"/>
      <c r="G30" s="1073"/>
      <c r="H30" s="1073"/>
      <c r="I30" s="1073"/>
      <c r="J30" s="1073"/>
      <c r="K30" s="1073"/>
      <c r="L30" s="1073"/>
      <c r="M30" s="1073"/>
      <c r="N30" s="1073">
        <v>15</v>
      </c>
      <c r="O30" s="1073"/>
      <c r="P30" s="1073"/>
      <c r="Q30" s="1073"/>
      <c r="R30" s="1073"/>
      <c r="S30" s="1073"/>
      <c r="T30" s="1073"/>
      <c r="U30" s="1073"/>
      <c r="V30" s="1073"/>
      <c r="W30" s="1073"/>
      <c r="X30" s="1073">
        <v>15</v>
      </c>
      <c r="Y30" s="1073"/>
      <c r="Z30" s="1073"/>
      <c r="AA30" s="1073"/>
      <c r="AB30" s="1073"/>
      <c r="AC30" s="1073"/>
      <c r="AD30" s="1073"/>
      <c r="AE30" s="1073"/>
      <c r="AF30" s="1073"/>
      <c r="AG30" s="1073">
        <v>10</v>
      </c>
      <c r="AH30" s="1074"/>
      <c r="AI30" s="1073"/>
      <c r="AJ30" s="129"/>
      <c r="AK30" s="1012"/>
      <c r="AL30" s="121"/>
      <c r="AM30" s="722"/>
      <c r="AN30" s="722"/>
      <c r="AO30" s="714"/>
      <c r="AP30" s="715"/>
      <c r="AQ30" s="1014"/>
      <c r="AR30" s="1014"/>
      <c r="AS30" s="703"/>
      <c r="AT30" s="703"/>
      <c r="AU30" s="716"/>
      <c r="AV30" s="717"/>
      <c r="AW30" s="1018"/>
      <c r="AX30" s="116"/>
      <c r="AY30" s="723"/>
      <c r="AZ30" s="723"/>
      <c r="BA30" s="718"/>
      <c r="BB30" s="719"/>
      <c r="BC30" s="95"/>
      <c r="BD30" s="95"/>
      <c r="BE30" s="990"/>
      <c r="BF30" s="990"/>
      <c r="BG30" s="994"/>
    </row>
    <row r="31" spans="1:59" x14ac:dyDescent="0.35">
      <c r="A31" s="1005"/>
      <c r="B31" s="1004">
        <v>2012</v>
      </c>
      <c r="C31" s="1001">
        <v>20</v>
      </c>
      <c r="D31" s="1061">
        <v>62.1</v>
      </c>
      <c r="E31" s="1074">
        <v>5</v>
      </c>
      <c r="F31" s="1074">
        <v>6</v>
      </c>
      <c r="G31" s="1074">
        <v>7</v>
      </c>
      <c r="H31" s="1074">
        <v>8</v>
      </c>
      <c r="I31" s="1074">
        <v>9</v>
      </c>
      <c r="J31" s="1074">
        <v>10</v>
      </c>
      <c r="K31" s="1074">
        <v>11</v>
      </c>
      <c r="L31" s="1074">
        <v>12</v>
      </c>
      <c r="M31" s="1074">
        <v>13</v>
      </c>
      <c r="N31" s="1074">
        <v>14</v>
      </c>
      <c r="O31" s="1066">
        <v>1</v>
      </c>
      <c r="P31" s="1066">
        <v>2</v>
      </c>
      <c r="Q31" s="1074">
        <v>3</v>
      </c>
      <c r="R31" s="1074">
        <v>4</v>
      </c>
      <c r="S31" s="1074">
        <v>5</v>
      </c>
      <c r="T31" s="1074">
        <v>6</v>
      </c>
      <c r="U31" s="1074">
        <v>7</v>
      </c>
      <c r="V31" s="1074">
        <v>8</v>
      </c>
      <c r="W31" s="1074">
        <v>9</v>
      </c>
      <c r="X31" s="1074">
        <v>10</v>
      </c>
      <c r="Y31" s="1067">
        <v>1</v>
      </c>
      <c r="Z31" s="1074">
        <v>2</v>
      </c>
      <c r="AA31" s="1067">
        <v>3</v>
      </c>
      <c r="AB31" s="1074">
        <v>4</v>
      </c>
      <c r="AC31" s="1074">
        <v>5</v>
      </c>
      <c r="AD31" s="1074">
        <v>6</v>
      </c>
      <c r="AE31" s="1074">
        <v>7</v>
      </c>
      <c r="AF31" s="1074">
        <v>8</v>
      </c>
      <c r="AG31" s="1074">
        <v>9</v>
      </c>
      <c r="AH31" s="1074">
        <v>10</v>
      </c>
      <c r="AI31" s="1074">
        <v>11</v>
      </c>
      <c r="AJ31" s="128">
        <f>SUM(D32:AI32)</f>
        <v>50</v>
      </c>
      <c r="AK31" s="1011">
        <f>11.65+8.75+3.97+8.66+7.07</f>
        <v>40.1</v>
      </c>
      <c r="AL31" s="120"/>
      <c r="AM31" s="725"/>
      <c r="AN31" s="725"/>
      <c r="AO31" s="714" t="str">
        <f>IF(COUNT(AM31,AN31)&lt;2, "0", AN31 - AM31 + 1)</f>
        <v>0</v>
      </c>
      <c r="AP31" s="715">
        <f>IFERROR((AK31+AL31)/AO31,0)</f>
        <v>0</v>
      </c>
      <c r="AQ31" s="1013">
        <f>9.11</f>
        <v>9.11</v>
      </c>
      <c r="AR31" s="1013"/>
      <c r="AS31" s="726"/>
      <c r="AT31" s="726"/>
      <c r="AU31" s="716" t="str">
        <f>IF(COUNT(AS31,AT31)&lt;2, "0", AT31 - AS31 )</f>
        <v>0</v>
      </c>
      <c r="AV31" s="717">
        <f>IFERROR((AQ31+AR31)/AU31,0)</f>
        <v>0</v>
      </c>
      <c r="AW31" s="1017"/>
      <c r="AX31" s="115"/>
      <c r="AY31" s="727"/>
      <c r="AZ31" s="727"/>
      <c r="BA31" s="718" t="str">
        <f>IF(COUNT(AY31,AZ31)&lt;2, "0", AZ31 - AY31 )</f>
        <v>0</v>
      </c>
      <c r="BB31" s="719">
        <f>IFERROR((AW31+AX31)/BA31,0)</f>
        <v>0</v>
      </c>
      <c r="BC31" s="117"/>
      <c r="BD31" s="117"/>
      <c r="BE31" s="982">
        <f>AK31+AQ31+AW31+BC31</f>
        <v>49.21</v>
      </c>
      <c r="BF31" s="982">
        <f>AL31+AR31+AX31+BD31</f>
        <v>0</v>
      </c>
      <c r="BG31" s="993">
        <v>19</v>
      </c>
    </row>
    <row r="32" spans="1:59" ht="24" customHeight="1" x14ac:dyDescent="0.35">
      <c r="A32" s="1005"/>
      <c r="B32" s="1004"/>
      <c r="C32" s="1002"/>
      <c r="D32" s="1062"/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>
        <v>16</v>
      </c>
      <c r="P32" s="1073">
        <v>8</v>
      </c>
      <c r="Q32" s="1073"/>
      <c r="R32" s="1073"/>
      <c r="S32" s="1073"/>
      <c r="T32" s="1073"/>
      <c r="U32" s="1073"/>
      <c r="V32" s="1073"/>
      <c r="W32" s="1073"/>
      <c r="X32" s="1073"/>
      <c r="Y32" s="1073">
        <v>16</v>
      </c>
      <c r="Z32" s="1073"/>
      <c r="AA32" s="1073">
        <v>10</v>
      </c>
      <c r="AB32" s="1073"/>
      <c r="AC32" s="1073"/>
      <c r="AD32" s="1073"/>
      <c r="AE32" s="1073"/>
      <c r="AF32" s="1073"/>
      <c r="AG32" s="1073"/>
      <c r="AH32" s="1073"/>
      <c r="AI32" s="1073"/>
      <c r="AJ32" s="129"/>
      <c r="AK32" s="1012"/>
      <c r="AL32" s="121"/>
      <c r="AM32" s="722"/>
      <c r="AN32" s="722"/>
      <c r="AO32" s="714"/>
      <c r="AP32" s="715"/>
      <c r="AQ32" s="1014"/>
      <c r="AR32" s="1014"/>
      <c r="AS32" s="703"/>
      <c r="AT32" s="703"/>
      <c r="AU32" s="716"/>
      <c r="AV32" s="717"/>
      <c r="AW32" s="1018"/>
      <c r="AX32" s="116"/>
      <c r="AY32" s="723"/>
      <c r="AZ32" s="723"/>
      <c r="BA32" s="718"/>
      <c r="BB32" s="719"/>
      <c r="BC32" s="95"/>
      <c r="BD32" s="95"/>
      <c r="BE32" s="990"/>
      <c r="BF32" s="990"/>
      <c r="BG32" s="994"/>
    </row>
    <row r="33" spans="1:59" ht="24" customHeight="1" x14ac:dyDescent="0.35">
      <c r="A33" s="1005"/>
      <c r="B33" s="1004">
        <v>2012</v>
      </c>
      <c r="C33" s="1001">
        <v>21</v>
      </c>
      <c r="D33" s="1061">
        <v>72.2</v>
      </c>
      <c r="E33" s="1074">
        <v>3</v>
      </c>
      <c r="F33" s="1077">
        <v>4</v>
      </c>
      <c r="G33" s="1074">
        <v>5</v>
      </c>
      <c r="H33" s="1066">
        <v>6</v>
      </c>
      <c r="I33" s="1074">
        <v>7</v>
      </c>
      <c r="J33" s="1074">
        <v>8</v>
      </c>
      <c r="K33" s="1074">
        <v>9</v>
      </c>
      <c r="L33" s="1074">
        <v>10</v>
      </c>
      <c r="M33" s="1074">
        <v>11</v>
      </c>
      <c r="N33" s="1074">
        <v>12</v>
      </c>
      <c r="O33" s="1074">
        <v>13</v>
      </c>
      <c r="P33" s="1067">
        <v>1</v>
      </c>
      <c r="Q33" s="1067">
        <v>2</v>
      </c>
      <c r="R33" s="1074">
        <v>3</v>
      </c>
      <c r="S33" s="1074">
        <v>4</v>
      </c>
      <c r="T33" s="1074">
        <v>5</v>
      </c>
      <c r="U33" s="1074">
        <v>6</v>
      </c>
      <c r="V33" s="1074">
        <v>7</v>
      </c>
      <c r="W33" s="1074">
        <v>8</v>
      </c>
      <c r="X33" s="1074">
        <v>9</v>
      </c>
      <c r="Y33" s="1074">
        <v>10</v>
      </c>
      <c r="Z33" s="1068">
        <v>1</v>
      </c>
      <c r="AA33" s="1068">
        <v>2</v>
      </c>
      <c r="AB33" s="1074">
        <v>3</v>
      </c>
      <c r="AC33" s="1074">
        <v>4</v>
      </c>
      <c r="AD33" s="1074">
        <v>5</v>
      </c>
      <c r="AE33" s="1074">
        <v>6</v>
      </c>
      <c r="AF33" s="1074">
        <v>7</v>
      </c>
      <c r="AG33" s="1074">
        <v>8</v>
      </c>
      <c r="AH33" s="1074">
        <v>9</v>
      </c>
      <c r="AI33" s="1074">
        <v>10</v>
      </c>
      <c r="AJ33" s="128">
        <f>SUM(D34:AI34)</f>
        <v>71</v>
      </c>
      <c r="AK33" s="1011">
        <f>8.82+26.84+12.3</f>
        <v>47.959999999999994</v>
      </c>
      <c r="AL33" s="120"/>
      <c r="AM33" s="725"/>
      <c r="AN33" s="725"/>
      <c r="AO33" s="714" t="str">
        <f>IF(COUNT(AM33,AN33)&lt;2, "0", AN33 - AM33 + 1)</f>
        <v>0</v>
      </c>
      <c r="AP33" s="715">
        <f>IFERROR((AK33+AL33)/AO33,0)</f>
        <v>0</v>
      </c>
      <c r="AQ33" s="1013">
        <f>21.04</f>
        <v>21.04</v>
      </c>
      <c r="AR33" s="1013"/>
      <c r="AS33" s="726"/>
      <c r="AT33" s="726"/>
      <c r="AU33" s="716" t="str">
        <f>IF(COUNT(AS33,AT33)&lt;2, "0", AT33 - AS33 )</f>
        <v>0</v>
      </c>
      <c r="AV33" s="717">
        <f>IFERROR((AQ33+AR33)/AU33,0)</f>
        <v>0</v>
      </c>
      <c r="AW33" s="1017"/>
      <c r="AX33" s="115"/>
      <c r="AY33" s="727"/>
      <c r="AZ33" s="727"/>
      <c r="BA33" s="718" t="str">
        <f>IF(COUNT(AY33,AZ33)&lt;2, "0", AZ33 - AY33 )</f>
        <v>0</v>
      </c>
      <c r="BB33" s="719">
        <f>IFERROR((AW33+AX33)/BA33,0)</f>
        <v>0</v>
      </c>
      <c r="BC33" s="117"/>
      <c r="BD33" s="117"/>
      <c r="BE33" s="982">
        <f>AK33+AQ33+AW33+BC33</f>
        <v>69</v>
      </c>
      <c r="BF33" s="982">
        <f>AL33+AR33+AX33+BD33</f>
        <v>0</v>
      </c>
      <c r="BG33" s="993">
        <v>20</v>
      </c>
    </row>
    <row r="34" spans="1:59" ht="24" customHeight="1" x14ac:dyDescent="0.35">
      <c r="A34" s="1005"/>
      <c r="B34" s="1004"/>
      <c r="C34" s="1002"/>
      <c r="D34" s="1062"/>
      <c r="E34" s="1074"/>
      <c r="F34" s="1073">
        <v>11</v>
      </c>
      <c r="G34" s="1073"/>
      <c r="H34" s="1073">
        <v>13</v>
      </c>
      <c r="I34" s="1073"/>
      <c r="J34" s="1073"/>
      <c r="K34" s="1073"/>
      <c r="L34" s="1073"/>
      <c r="M34" s="1073"/>
      <c r="N34" s="1073"/>
      <c r="O34" s="1073"/>
      <c r="P34" s="1073">
        <v>8</v>
      </c>
      <c r="Q34" s="1073">
        <v>15</v>
      </c>
      <c r="R34" s="1073"/>
      <c r="S34" s="1073"/>
      <c r="T34" s="1073"/>
      <c r="U34" s="1073"/>
      <c r="V34" s="1073"/>
      <c r="W34" s="1073"/>
      <c r="X34" s="1073"/>
      <c r="Y34" s="1073"/>
      <c r="Z34" s="1073">
        <v>16</v>
      </c>
      <c r="AA34" s="1073">
        <v>8</v>
      </c>
      <c r="AB34" s="1073"/>
      <c r="AC34" s="1073"/>
      <c r="AD34" s="1073"/>
      <c r="AE34" s="1073"/>
      <c r="AF34" s="1073"/>
      <c r="AG34" s="1073"/>
      <c r="AH34" s="1073"/>
      <c r="AI34" s="1073"/>
      <c r="AJ34" s="129"/>
      <c r="AK34" s="1012"/>
      <c r="AL34" s="121"/>
      <c r="AM34" s="722"/>
      <c r="AN34" s="722"/>
      <c r="AO34" s="714"/>
      <c r="AP34" s="715"/>
      <c r="AQ34" s="1014"/>
      <c r="AR34" s="1014"/>
      <c r="AS34" s="703"/>
      <c r="AT34" s="703"/>
      <c r="AU34" s="716"/>
      <c r="AV34" s="717"/>
      <c r="AW34" s="1018"/>
      <c r="AX34" s="116"/>
      <c r="AY34" s="723"/>
      <c r="AZ34" s="723"/>
      <c r="BA34" s="718"/>
      <c r="BB34" s="719"/>
      <c r="BC34" s="95"/>
      <c r="BD34" s="95"/>
      <c r="BE34" s="990"/>
      <c r="BF34" s="990"/>
      <c r="BG34" s="994"/>
    </row>
    <row r="35" spans="1:59" ht="24" customHeight="1" x14ac:dyDescent="0.35">
      <c r="A35" s="1005"/>
      <c r="B35" s="1004">
        <v>2012</v>
      </c>
      <c r="C35" s="1001">
        <v>22</v>
      </c>
      <c r="D35" s="1061">
        <v>52.3</v>
      </c>
      <c r="E35" s="1074">
        <v>15</v>
      </c>
      <c r="F35" s="1074">
        <v>16</v>
      </c>
      <c r="G35" s="1074">
        <v>17</v>
      </c>
      <c r="H35" s="1074">
        <v>18</v>
      </c>
      <c r="I35" s="1066">
        <v>1</v>
      </c>
      <c r="J35" s="1074">
        <v>2</v>
      </c>
      <c r="K35" s="1074">
        <v>3</v>
      </c>
      <c r="L35" s="1074">
        <v>4</v>
      </c>
      <c r="M35" s="1074">
        <v>5</v>
      </c>
      <c r="N35" s="1074">
        <v>6</v>
      </c>
      <c r="O35" s="1074">
        <v>7</v>
      </c>
      <c r="P35" s="1074">
        <v>8</v>
      </c>
      <c r="Q35" s="1074">
        <v>9</v>
      </c>
      <c r="R35" s="1067">
        <v>1</v>
      </c>
      <c r="S35" s="1074">
        <v>2</v>
      </c>
      <c r="T35" s="1074">
        <v>3</v>
      </c>
      <c r="U35" s="1074">
        <v>4</v>
      </c>
      <c r="V35" s="1074">
        <v>5</v>
      </c>
      <c r="W35" s="1074">
        <v>6</v>
      </c>
      <c r="X35" s="1074">
        <v>7</v>
      </c>
      <c r="Y35" s="1074">
        <v>8</v>
      </c>
      <c r="Z35" s="1074">
        <v>9</v>
      </c>
      <c r="AA35" s="1068">
        <v>1</v>
      </c>
      <c r="AB35" s="1068">
        <v>2</v>
      </c>
      <c r="AC35" s="1074">
        <v>3</v>
      </c>
      <c r="AD35" s="1074">
        <v>4</v>
      </c>
      <c r="AE35" s="1074">
        <v>5</v>
      </c>
      <c r="AF35" s="1074">
        <v>6</v>
      </c>
      <c r="AG35" s="1074">
        <v>7</v>
      </c>
      <c r="AH35" s="1074">
        <v>8</v>
      </c>
      <c r="AI35" s="1074">
        <v>9</v>
      </c>
      <c r="AJ35" s="131">
        <f>SUM(D36:AI36)</f>
        <v>54</v>
      </c>
      <c r="AK35" s="1011">
        <f>11.55+19.48+15.54</f>
        <v>46.57</v>
      </c>
      <c r="AL35" s="120"/>
      <c r="AM35" s="725"/>
      <c r="AN35" s="725"/>
      <c r="AO35" s="714" t="str">
        <f>IF(COUNT(AM35,AN35)&lt;2, "0", AN35 - AM35 + 1)</f>
        <v>0</v>
      </c>
      <c r="AP35" s="715">
        <f>IFERROR((AK35+AL35)/AO35,0)</f>
        <v>0</v>
      </c>
      <c r="AQ35" s="1013">
        <f>24.74+21.51+3.23</f>
        <v>49.48</v>
      </c>
      <c r="AR35" s="1013"/>
      <c r="AS35" s="726"/>
      <c r="AT35" s="726"/>
      <c r="AU35" s="716" t="str">
        <f>IF(COUNT(AS35,AT35)&lt;2, "0", AT35 - AS35 )</f>
        <v>0</v>
      </c>
      <c r="AV35" s="717">
        <f>IFERROR((AQ35+AR35)/AU35,0)</f>
        <v>0</v>
      </c>
      <c r="AW35" s="1017"/>
      <c r="AX35" s="115"/>
      <c r="AY35" s="727"/>
      <c r="AZ35" s="727"/>
      <c r="BA35" s="718" t="str">
        <f>IF(COUNT(AY35,AZ35)&lt;2, "0", AZ35 - AY35 )</f>
        <v>0</v>
      </c>
      <c r="BB35" s="719">
        <f>IFERROR((AW35+AX35)/BA35,0)</f>
        <v>0</v>
      </c>
      <c r="BC35" s="117"/>
      <c r="BD35" s="117"/>
      <c r="BE35" s="982">
        <f>AK35+AQ35+AW35+BC35</f>
        <v>96.05</v>
      </c>
      <c r="BF35" s="982">
        <f>AL35+AR35+AX35+BD35</f>
        <v>0</v>
      </c>
      <c r="BG35" s="993">
        <v>21</v>
      </c>
    </row>
    <row r="36" spans="1:59" ht="24" customHeight="1" x14ac:dyDescent="0.35">
      <c r="A36" s="1006"/>
      <c r="B36" s="1002"/>
      <c r="C36" s="1002"/>
      <c r="D36" s="1062"/>
      <c r="E36" s="1073"/>
      <c r="F36" s="1073"/>
      <c r="G36" s="1073"/>
      <c r="H36" s="1073"/>
      <c r="I36" s="1073">
        <v>14</v>
      </c>
      <c r="J36" s="1073"/>
      <c r="K36" s="1073"/>
      <c r="L36" s="1073"/>
      <c r="M36" s="1073"/>
      <c r="N36" s="1073"/>
      <c r="O36" s="1073"/>
      <c r="P36" s="1073"/>
      <c r="Q36" s="1073"/>
      <c r="R36" s="1073">
        <v>16</v>
      </c>
      <c r="S36" s="1073"/>
      <c r="T36" s="1073"/>
      <c r="U36" s="1073"/>
      <c r="V36" s="1073"/>
      <c r="W36" s="1073"/>
      <c r="X36" s="1073"/>
      <c r="Y36" s="1073"/>
      <c r="Z36" s="1073"/>
      <c r="AA36" s="1073">
        <v>7</v>
      </c>
      <c r="AB36" s="1073">
        <v>17</v>
      </c>
      <c r="AC36" s="1073"/>
      <c r="AD36" s="1073"/>
      <c r="AE36" s="1073"/>
      <c r="AF36" s="1073"/>
      <c r="AG36" s="1073"/>
      <c r="AH36" s="1073"/>
      <c r="AI36" s="1073"/>
      <c r="AJ36" s="132"/>
      <c r="AK36" s="1012"/>
      <c r="AL36" s="121"/>
      <c r="AM36" s="722"/>
      <c r="AN36" s="722"/>
      <c r="AO36" s="714"/>
      <c r="AP36" s="715"/>
      <c r="AQ36" s="1014"/>
      <c r="AR36" s="1014"/>
      <c r="AS36" s="703"/>
      <c r="AT36" s="703"/>
      <c r="AU36" s="716"/>
      <c r="AV36" s="717"/>
      <c r="AW36" s="1018"/>
      <c r="AX36" s="116"/>
      <c r="AY36" s="723"/>
      <c r="AZ36" s="723"/>
      <c r="BA36" s="718"/>
      <c r="BB36" s="719"/>
      <c r="BC36" s="95"/>
      <c r="BD36" s="95"/>
      <c r="BE36" s="990"/>
      <c r="BF36" s="990"/>
      <c r="BG36" s="994"/>
    </row>
    <row r="37" spans="1:59" ht="24" customHeight="1" x14ac:dyDescent="0.35">
      <c r="A37" s="1005" t="s">
        <v>112</v>
      </c>
      <c r="B37" s="1001">
        <v>2010</v>
      </c>
      <c r="C37" s="1001">
        <v>8</v>
      </c>
      <c r="D37" s="1061">
        <v>61.6</v>
      </c>
      <c r="E37" s="1074">
        <v>2</v>
      </c>
      <c r="F37" s="1077">
        <v>3</v>
      </c>
      <c r="G37" s="1074">
        <v>4</v>
      </c>
      <c r="H37" s="1066">
        <v>5</v>
      </c>
      <c r="I37" s="1066">
        <v>6</v>
      </c>
      <c r="J37" s="1066">
        <v>7</v>
      </c>
      <c r="K37" s="1074">
        <v>8</v>
      </c>
      <c r="L37" s="1074">
        <v>9</v>
      </c>
      <c r="M37" s="1074">
        <v>10</v>
      </c>
      <c r="N37" s="1074">
        <v>11</v>
      </c>
      <c r="O37" s="1074">
        <v>12</v>
      </c>
      <c r="P37" s="1074">
        <v>13</v>
      </c>
      <c r="Q37" s="1074">
        <v>14</v>
      </c>
      <c r="R37" s="1074">
        <v>15</v>
      </c>
      <c r="S37" s="1074">
        <v>16</v>
      </c>
      <c r="T37" s="1074">
        <v>17</v>
      </c>
      <c r="U37" s="1074">
        <v>18</v>
      </c>
      <c r="V37" s="1074">
        <v>19</v>
      </c>
      <c r="W37" s="1074">
        <v>20</v>
      </c>
      <c r="X37" s="1074">
        <v>21</v>
      </c>
      <c r="Y37" s="1067">
        <v>1</v>
      </c>
      <c r="Z37" s="1074">
        <v>2</v>
      </c>
      <c r="AA37" s="1074">
        <v>3</v>
      </c>
      <c r="AB37" s="1074">
        <v>4</v>
      </c>
      <c r="AC37" s="1074">
        <v>5</v>
      </c>
      <c r="AD37" s="1074">
        <v>6</v>
      </c>
      <c r="AE37" s="1074">
        <v>7</v>
      </c>
      <c r="AF37" s="1074">
        <v>8</v>
      </c>
      <c r="AG37" s="1074">
        <v>9</v>
      </c>
      <c r="AH37" s="1074">
        <v>10</v>
      </c>
      <c r="AI37" s="1068">
        <v>1</v>
      </c>
      <c r="AJ37" s="131">
        <f>SUM(D38:AI38)</f>
        <v>44</v>
      </c>
      <c r="AK37" s="1011">
        <f>4.03+7.49+11.9+5.96</f>
        <v>29.380000000000003</v>
      </c>
      <c r="AL37" s="120"/>
      <c r="AM37" s="725"/>
      <c r="AN37" s="725"/>
      <c r="AO37" s="714" t="str">
        <f>IF(COUNT(AM37,AN37)&lt;2, "0", AN37 - AM37 + 1)</f>
        <v>0</v>
      </c>
      <c r="AP37" s="715">
        <f>IFERROR((AK37+AL37)/AO37,0)</f>
        <v>0</v>
      </c>
      <c r="AQ37" s="1013">
        <f>3.79+3.71+2.32+4.35+8.45</f>
        <v>22.619999999999997</v>
      </c>
      <c r="AR37" s="1013"/>
      <c r="AS37" s="726"/>
      <c r="AT37" s="726"/>
      <c r="AU37" s="716" t="str">
        <f>IF(COUNT(AS37,AT37)&lt;2, "0", AT37 - AS37 )</f>
        <v>0</v>
      </c>
      <c r="AV37" s="717">
        <f>IFERROR((AQ37+AR37)/AU37,0)</f>
        <v>0</v>
      </c>
      <c r="AW37" s="1017"/>
      <c r="AX37" s="115"/>
      <c r="AY37" s="727"/>
      <c r="AZ37" s="727"/>
      <c r="BA37" s="718" t="str">
        <f>IF(COUNT(AY37,AZ37)&lt;2, "0", AZ37 - AY37 )</f>
        <v>0</v>
      </c>
      <c r="BB37" s="719">
        <f>IFERROR((AW37+AX37)/BA37,0)</f>
        <v>0</v>
      </c>
      <c r="BC37" s="117"/>
      <c r="BD37" s="117"/>
      <c r="BE37" s="982">
        <f>AK37+AQ37+AW37+BC37</f>
        <v>52</v>
      </c>
      <c r="BF37" s="982">
        <f>AL37+AR37+AX37+BD37</f>
        <v>0</v>
      </c>
      <c r="BG37" s="993">
        <v>11</v>
      </c>
    </row>
    <row r="38" spans="1:59" ht="24" customHeight="1" x14ac:dyDescent="0.35">
      <c r="A38" s="1005"/>
      <c r="B38" s="1004"/>
      <c r="C38" s="1002"/>
      <c r="D38" s="1062"/>
      <c r="E38" s="1073"/>
      <c r="F38" s="1073">
        <v>6</v>
      </c>
      <c r="G38" s="1073"/>
      <c r="H38" s="1073">
        <v>7</v>
      </c>
      <c r="I38" s="1073">
        <v>8</v>
      </c>
      <c r="J38" s="1073">
        <v>4</v>
      </c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>
        <v>10</v>
      </c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73">
        <v>9</v>
      </c>
      <c r="AJ38" s="132"/>
      <c r="AK38" s="1012"/>
      <c r="AL38" s="121"/>
      <c r="AM38" s="722"/>
      <c r="AN38" s="722"/>
      <c r="AO38" s="714"/>
      <c r="AP38" s="715"/>
      <c r="AQ38" s="1014"/>
      <c r="AR38" s="1014"/>
      <c r="AS38" s="703"/>
      <c r="AT38" s="703"/>
      <c r="AU38" s="716"/>
      <c r="AV38" s="717"/>
      <c r="AW38" s="1018"/>
      <c r="AX38" s="116"/>
      <c r="AY38" s="723"/>
      <c r="AZ38" s="723"/>
      <c r="BA38" s="718"/>
      <c r="BB38" s="719"/>
      <c r="BC38" s="95"/>
      <c r="BD38" s="95"/>
      <c r="BE38" s="990"/>
      <c r="BF38" s="990"/>
      <c r="BG38" s="994"/>
    </row>
    <row r="39" spans="1:59" ht="24" customHeight="1" x14ac:dyDescent="0.35">
      <c r="A39" s="1005"/>
      <c r="B39" s="1004">
        <v>2010</v>
      </c>
      <c r="C39" s="1001">
        <v>9</v>
      </c>
      <c r="D39" s="1061">
        <v>38.299999999999997</v>
      </c>
      <c r="E39" s="1074">
        <v>18</v>
      </c>
      <c r="F39" s="1074">
        <v>19</v>
      </c>
      <c r="G39" s="1074">
        <v>20</v>
      </c>
      <c r="H39" s="1074">
        <v>21</v>
      </c>
      <c r="I39" s="1074">
        <v>22</v>
      </c>
      <c r="J39" s="1066">
        <v>1</v>
      </c>
      <c r="K39" s="1066">
        <v>2</v>
      </c>
      <c r="L39" s="1066">
        <v>3</v>
      </c>
      <c r="M39" s="1074">
        <v>4</v>
      </c>
      <c r="N39" s="1074">
        <v>5</v>
      </c>
      <c r="O39" s="1074">
        <v>6</v>
      </c>
      <c r="P39" s="1074">
        <v>7</v>
      </c>
      <c r="Q39" s="1074">
        <v>8</v>
      </c>
      <c r="R39" s="1074">
        <v>9</v>
      </c>
      <c r="S39" s="1074">
        <v>10</v>
      </c>
      <c r="T39" s="1074">
        <v>11</v>
      </c>
      <c r="U39" s="1074">
        <v>12</v>
      </c>
      <c r="V39" s="1074">
        <v>13</v>
      </c>
      <c r="W39" s="1074">
        <v>14</v>
      </c>
      <c r="X39" s="1074">
        <v>15</v>
      </c>
      <c r="Y39" s="1074">
        <v>16</v>
      </c>
      <c r="Z39" s="1067">
        <v>1</v>
      </c>
      <c r="AA39" s="1067">
        <v>2</v>
      </c>
      <c r="AB39" s="1074">
        <v>3</v>
      </c>
      <c r="AC39" s="1074">
        <v>4</v>
      </c>
      <c r="AD39" s="1074">
        <v>5</v>
      </c>
      <c r="AE39" s="1074">
        <v>6</v>
      </c>
      <c r="AF39" s="1074">
        <v>7</v>
      </c>
      <c r="AG39" s="1074">
        <v>8</v>
      </c>
      <c r="AH39" s="1074">
        <v>9</v>
      </c>
      <c r="AI39" s="1074">
        <v>10</v>
      </c>
      <c r="AJ39" s="131">
        <f>SUM(D40:AI40)</f>
        <v>40</v>
      </c>
      <c r="AK39" s="1011">
        <f>7.25</f>
        <v>7.25</v>
      </c>
      <c r="AL39" s="120"/>
      <c r="AM39" s="725"/>
      <c r="AN39" s="725"/>
      <c r="AO39" s="714" t="str">
        <f>IF(COUNT(AM39,AN39)&lt;2, "0", AN39 - AM39 + 1)</f>
        <v>0</v>
      </c>
      <c r="AP39" s="715">
        <f>IFERROR((AK39+AL39)/AO39,0)</f>
        <v>0</v>
      </c>
      <c r="AQ39" s="1013">
        <f>4.7+16.03+8.54</f>
        <v>29.27</v>
      </c>
      <c r="AR39" s="1013"/>
      <c r="AS39" s="726"/>
      <c r="AT39" s="726"/>
      <c r="AU39" s="716" t="str">
        <f>IF(COUNT(AS39,AT39)&lt;2, "0", AT39 - AS39 )</f>
        <v>0</v>
      </c>
      <c r="AV39" s="717">
        <f>IFERROR((AQ39+AR39)/AU39,0)</f>
        <v>0</v>
      </c>
      <c r="AW39" s="1017">
        <f>12.55+18.61</f>
        <v>31.16</v>
      </c>
      <c r="AX39" s="115"/>
      <c r="AY39" s="727"/>
      <c r="AZ39" s="727"/>
      <c r="BA39" s="718" t="str">
        <f>IF(COUNT(AY39,AZ39)&lt;2, "0", AZ39 - AY39 )</f>
        <v>0</v>
      </c>
      <c r="BB39" s="719">
        <f>IFERROR((AW39+AX39)/BA39,0)</f>
        <v>0</v>
      </c>
      <c r="BC39" s="117"/>
      <c r="BD39" s="117"/>
      <c r="BE39" s="982">
        <f>AK39+AQ39+AW39+BC39</f>
        <v>67.679999999999993</v>
      </c>
      <c r="BF39" s="982">
        <f>AL39+AR39+AX39+BD39</f>
        <v>0</v>
      </c>
      <c r="BG39" s="993">
        <v>22</v>
      </c>
    </row>
    <row r="40" spans="1:59" ht="24" customHeight="1" x14ac:dyDescent="0.35">
      <c r="A40" s="1005"/>
      <c r="B40" s="1002"/>
      <c r="C40" s="1002"/>
      <c r="D40" s="1064"/>
      <c r="E40" s="1073"/>
      <c r="F40" s="1073"/>
      <c r="G40" s="1073"/>
      <c r="H40" s="1073"/>
      <c r="I40" s="1073"/>
      <c r="J40" s="1073">
        <v>4</v>
      </c>
      <c r="K40" s="1073">
        <v>8</v>
      </c>
      <c r="L40" s="1073">
        <v>8</v>
      </c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>
        <v>10</v>
      </c>
      <c r="AA40" s="1073">
        <v>10</v>
      </c>
      <c r="AB40" s="1073"/>
      <c r="AC40" s="1073"/>
      <c r="AD40" s="1073"/>
      <c r="AE40" s="1073"/>
      <c r="AF40" s="1073"/>
      <c r="AG40" s="1073"/>
      <c r="AH40" s="1073"/>
      <c r="AI40" s="1073"/>
      <c r="AJ40" s="132"/>
      <c r="AK40" s="1012"/>
      <c r="AL40" s="121"/>
      <c r="AM40" s="722"/>
      <c r="AN40" s="722"/>
      <c r="AO40" s="714"/>
      <c r="AP40" s="715"/>
      <c r="AQ40" s="1014"/>
      <c r="AR40" s="1014"/>
      <c r="AS40" s="703"/>
      <c r="AT40" s="703"/>
      <c r="AU40" s="716"/>
      <c r="AV40" s="717"/>
      <c r="AW40" s="1018"/>
      <c r="AX40" s="116"/>
      <c r="AY40" s="723"/>
      <c r="AZ40" s="723"/>
      <c r="BA40" s="718"/>
      <c r="BB40" s="719"/>
      <c r="BC40" s="95"/>
      <c r="BD40" s="95"/>
      <c r="BE40" s="990"/>
      <c r="BF40" s="990"/>
      <c r="BG40" s="994"/>
    </row>
    <row r="41" spans="1:59" ht="24" customHeight="1" x14ac:dyDescent="0.35">
      <c r="A41" s="1005"/>
      <c r="B41" s="1001">
        <v>2010</v>
      </c>
      <c r="C41" s="1001">
        <v>12</v>
      </c>
      <c r="D41" s="1061">
        <v>71</v>
      </c>
      <c r="E41" s="1074">
        <v>15</v>
      </c>
      <c r="F41" s="1074">
        <v>16</v>
      </c>
      <c r="G41" s="1074">
        <v>17</v>
      </c>
      <c r="H41" s="1074">
        <v>18</v>
      </c>
      <c r="I41" s="1074">
        <v>19</v>
      </c>
      <c r="J41" s="1074">
        <v>20</v>
      </c>
      <c r="K41" s="1074">
        <v>21</v>
      </c>
      <c r="L41" s="1074">
        <v>22</v>
      </c>
      <c r="M41" s="1074">
        <v>23</v>
      </c>
      <c r="N41" s="1066">
        <v>1</v>
      </c>
      <c r="O41" s="1066">
        <v>2</v>
      </c>
      <c r="P41" s="1066">
        <v>3</v>
      </c>
      <c r="Q41" s="1066">
        <v>4</v>
      </c>
      <c r="R41" s="1066">
        <v>5</v>
      </c>
      <c r="S41" s="1074">
        <v>6</v>
      </c>
      <c r="T41" s="1074">
        <v>7</v>
      </c>
      <c r="U41" s="1074">
        <v>8</v>
      </c>
      <c r="V41" s="1074">
        <v>9</v>
      </c>
      <c r="W41" s="1074">
        <v>10</v>
      </c>
      <c r="X41" s="1074">
        <v>11</v>
      </c>
      <c r="Y41" s="1074">
        <v>12</v>
      </c>
      <c r="Z41" s="1074">
        <v>13</v>
      </c>
      <c r="AA41" s="1074">
        <v>14</v>
      </c>
      <c r="AB41" s="1067">
        <v>1</v>
      </c>
      <c r="AC41" s="1067">
        <v>2</v>
      </c>
      <c r="AD41" s="1067">
        <v>3</v>
      </c>
      <c r="AE41" s="1063">
        <v>4</v>
      </c>
      <c r="AF41" s="1074">
        <v>5</v>
      </c>
      <c r="AG41" s="1063">
        <v>6</v>
      </c>
      <c r="AH41" s="1074">
        <v>7</v>
      </c>
      <c r="AI41" s="1063">
        <v>8</v>
      </c>
      <c r="AJ41" s="128">
        <f>SUM(D42:AI42)</f>
        <v>64</v>
      </c>
      <c r="AK41" s="1011">
        <f>11.66+3.08</f>
        <v>14.74</v>
      </c>
      <c r="AL41" s="120"/>
      <c r="AM41" s="725"/>
      <c r="AN41" s="725"/>
      <c r="AO41" s="714" t="str">
        <f>IF(COUNT(AM41,AN41)&lt;2, "0", AN41 - AM41 + 1)</f>
        <v>0</v>
      </c>
      <c r="AP41" s="715">
        <f>IFERROR((AK41+AL41)/AO41,0)</f>
        <v>0</v>
      </c>
      <c r="AQ41" s="1013">
        <f>14.57</f>
        <v>14.57</v>
      </c>
      <c r="AR41" s="1013"/>
      <c r="AS41" s="726"/>
      <c r="AT41" s="726"/>
      <c r="AU41" s="716" t="str">
        <f>IF(COUNT(AS41,AT41)&lt;2, "0", AT41 - AS41 )</f>
        <v>0</v>
      </c>
      <c r="AV41" s="717">
        <f>IFERROR((AQ41+AR41)/AU41,0)</f>
        <v>0</v>
      </c>
      <c r="AW41" s="1017"/>
      <c r="AX41" s="115"/>
      <c r="AY41" s="727"/>
      <c r="AZ41" s="727"/>
      <c r="BA41" s="718" t="str">
        <f>IF(COUNT(AY41,AZ41)&lt;2, "0", AZ41 - AY41 )</f>
        <v>0</v>
      </c>
      <c r="BB41" s="719">
        <f>IFERROR((AW41+AX41)/BA41,0)</f>
        <v>0</v>
      </c>
      <c r="BC41" s="117"/>
      <c r="BD41" s="117"/>
      <c r="BE41" s="982">
        <f>AK41+AQ41+AW41+BC41</f>
        <v>29.310000000000002</v>
      </c>
      <c r="BF41" s="982">
        <f>AL41+AR41+AX41+BD41</f>
        <v>0</v>
      </c>
      <c r="BG41" s="991">
        <v>10</v>
      </c>
    </row>
    <row r="42" spans="1:59" ht="24" customHeight="1" x14ac:dyDescent="0.35">
      <c r="A42" s="1005"/>
      <c r="B42" s="1002"/>
      <c r="C42" s="1002"/>
      <c r="D42" s="1062"/>
      <c r="E42" s="1073"/>
      <c r="F42" s="1073"/>
      <c r="G42" s="1073"/>
      <c r="H42" s="1073"/>
      <c r="I42" s="1073"/>
      <c r="J42" s="1073"/>
      <c r="K42" s="1073"/>
      <c r="L42" s="1073"/>
      <c r="M42" s="1073"/>
      <c r="N42" s="1073">
        <v>7</v>
      </c>
      <c r="O42" s="1073">
        <v>8</v>
      </c>
      <c r="P42" s="1073">
        <v>8</v>
      </c>
      <c r="Q42" s="1073">
        <v>8</v>
      </c>
      <c r="R42" s="1073">
        <v>8</v>
      </c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>
        <v>5</v>
      </c>
      <c r="AC42" s="1073">
        <v>10</v>
      </c>
      <c r="AD42" s="1073">
        <v>10</v>
      </c>
      <c r="AE42" s="1073"/>
      <c r="AF42" s="1073"/>
      <c r="AG42" s="1073"/>
      <c r="AH42" s="1073"/>
      <c r="AI42" s="1073"/>
      <c r="AJ42" s="129"/>
      <c r="AK42" s="1012"/>
      <c r="AL42" s="121"/>
      <c r="AM42" s="722"/>
      <c r="AN42" s="722"/>
      <c r="AO42" s="714"/>
      <c r="AP42" s="715"/>
      <c r="AQ42" s="1014"/>
      <c r="AR42" s="1014"/>
      <c r="AS42" s="703"/>
      <c r="AT42" s="703"/>
      <c r="AU42" s="716"/>
      <c r="AV42" s="717"/>
      <c r="AW42" s="1018"/>
      <c r="AX42" s="116"/>
      <c r="AY42" s="723"/>
      <c r="AZ42" s="723"/>
      <c r="BA42" s="718"/>
      <c r="BB42" s="719"/>
      <c r="BC42" s="95"/>
      <c r="BD42" s="95"/>
      <c r="BE42" s="990"/>
      <c r="BF42" s="990"/>
      <c r="BG42" s="992"/>
    </row>
    <row r="43" spans="1:59" ht="24" customHeight="1" x14ac:dyDescent="0.35">
      <c r="A43" s="1005"/>
      <c r="B43" s="1001">
        <v>2011</v>
      </c>
      <c r="C43" s="1001">
        <v>10</v>
      </c>
      <c r="D43" s="1061">
        <v>19.100000000000001</v>
      </c>
      <c r="E43" s="1074">
        <v>16</v>
      </c>
      <c r="F43" s="1074">
        <v>17</v>
      </c>
      <c r="G43" s="1074">
        <v>18</v>
      </c>
      <c r="H43" s="1074">
        <v>19</v>
      </c>
      <c r="I43" s="1074">
        <v>20</v>
      </c>
      <c r="J43" s="1074">
        <v>21</v>
      </c>
      <c r="K43" s="1074">
        <v>22</v>
      </c>
      <c r="L43" s="1074">
        <v>23</v>
      </c>
      <c r="M43" s="1066">
        <v>1</v>
      </c>
      <c r="N43" s="1074">
        <v>2</v>
      </c>
      <c r="O43" s="1074">
        <v>3</v>
      </c>
      <c r="P43" s="1074">
        <v>4</v>
      </c>
      <c r="Q43" s="1074">
        <v>5</v>
      </c>
      <c r="R43" s="1074">
        <v>6</v>
      </c>
      <c r="S43" s="1074">
        <v>7</v>
      </c>
      <c r="T43" s="1074">
        <v>8</v>
      </c>
      <c r="U43" s="1074">
        <v>9</v>
      </c>
      <c r="V43" s="1074">
        <v>10</v>
      </c>
      <c r="W43" s="1074">
        <v>11</v>
      </c>
      <c r="X43" s="1074">
        <v>12</v>
      </c>
      <c r="Y43" s="1074">
        <v>13</v>
      </c>
      <c r="Z43" s="1074">
        <v>14</v>
      </c>
      <c r="AA43" s="1074">
        <v>15</v>
      </c>
      <c r="AB43" s="1067">
        <v>1</v>
      </c>
      <c r="AC43" s="1074">
        <v>2</v>
      </c>
      <c r="AD43" s="1074">
        <v>3</v>
      </c>
      <c r="AE43" s="1074">
        <v>4</v>
      </c>
      <c r="AF43" s="1074">
        <v>5</v>
      </c>
      <c r="AG43" s="1074">
        <v>6</v>
      </c>
      <c r="AH43" s="1074">
        <v>7</v>
      </c>
      <c r="AI43" s="1074">
        <v>8</v>
      </c>
      <c r="AJ43" s="131">
        <f>SUM(D44:AI44)</f>
        <v>13</v>
      </c>
      <c r="AK43" s="1011">
        <f>3.55+17.32+11.12+11.95+12.77+4.47</f>
        <v>61.179999999999993</v>
      </c>
      <c r="AL43" s="120"/>
      <c r="AM43" s="725"/>
      <c r="AN43" s="725"/>
      <c r="AO43" s="714" t="str">
        <f>IF(COUNT(AM43,AN43)&lt;2, "0", AN43 - AM43 + 1)</f>
        <v>0</v>
      </c>
      <c r="AP43" s="715">
        <f>IFERROR((AK43+AL43)/AO43,0)</f>
        <v>0</v>
      </c>
      <c r="AQ43" s="1013">
        <f>24.2+14.42+19.29+4.06</f>
        <v>61.97</v>
      </c>
      <c r="AR43" s="1013"/>
      <c r="AS43" s="726"/>
      <c r="AT43" s="726"/>
      <c r="AU43" s="716" t="str">
        <f>IF(COUNT(AS43,AT43)&lt;2, "0", AT43 - AS43 )</f>
        <v>0</v>
      </c>
      <c r="AV43" s="717">
        <f>IFERROR((AQ43+AR43)/AU43,0)</f>
        <v>0</v>
      </c>
      <c r="AW43" s="1017"/>
      <c r="AX43" s="115"/>
      <c r="AY43" s="727"/>
      <c r="AZ43" s="727"/>
      <c r="BA43" s="718" t="str">
        <f>IF(COUNT(AY43,AZ43)&lt;2, "0", AZ43 - AY43 )</f>
        <v>0</v>
      </c>
      <c r="BB43" s="719">
        <f>IFERROR((AW43+AX43)/BA43,0)</f>
        <v>0</v>
      </c>
      <c r="BC43" s="117"/>
      <c r="BD43" s="117"/>
      <c r="BE43" s="982">
        <f>AK43+AQ43+AW43+BC43</f>
        <v>123.14999999999999</v>
      </c>
      <c r="BF43" s="982">
        <f>AL43+AR43+AX43+BD43</f>
        <v>0</v>
      </c>
      <c r="BG43" s="991">
        <v>8</v>
      </c>
    </row>
    <row r="44" spans="1:59" ht="24" customHeight="1" x14ac:dyDescent="0.35">
      <c r="A44" s="1005"/>
      <c r="B44" s="1002"/>
      <c r="C44" s="1002"/>
      <c r="D44" s="1062"/>
      <c r="E44" s="1073"/>
      <c r="F44" s="1073"/>
      <c r="G44" s="1073"/>
      <c r="H44" s="1073"/>
      <c r="I44" s="1073"/>
      <c r="J44" s="1073"/>
      <c r="K44" s="1073"/>
      <c r="L44" s="1073"/>
      <c r="M44" s="1073">
        <v>8</v>
      </c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>
        <v>5</v>
      </c>
      <c r="AC44" s="1073"/>
      <c r="AD44" s="1073"/>
      <c r="AE44" s="1073"/>
      <c r="AF44" s="1073"/>
      <c r="AG44" s="1073"/>
      <c r="AH44" s="1073"/>
      <c r="AI44" s="1073"/>
      <c r="AJ44" s="132"/>
      <c r="AK44" s="1012"/>
      <c r="AL44" s="121"/>
      <c r="AM44" s="722"/>
      <c r="AN44" s="722"/>
      <c r="AO44" s="714"/>
      <c r="AP44" s="715"/>
      <c r="AQ44" s="1014"/>
      <c r="AR44" s="1014"/>
      <c r="AS44" s="703"/>
      <c r="AT44" s="703"/>
      <c r="AU44" s="716"/>
      <c r="AV44" s="717"/>
      <c r="AW44" s="1018"/>
      <c r="AX44" s="116"/>
      <c r="AY44" s="723"/>
      <c r="AZ44" s="723"/>
      <c r="BA44" s="718"/>
      <c r="BB44" s="719"/>
      <c r="BC44" s="95"/>
      <c r="BD44" s="95"/>
      <c r="BE44" s="990"/>
      <c r="BF44" s="990"/>
      <c r="BG44" s="992"/>
    </row>
    <row r="45" spans="1:59" ht="24" customHeight="1" x14ac:dyDescent="0.35">
      <c r="A45" s="1005"/>
      <c r="B45" s="1001">
        <v>2011</v>
      </c>
      <c r="C45" s="1001">
        <v>13</v>
      </c>
      <c r="D45" s="1061">
        <v>60.8</v>
      </c>
      <c r="E45" s="1074">
        <v>8</v>
      </c>
      <c r="F45" s="1074">
        <v>9</v>
      </c>
      <c r="G45" s="1074">
        <v>10</v>
      </c>
      <c r="H45" s="1074">
        <v>11</v>
      </c>
      <c r="I45" s="1074">
        <v>12</v>
      </c>
      <c r="J45" s="1074">
        <v>13</v>
      </c>
      <c r="K45" s="1074">
        <v>14</v>
      </c>
      <c r="L45" s="1074">
        <v>15</v>
      </c>
      <c r="M45" s="1074">
        <v>16</v>
      </c>
      <c r="N45" s="1074">
        <v>17</v>
      </c>
      <c r="O45" s="1074">
        <v>18</v>
      </c>
      <c r="P45" s="1074">
        <v>19</v>
      </c>
      <c r="Q45" s="1074">
        <v>20</v>
      </c>
      <c r="R45" s="1074">
        <v>21</v>
      </c>
      <c r="S45" s="1074">
        <v>22</v>
      </c>
      <c r="T45" s="1074">
        <v>23</v>
      </c>
      <c r="U45" s="1074">
        <v>24</v>
      </c>
      <c r="V45" s="1066">
        <v>1</v>
      </c>
      <c r="W45" s="1066">
        <v>2</v>
      </c>
      <c r="X45" s="1066">
        <v>3</v>
      </c>
      <c r="Y45" s="1074">
        <v>4</v>
      </c>
      <c r="Z45" s="1074">
        <v>5</v>
      </c>
      <c r="AA45" s="1074">
        <v>6</v>
      </c>
      <c r="AB45" s="1074">
        <v>7</v>
      </c>
      <c r="AC45" s="1074">
        <v>8</v>
      </c>
      <c r="AD45" s="1074">
        <v>9</v>
      </c>
      <c r="AE45" s="1074">
        <v>10</v>
      </c>
      <c r="AF45" s="1067">
        <v>1</v>
      </c>
      <c r="AG45" s="1067">
        <v>2</v>
      </c>
      <c r="AH45" s="1067">
        <v>3</v>
      </c>
      <c r="AI45" s="1074">
        <v>4</v>
      </c>
      <c r="AJ45" s="131">
        <f>SUM(D46:AI46)</f>
        <v>53</v>
      </c>
      <c r="AK45" s="1011">
        <f>4.04+15.72+8.15</f>
        <v>27.910000000000004</v>
      </c>
      <c r="AL45" s="120"/>
      <c r="AM45" s="725"/>
      <c r="AN45" s="725"/>
      <c r="AO45" s="714" t="str">
        <f>IF(COUNT(AM45,AN45)&lt;2, "0", AN45 - AM45 + 1)</f>
        <v>0</v>
      </c>
      <c r="AP45" s="715">
        <f>IFERROR((AK45+AL45)/AO45,0)</f>
        <v>0</v>
      </c>
      <c r="AQ45" s="1013">
        <f>3.23+31.31</f>
        <v>34.54</v>
      </c>
      <c r="AR45" s="1013"/>
      <c r="AS45" s="726"/>
      <c r="AT45" s="726"/>
      <c r="AU45" s="716" t="str">
        <f>IF(COUNT(AS45,AT45)&lt;2, "0", AT45 - AS45 )</f>
        <v>0</v>
      </c>
      <c r="AV45" s="717">
        <f>IFERROR((AQ45+AR45)/AU45,0)</f>
        <v>0</v>
      </c>
      <c r="AW45" s="1017"/>
      <c r="AX45" s="115"/>
      <c r="AY45" s="727"/>
      <c r="AZ45" s="727"/>
      <c r="BA45" s="718" t="str">
        <f>IF(COUNT(AY45,AZ45)&lt;2, "0", AZ45 - AY45 )</f>
        <v>0</v>
      </c>
      <c r="BB45" s="719">
        <f>IFERROR((AW45+AX45)/BA45,0)</f>
        <v>0</v>
      </c>
      <c r="BC45" s="457"/>
      <c r="BD45" s="117"/>
      <c r="BE45" s="982">
        <f>AK45+AQ45+AW45+BC45</f>
        <v>62.45</v>
      </c>
      <c r="BF45" s="982">
        <f>AL45+AR45+AX45+BD45</f>
        <v>0</v>
      </c>
      <c r="BG45" s="991">
        <v>9</v>
      </c>
    </row>
    <row r="46" spans="1:59" ht="24" customHeight="1" x14ac:dyDescent="0.35">
      <c r="A46" s="1005"/>
      <c r="B46" s="1002"/>
      <c r="C46" s="1002"/>
      <c r="D46" s="1062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>
        <v>10</v>
      </c>
      <c r="W46" s="1073">
        <v>10</v>
      </c>
      <c r="X46" s="1073">
        <v>10</v>
      </c>
      <c r="Y46" s="1073"/>
      <c r="Z46" s="1073"/>
      <c r="AA46" s="1073"/>
      <c r="AB46" s="1073"/>
      <c r="AC46" s="1073"/>
      <c r="AD46" s="1073"/>
      <c r="AE46" s="1073"/>
      <c r="AF46" s="1073">
        <v>5</v>
      </c>
      <c r="AG46" s="1073">
        <v>9</v>
      </c>
      <c r="AH46" s="1073">
        <v>9</v>
      </c>
      <c r="AI46" s="1073"/>
      <c r="AJ46" s="132"/>
      <c r="AK46" s="1012"/>
      <c r="AL46" s="121"/>
      <c r="AM46" s="722"/>
      <c r="AN46" s="722"/>
      <c r="AO46" s="714"/>
      <c r="AP46" s="715"/>
      <c r="AQ46" s="1014"/>
      <c r="AR46" s="1014"/>
      <c r="AS46" s="703"/>
      <c r="AT46" s="703"/>
      <c r="AU46" s="716"/>
      <c r="AV46" s="717"/>
      <c r="AW46" s="1018"/>
      <c r="AX46" s="116"/>
      <c r="AY46" s="723"/>
      <c r="AZ46" s="723"/>
      <c r="BA46" s="718"/>
      <c r="BB46" s="719"/>
      <c r="BC46" s="457"/>
      <c r="BD46" s="95"/>
      <c r="BE46" s="990"/>
      <c r="BF46" s="990"/>
      <c r="BG46" s="992"/>
    </row>
    <row r="47" spans="1:59" ht="24" customHeight="1" x14ac:dyDescent="0.35">
      <c r="A47" s="1005"/>
      <c r="B47" s="1004">
        <v>2011</v>
      </c>
      <c r="C47" s="1001">
        <v>18</v>
      </c>
      <c r="D47" s="1061">
        <v>40.799999999999997</v>
      </c>
      <c r="E47" s="1074">
        <v>11</v>
      </c>
      <c r="F47" s="1074">
        <v>12</v>
      </c>
      <c r="G47" s="1074">
        <v>13</v>
      </c>
      <c r="H47" s="1074">
        <v>14</v>
      </c>
      <c r="I47" s="1074">
        <v>15</v>
      </c>
      <c r="J47" s="1074">
        <v>16</v>
      </c>
      <c r="K47" s="1074">
        <v>17</v>
      </c>
      <c r="L47" s="1074">
        <v>18</v>
      </c>
      <c r="M47" s="1074">
        <v>19</v>
      </c>
      <c r="N47" s="1074">
        <v>20</v>
      </c>
      <c r="O47" s="1074">
        <v>21</v>
      </c>
      <c r="P47" s="1074">
        <v>22</v>
      </c>
      <c r="Q47" s="1074">
        <v>23</v>
      </c>
      <c r="R47" s="1074">
        <v>24</v>
      </c>
      <c r="S47" s="1066">
        <v>1</v>
      </c>
      <c r="T47" s="1074">
        <v>2</v>
      </c>
      <c r="U47" s="1066">
        <v>3</v>
      </c>
      <c r="V47" s="1074">
        <v>4</v>
      </c>
      <c r="W47" s="1074">
        <v>5</v>
      </c>
      <c r="X47" s="1074">
        <v>6</v>
      </c>
      <c r="Y47" s="1074">
        <v>7</v>
      </c>
      <c r="Z47" s="1074">
        <v>8</v>
      </c>
      <c r="AA47" s="1074">
        <v>9</v>
      </c>
      <c r="AB47" s="1074">
        <v>10</v>
      </c>
      <c r="AC47" s="1074">
        <v>11</v>
      </c>
      <c r="AD47" s="1074">
        <v>12</v>
      </c>
      <c r="AE47" s="1067">
        <v>1</v>
      </c>
      <c r="AF47" s="1067">
        <v>2</v>
      </c>
      <c r="AG47" s="1074">
        <v>3</v>
      </c>
      <c r="AH47" s="1074">
        <v>4</v>
      </c>
      <c r="AI47" s="1074">
        <v>5</v>
      </c>
      <c r="AJ47" s="131">
        <f>SUM(D48:AI48)</f>
        <v>35</v>
      </c>
      <c r="AK47" s="1011">
        <f>13.26+11.12+22.2+12.22</f>
        <v>58.8</v>
      </c>
      <c r="AL47" s="120"/>
      <c r="AM47" s="725"/>
      <c r="AN47" s="725"/>
      <c r="AO47" s="714" t="str">
        <f>IF(COUNT(AM47,AN47)&lt;2, "0", AN47 - AM47 + 1)</f>
        <v>0</v>
      </c>
      <c r="AP47" s="715">
        <f>IFERROR((AK47+AL47)/AO47,0)</f>
        <v>0</v>
      </c>
      <c r="AQ47" s="1013">
        <f>28.3+7.29+4.08</f>
        <v>39.67</v>
      </c>
      <c r="AR47" s="1013"/>
      <c r="AS47" s="726"/>
      <c r="AT47" s="726"/>
      <c r="AU47" s="716" t="str">
        <f>IF(COUNT(AS47,AT47)&lt;2, "0", AT47 - AS47 )</f>
        <v>0</v>
      </c>
      <c r="AV47" s="717">
        <f>IFERROR((AQ47+AR47)/AU47,0)</f>
        <v>0</v>
      </c>
      <c r="AW47" s="1017"/>
      <c r="AX47" s="115"/>
      <c r="AY47" s="727"/>
      <c r="AZ47" s="727"/>
      <c r="BA47" s="718" t="str">
        <f>IF(COUNT(AY47,AZ47)&lt;2, "0", AZ47 - AY47 )</f>
        <v>0</v>
      </c>
      <c r="BB47" s="719">
        <f>IFERROR((AW47+AX47)/BA47,0)</f>
        <v>0</v>
      </c>
      <c r="BC47" s="117"/>
      <c r="BD47" s="117"/>
      <c r="BE47" s="982">
        <f>AK47+AQ47+AW47+BC47</f>
        <v>98.47</v>
      </c>
      <c r="BF47" s="982">
        <f>AL47+AR47+AX47+BD47</f>
        <v>0</v>
      </c>
      <c r="BG47" s="991">
        <v>12</v>
      </c>
    </row>
    <row r="48" spans="1:59" ht="24" customHeight="1" x14ac:dyDescent="0.35">
      <c r="A48" s="1006"/>
      <c r="B48" s="1002"/>
      <c r="C48" s="1002"/>
      <c r="D48" s="1062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>
        <v>10</v>
      </c>
      <c r="T48" s="1073"/>
      <c r="U48" s="1073">
        <v>10</v>
      </c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>
        <v>10</v>
      </c>
      <c r="AF48" s="1073">
        <v>5</v>
      </c>
      <c r="AG48" s="1073"/>
      <c r="AH48" s="1073"/>
      <c r="AI48" s="1073"/>
      <c r="AJ48" s="132"/>
      <c r="AK48" s="1012"/>
      <c r="AL48" s="121"/>
      <c r="AM48" s="722"/>
      <c r="AN48" s="722"/>
      <c r="AO48" s="714"/>
      <c r="AP48" s="715"/>
      <c r="AQ48" s="1014"/>
      <c r="AR48" s="1014"/>
      <c r="AS48" s="703"/>
      <c r="AT48" s="703"/>
      <c r="AU48" s="716"/>
      <c r="AV48" s="717"/>
      <c r="AW48" s="1018"/>
      <c r="AX48" s="116"/>
      <c r="AY48" s="723"/>
      <c r="AZ48" s="723"/>
      <c r="BA48" s="718"/>
      <c r="BB48" s="719"/>
      <c r="BC48" s="95"/>
      <c r="BD48" s="95"/>
      <c r="BE48" s="990"/>
      <c r="BF48" s="990"/>
      <c r="BG48" s="992"/>
    </row>
    <row r="49" spans="1:59" ht="24" customHeight="1" x14ac:dyDescent="0.35">
      <c r="A49" s="1007" t="s">
        <v>91</v>
      </c>
      <c r="B49" s="1001">
        <v>2015</v>
      </c>
      <c r="C49" s="1001">
        <v>25</v>
      </c>
      <c r="D49" s="1001">
        <v>36.64</v>
      </c>
      <c r="E49" s="1074">
        <v>5</v>
      </c>
      <c r="F49" s="1074">
        <v>6</v>
      </c>
      <c r="G49" s="1074">
        <v>7</v>
      </c>
      <c r="H49" s="1074">
        <v>8</v>
      </c>
      <c r="I49" s="1074">
        <v>9</v>
      </c>
      <c r="J49" s="1074">
        <v>10</v>
      </c>
      <c r="K49" s="1074">
        <v>11</v>
      </c>
      <c r="L49" s="1074">
        <v>12</v>
      </c>
      <c r="M49" s="1074">
        <v>13</v>
      </c>
      <c r="N49" s="1074">
        <v>14</v>
      </c>
      <c r="O49" s="1074">
        <v>15</v>
      </c>
      <c r="P49" s="1074">
        <v>16</v>
      </c>
      <c r="Q49" s="1066">
        <v>1</v>
      </c>
      <c r="R49" s="1066">
        <v>2</v>
      </c>
      <c r="S49" s="1066">
        <v>3</v>
      </c>
      <c r="T49" s="1074">
        <v>4</v>
      </c>
      <c r="U49" s="1074">
        <v>5</v>
      </c>
      <c r="V49" s="1074">
        <v>6</v>
      </c>
      <c r="W49" s="1074">
        <v>7</v>
      </c>
      <c r="X49" s="1074">
        <v>8</v>
      </c>
      <c r="Y49" s="1074">
        <v>9</v>
      </c>
      <c r="Z49" s="1074">
        <v>10</v>
      </c>
      <c r="AA49" s="1074">
        <v>11</v>
      </c>
      <c r="AB49" s="1074">
        <v>12</v>
      </c>
      <c r="AC49" s="1074">
        <v>13</v>
      </c>
      <c r="AD49" s="1074">
        <v>14</v>
      </c>
      <c r="AE49" s="1074">
        <v>15</v>
      </c>
      <c r="AF49" s="1067">
        <v>1</v>
      </c>
      <c r="AG49" s="1074">
        <v>2</v>
      </c>
      <c r="AH49" s="1074">
        <v>3</v>
      </c>
      <c r="AI49" s="1074">
        <v>4</v>
      </c>
      <c r="AJ49" s="128">
        <f>SUM(D50:AI50)</f>
        <v>25</v>
      </c>
      <c r="AK49" s="1011">
        <f>11.79+16.97</f>
        <v>28.759999999999998</v>
      </c>
      <c r="AL49" s="120"/>
      <c r="AM49" s="725"/>
      <c r="AN49" s="725"/>
      <c r="AO49" s="714" t="str">
        <f>IF(COUNT(AM49,AN49)&lt;2, "0", AN49 - AM49 + 1)</f>
        <v>0</v>
      </c>
      <c r="AP49" s="715">
        <f>IFERROR((AK49+AL49)/AO49,0)</f>
        <v>0</v>
      </c>
      <c r="AQ49" s="1013">
        <f>7.76+11.91+16.39+6.92</f>
        <v>42.980000000000004</v>
      </c>
      <c r="AR49" s="1013"/>
      <c r="AS49" s="726"/>
      <c r="AT49" s="726"/>
      <c r="AU49" s="716" t="str">
        <f>IF(COUNT(AS49,AT49)&lt;2, "0", AT49 - AS49 )</f>
        <v>0</v>
      </c>
      <c r="AV49" s="717">
        <f>IFERROR((AQ49+AR49)/AU49,0)</f>
        <v>0</v>
      </c>
      <c r="AW49" s="1017">
        <f>8.58</f>
        <v>8.58</v>
      </c>
      <c r="AX49" s="115"/>
      <c r="AY49" s="727"/>
      <c r="AZ49" s="727"/>
      <c r="BA49" s="718" t="str">
        <f>IF(COUNT(AY49,AZ49)&lt;2, "0", AZ49 - AY49 )</f>
        <v>0</v>
      </c>
      <c r="BB49" s="719">
        <f>IFERROR((AW49+AX49)/BA49,0)</f>
        <v>0</v>
      </c>
      <c r="BC49" s="117"/>
      <c r="BD49" s="117"/>
      <c r="BE49" s="982">
        <f>AK49+AQ49+AW49+BC49</f>
        <v>80.320000000000007</v>
      </c>
      <c r="BF49" s="982">
        <f>AL49+AR49+AX49+BD49</f>
        <v>0</v>
      </c>
      <c r="BG49" s="991">
        <v>13</v>
      </c>
    </row>
    <row r="50" spans="1:59" ht="24" customHeight="1" x14ac:dyDescent="0.35">
      <c r="A50" s="1005"/>
      <c r="B50" s="1004"/>
      <c r="C50" s="1002"/>
      <c r="D50" s="1002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>
        <v>4</v>
      </c>
      <c r="R50" s="1073">
        <v>7</v>
      </c>
      <c r="S50" s="1073">
        <v>7</v>
      </c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>
        <v>7</v>
      </c>
      <c r="AG50" s="1073"/>
      <c r="AH50" s="1073"/>
      <c r="AI50" s="1073"/>
      <c r="AJ50" s="129"/>
      <c r="AK50" s="1012"/>
      <c r="AL50" s="121"/>
      <c r="AM50" s="722"/>
      <c r="AN50" s="722"/>
      <c r="AO50" s="714"/>
      <c r="AP50" s="715"/>
      <c r="AQ50" s="1014"/>
      <c r="AR50" s="1014"/>
      <c r="AS50" s="703"/>
      <c r="AT50" s="703"/>
      <c r="AU50" s="716"/>
      <c r="AV50" s="717"/>
      <c r="AW50" s="1018"/>
      <c r="AX50" s="116"/>
      <c r="AY50" s="723"/>
      <c r="AZ50" s="723"/>
      <c r="BA50" s="718"/>
      <c r="BB50" s="719"/>
      <c r="BC50" s="95"/>
      <c r="BD50" s="95"/>
      <c r="BE50" s="990"/>
      <c r="BF50" s="990"/>
      <c r="BG50" s="992"/>
    </row>
    <row r="51" spans="1:59" ht="24" customHeight="1" x14ac:dyDescent="0.35">
      <c r="A51" s="1005"/>
      <c r="B51" s="1004"/>
      <c r="C51" s="1008" t="s">
        <v>7</v>
      </c>
      <c r="D51" s="1008">
        <v>22.75</v>
      </c>
      <c r="E51" s="1074">
        <v>12</v>
      </c>
      <c r="F51" s="1074">
        <v>13</v>
      </c>
      <c r="G51" s="1074">
        <v>14</v>
      </c>
      <c r="H51" s="1074">
        <v>15</v>
      </c>
      <c r="I51" s="1074">
        <v>16</v>
      </c>
      <c r="J51" s="1074">
        <v>17</v>
      </c>
      <c r="K51" s="1074">
        <v>18</v>
      </c>
      <c r="L51" s="1066">
        <v>1</v>
      </c>
      <c r="M51" s="1066">
        <v>2</v>
      </c>
      <c r="N51" s="1074">
        <v>3</v>
      </c>
      <c r="O51" s="1074">
        <v>4</v>
      </c>
      <c r="P51" s="1074">
        <v>5</v>
      </c>
      <c r="Q51" s="1074">
        <v>6</v>
      </c>
      <c r="R51" s="1074">
        <v>7</v>
      </c>
      <c r="S51" s="1074">
        <v>8</v>
      </c>
      <c r="T51" s="1074">
        <v>9</v>
      </c>
      <c r="U51" s="1074">
        <v>10</v>
      </c>
      <c r="V51" s="1074">
        <v>11</v>
      </c>
      <c r="W51" s="1074">
        <v>12</v>
      </c>
      <c r="X51" s="1074">
        <v>13</v>
      </c>
      <c r="Y51" s="1074">
        <v>14</v>
      </c>
      <c r="Z51" s="1074">
        <v>15</v>
      </c>
      <c r="AA51" s="1074">
        <v>16</v>
      </c>
      <c r="AB51" s="1074">
        <v>17</v>
      </c>
      <c r="AC51" s="1074">
        <v>18</v>
      </c>
      <c r="AD51" s="1074">
        <v>19</v>
      </c>
      <c r="AE51" s="1067">
        <v>1</v>
      </c>
      <c r="AF51" s="1074">
        <v>2</v>
      </c>
      <c r="AG51" s="1074">
        <v>3</v>
      </c>
      <c r="AH51" s="1074">
        <v>4</v>
      </c>
      <c r="AI51" s="1074">
        <v>5</v>
      </c>
      <c r="AJ51" s="128">
        <f>SUM(D52:AI52)</f>
        <v>21</v>
      </c>
      <c r="AK51" s="1011">
        <f>4.32+4.24+4.33+3.68+5.68+7.94+12.04+2.97</f>
        <v>45.2</v>
      </c>
      <c r="AL51" s="120"/>
      <c r="AM51" s="725"/>
      <c r="AN51" s="725"/>
      <c r="AO51" s="714" t="str">
        <f>IF(COUNT(AM51,AN51)&lt;2, "0", AN51 - AM51 + 1)</f>
        <v>0</v>
      </c>
      <c r="AP51" s="715">
        <f>IFERROR((AK51+AL51)/AO51,0)</f>
        <v>0</v>
      </c>
      <c r="AQ51" s="1013">
        <f>13.29+8.76+10.7</f>
        <v>32.75</v>
      </c>
      <c r="AR51" s="1013"/>
      <c r="AS51" s="726"/>
      <c r="AT51" s="726"/>
      <c r="AU51" s="716" t="str">
        <f>IF(COUNT(AS51,AT51)&lt;2, "0", AT51 - AS51 )</f>
        <v>0</v>
      </c>
      <c r="AV51" s="717">
        <f>IFERROR((AQ51+AR51)/AU51,0)</f>
        <v>0</v>
      </c>
      <c r="AW51" s="1017">
        <f>3.28+8.56+12.54</f>
        <v>24.38</v>
      </c>
      <c r="AX51" s="115"/>
      <c r="AY51" s="727"/>
      <c r="AZ51" s="727"/>
      <c r="BA51" s="718" t="str">
        <f>IF(COUNT(AY51,AZ51)&lt;2, "0", AZ51 - AY51 )</f>
        <v>0</v>
      </c>
      <c r="BB51" s="719">
        <f>IFERROR((AW51+AX51)/BA51,0)</f>
        <v>0</v>
      </c>
      <c r="BC51" s="117"/>
      <c r="BD51" s="117"/>
      <c r="BE51" s="982">
        <f>AK51+AQ51+AW51+BC51</f>
        <v>102.33</v>
      </c>
      <c r="BF51" s="982">
        <f>AL51+AR51+AX51+BD51</f>
        <v>0</v>
      </c>
      <c r="BG51" s="991">
        <v>18</v>
      </c>
    </row>
    <row r="52" spans="1:59" ht="24" customHeight="1" x14ac:dyDescent="0.35">
      <c r="A52" s="1005"/>
      <c r="B52" s="1004"/>
      <c r="C52" s="1008"/>
      <c r="D52" s="1008"/>
      <c r="E52" s="1073"/>
      <c r="F52" s="1073"/>
      <c r="G52" s="1073"/>
      <c r="H52" s="1073"/>
      <c r="I52" s="1073"/>
      <c r="J52" s="1073"/>
      <c r="K52" s="1073"/>
      <c r="L52" s="1073">
        <v>7</v>
      </c>
      <c r="M52" s="1073">
        <v>7</v>
      </c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>
        <v>7</v>
      </c>
      <c r="AF52" s="1073"/>
      <c r="AG52" s="1073"/>
      <c r="AH52" s="1073"/>
      <c r="AI52" s="1073"/>
      <c r="AJ52" s="129"/>
      <c r="AK52" s="1012"/>
      <c r="AL52" s="121"/>
      <c r="AM52" s="722"/>
      <c r="AN52" s="722"/>
      <c r="AO52" s="714"/>
      <c r="AP52" s="715"/>
      <c r="AQ52" s="1014"/>
      <c r="AR52" s="1014"/>
      <c r="AS52" s="703"/>
      <c r="AT52" s="703"/>
      <c r="AU52" s="716"/>
      <c r="AV52" s="717"/>
      <c r="AW52" s="1018"/>
      <c r="AX52" s="116"/>
      <c r="AY52" s="723"/>
      <c r="AZ52" s="723"/>
      <c r="BA52" s="718"/>
      <c r="BB52" s="719"/>
      <c r="BC52" s="95"/>
      <c r="BD52" s="95"/>
      <c r="BE52" s="990"/>
      <c r="BF52" s="990"/>
      <c r="BG52" s="992"/>
    </row>
    <row r="53" spans="1:59" ht="24" customHeight="1" x14ac:dyDescent="0.35">
      <c r="A53" s="1005"/>
      <c r="B53" s="1004"/>
      <c r="C53" s="1001">
        <v>27</v>
      </c>
      <c r="D53" s="1001">
        <v>35.93</v>
      </c>
      <c r="E53" s="1074">
        <v>6</v>
      </c>
      <c r="F53" s="1074">
        <v>7</v>
      </c>
      <c r="G53" s="1074">
        <v>8</v>
      </c>
      <c r="H53" s="1074">
        <v>9</v>
      </c>
      <c r="I53" s="1074">
        <v>10</v>
      </c>
      <c r="J53" s="1074">
        <v>11</v>
      </c>
      <c r="K53" s="1074">
        <v>12</v>
      </c>
      <c r="L53" s="1074">
        <v>13</v>
      </c>
      <c r="M53" s="1074">
        <v>14</v>
      </c>
      <c r="N53" s="1074">
        <v>15</v>
      </c>
      <c r="O53" s="1074">
        <v>16</v>
      </c>
      <c r="P53" s="1066">
        <v>1</v>
      </c>
      <c r="Q53" s="1066">
        <v>2</v>
      </c>
      <c r="R53" s="1074">
        <v>3</v>
      </c>
      <c r="S53" s="1074">
        <v>4</v>
      </c>
      <c r="T53" s="1074">
        <v>5</v>
      </c>
      <c r="U53" s="1074">
        <v>6</v>
      </c>
      <c r="V53" s="1074">
        <v>7</v>
      </c>
      <c r="W53" s="1074">
        <v>8</v>
      </c>
      <c r="X53" s="1074">
        <v>9</v>
      </c>
      <c r="Y53" s="1074">
        <v>10</v>
      </c>
      <c r="Z53" s="1074">
        <v>11</v>
      </c>
      <c r="AA53" s="1074">
        <v>12</v>
      </c>
      <c r="AB53" s="1074">
        <v>13</v>
      </c>
      <c r="AC53" s="1074">
        <v>14</v>
      </c>
      <c r="AD53" s="1074">
        <v>15</v>
      </c>
      <c r="AE53" s="1074">
        <v>16</v>
      </c>
      <c r="AF53" s="1074">
        <v>17</v>
      </c>
      <c r="AG53" s="1067">
        <v>1</v>
      </c>
      <c r="AH53" s="1074">
        <v>2</v>
      </c>
      <c r="AI53" s="1074">
        <v>3</v>
      </c>
      <c r="AJ53" s="128">
        <f>SUM(D54:AI54)</f>
        <v>22</v>
      </c>
      <c r="AK53" s="1011">
        <f>1.19</f>
        <v>1.19</v>
      </c>
      <c r="AL53" s="120"/>
      <c r="AM53" s="725"/>
      <c r="AN53" s="725"/>
      <c r="AO53" s="714" t="str">
        <f>IF(COUNT(AM53,AN53)&lt;2, "0", AN53 - AM53 + 1)</f>
        <v>0</v>
      </c>
      <c r="AP53" s="715">
        <f>IFERROR((AK53+AL53)/AO53,0)</f>
        <v>0</v>
      </c>
      <c r="AQ53" s="1013">
        <f>2.02</f>
        <v>2.02</v>
      </c>
      <c r="AR53" s="1013"/>
      <c r="AS53" s="726"/>
      <c r="AT53" s="726"/>
      <c r="AU53" s="716" t="str">
        <f>IF(COUNT(AS53,AT53)&lt;2, "0", AT53 - AS53 )</f>
        <v>0</v>
      </c>
      <c r="AV53" s="717">
        <f>IFERROR((AQ53+AR53)/AU53,0)</f>
        <v>0</v>
      </c>
      <c r="AW53" s="1017"/>
      <c r="AX53" s="115"/>
      <c r="AY53" s="727"/>
      <c r="AZ53" s="727"/>
      <c r="BA53" s="718" t="str">
        <f>IF(COUNT(AY53,AZ53)&lt;2, "0", AZ53 - AY53 )</f>
        <v>0</v>
      </c>
      <c r="BB53" s="719">
        <f>IFERROR((AW53+AX53)/BA53,0)</f>
        <v>0</v>
      </c>
      <c r="BC53" s="117"/>
      <c r="BD53" s="117"/>
      <c r="BE53" s="982">
        <f>AK53+AQ53+AW53+BC53</f>
        <v>3.21</v>
      </c>
      <c r="BF53" s="982">
        <f>AL53+AR53+AX53+BD53</f>
        <v>0</v>
      </c>
      <c r="BG53" s="984">
        <v>39</v>
      </c>
    </row>
    <row r="54" spans="1:59" ht="24" customHeight="1" x14ac:dyDescent="0.35">
      <c r="A54" s="1005"/>
      <c r="B54" s="1004"/>
      <c r="C54" s="1002"/>
      <c r="D54" s="1002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>
        <v>7</v>
      </c>
      <c r="Q54" s="1073">
        <v>3</v>
      </c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>
        <v>12</v>
      </c>
      <c r="AH54" s="1073"/>
      <c r="AI54" s="1073"/>
      <c r="AJ54" s="129"/>
      <c r="AK54" s="1012"/>
      <c r="AL54" s="121"/>
      <c r="AM54" s="722"/>
      <c r="AN54" s="722"/>
      <c r="AO54" s="714"/>
      <c r="AP54" s="715"/>
      <c r="AQ54" s="1014"/>
      <c r="AR54" s="1014"/>
      <c r="AS54" s="703"/>
      <c r="AT54" s="703"/>
      <c r="AU54" s="716"/>
      <c r="AV54" s="717"/>
      <c r="AW54" s="1018"/>
      <c r="AX54" s="116"/>
      <c r="AY54" s="723"/>
      <c r="AZ54" s="723"/>
      <c r="BA54" s="718"/>
      <c r="BB54" s="719"/>
      <c r="BC54" s="95"/>
      <c r="BD54" s="95"/>
      <c r="BE54" s="990"/>
      <c r="BF54" s="990"/>
      <c r="BG54" s="985"/>
    </row>
    <row r="55" spans="1:59" ht="24" customHeight="1" x14ac:dyDescent="0.35">
      <c r="A55" s="1005"/>
      <c r="B55" s="1004"/>
      <c r="C55" s="1008">
        <v>28</v>
      </c>
      <c r="D55" s="1008">
        <v>25.54</v>
      </c>
      <c r="E55" s="1074">
        <v>15</v>
      </c>
      <c r="F55" s="1074">
        <v>16</v>
      </c>
      <c r="G55" s="1074">
        <v>17</v>
      </c>
      <c r="H55" s="1074">
        <v>18</v>
      </c>
      <c r="I55" s="1074">
        <v>19</v>
      </c>
      <c r="J55" s="1066">
        <v>1</v>
      </c>
      <c r="K55" s="1066">
        <v>2</v>
      </c>
      <c r="L55" s="1074">
        <v>3</v>
      </c>
      <c r="M55" s="1074">
        <v>4</v>
      </c>
      <c r="N55" s="1074">
        <v>5</v>
      </c>
      <c r="O55" s="1074">
        <v>6</v>
      </c>
      <c r="P55" s="1074">
        <v>7</v>
      </c>
      <c r="Q55" s="1074">
        <v>8</v>
      </c>
      <c r="R55" s="1074">
        <v>9</v>
      </c>
      <c r="S55" s="1074">
        <v>10</v>
      </c>
      <c r="T55" s="1074">
        <v>11</v>
      </c>
      <c r="U55" s="1074">
        <v>12</v>
      </c>
      <c r="V55" s="1074">
        <v>13</v>
      </c>
      <c r="W55" s="1074">
        <v>14</v>
      </c>
      <c r="X55" s="1074">
        <v>15</v>
      </c>
      <c r="Y55" s="1074">
        <v>16</v>
      </c>
      <c r="Z55" s="1074">
        <v>17</v>
      </c>
      <c r="AA55" s="1074">
        <v>18</v>
      </c>
      <c r="AB55" s="1067">
        <v>1</v>
      </c>
      <c r="AC55" s="1074">
        <v>2</v>
      </c>
      <c r="AD55" s="1067">
        <v>3</v>
      </c>
      <c r="AE55" s="1074">
        <v>4</v>
      </c>
      <c r="AF55" s="1074">
        <v>5</v>
      </c>
      <c r="AG55" s="1074">
        <v>6</v>
      </c>
      <c r="AH55" s="1074">
        <v>7</v>
      </c>
      <c r="AI55" s="1074">
        <v>8</v>
      </c>
      <c r="AJ55" s="128">
        <f>SUM(D56:AI56)</f>
        <v>28</v>
      </c>
      <c r="AK55" s="1011">
        <f>7.78+8.77+4.04</f>
        <v>20.59</v>
      </c>
      <c r="AL55" s="120"/>
      <c r="AM55" s="725"/>
      <c r="AN55" s="725"/>
      <c r="AO55" s="714" t="str">
        <f>IF(COUNT(AM55,AN55)&lt;2, "0", AN55 - AM55 + 1)</f>
        <v>0</v>
      </c>
      <c r="AP55" s="715">
        <f>IFERROR((AK55+AL55)/AO55,0)</f>
        <v>0</v>
      </c>
      <c r="AQ55" s="1013">
        <f>2.78+7.42</f>
        <v>10.199999999999999</v>
      </c>
      <c r="AR55" s="1013"/>
      <c r="AS55" s="726"/>
      <c r="AT55" s="726"/>
      <c r="AU55" s="716" t="str">
        <f>IF(COUNT(AS55,AT55)&lt;2, "0", AT55 - AS55 )</f>
        <v>0</v>
      </c>
      <c r="AV55" s="717">
        <f>IFERROR((AQ55+AR55)/AU55,0)</f>
        <v>0</v>
      </c>
      <c r="AW55" s="1017"/>
      <c r="AX55" s="115"/>
      <c r="AY55" s="727"/>
      <c r="AZ55" s="727"/>
      <c r="BA55" s="718" t="str">
        <f>IF(COUNT(AY55,AZ55)&lt;2, "0", AZ55 - AY55 )</f>
        <v>0</v>
      </c>
      <c r="BB55" s="719">
        <f>IFERROR((AW55+AX55)/BA55,0)</f>
        <v>0</v>
      </c>
      <c r="BC55" s="458"/>
      <c r="BD55" s="117"/>
      <c r="BE55" s="982">
        <f>AK55+AQ55+AW55+BC55</f>
        <v>30.79</v>
      </c>
      <c r="BF55" s="982">
        <f>AL55+AR55+AX55+BD55</f>
        <v>0</v>
      </c>
      <c r="BG55" s="984">
        <v>33</v>
      </c>
    </row>
    <row r="56" spans="1:59" ht="24" customHeight="1" x14ac:dyDescent="0.35">
      <c r="A56" s="1005"/>
      <c r="B56" s="1004"/>
      <c r="C56" s="1008"/>
      <c r="D56" s="1008"/>
      <c r="E56" s="1073"/>
      <c r="F56" s="1073"/>
      <c r="G56" s="1073"/>
      <c r="H56" s="1073"/>
      <c r="I56" s="1073"/>
      <c r="J56" s="1073">
        <v>7</v>
      </c>
      <c r="K56" s="1073">
        <v>7</v>
      </c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3"/>
      <c r="Z56" s="1073"/>
      <c r="AA56" s="1073"/>
      <c r="AB56" s="1073">
        <v>7</v>
      </c>
      <c r="AC56" s="1073"/>
      <c r="AD56" s="1073">
        <v>7</v>
      </c>
      <c r="AE56" s="1073"/>
      <c r="AF56" s="1073"/>
      <c r="AG56" s="1073"/>
      <c r="AH56" s="1073"/>
      <c r="AI56" s="1073"/>
      <c r="AJ56" s="129"/>
      <c r="AK56" s="1012"/>
      <c r="AL56" s="121"/>
      <c r="AM56" s="722"/>
      <c r="AN56" s="722"/>
      <c r="AO56" s="714"/>
      <c r="AP56" s="715"/>
      <c r="AQ56" s="1014"/>
      <c r="AR56" s="1014"/>
      <c r="AS56" s="703"/>
      <c r="AT56" s="703"/>
      <c r="AU56" s="716"/>
      <c r="AV56" s="717"/>
      <c r="AW56" s="1018"/>
      <c r="AX56" s="116"/>
      <c r="AY56" s="723"/>
      <c r="AZ56" s="723"/>
      <c r="BA56" s="718"/>
      <c r="BB56" s="719"/>
      <c r="BC56" s="95"/>
      <c r="BD56" s="95"/>
      <c r="BE56" s="990"/>
      <c r="BF56" s="990"/>
      <c r="BG56" s="985"/>
    </row>
    <row r="57" spans="1:59" ht="24" customHeight="1" x14ac:dyDescent="0.35">
      <c r="A57" s="1005"/>
      <c r="B57" s="1004"/>
      <c r="C57" s="1001">
        <v>30</v>
      </c>
      <c r="D57" s="1001">
        <v>66.13</v>
      </c>
      <c r="E57" s="1075">
        <v>19</v>
      </c>
      <c r="F57" s="1075">
        <v>20</v>
      </c>
      <c r="G57" s="1075">
        <v>21</v>
      </c>
      <c r="H57" s="1075">
        <v>22</v>
      </c>
      <c r="I57" s="1079">
        <v>1</v>
      </c>
      <c r="J57" s="1075">
        <v>2</v>
      </c>
      <c r="K57" s="1075">
        <v>3</v>
      </c>
      <c r="L57" s="1075">
        <v>4</v>
      </c>
      <c r="M57" s="1075">
        <v>5</v>
      </c>
      <c r="N57" s="1075">
        <v>6</v>
      </c>
      <c r="O57" s="1075">
        <v>7</v>
      </c>
      <c r="P57" s="1075">
        <v>8</v>
      </c>
      <c r="Q57" s="1075">
        <v>9</v>
      </c>
      <c r="R57" s="1075">
        <v>10</v>
      </c>
      <c r="S57" s="1075">
        <v>11</v>
      </c>
      <c r="T57" s="1075">
        <v>12</v>
      </c>
      <c r="U57" s="1075">
        <v>13</v>
      </c>
      <c r="V57" s="1075">
        <v>14</v>
      </c>
      <c r="W57" s="1075">
        <v>15</v>
      </c>
      <c r="X57" s="1075">
        <v>16</v>
      </c>
      <c r="Y57" s="1080">
        <v>1</v>
      </c>
      <c r="Z57" s="1080">
        <v>2</v>
      </c>
      <c r="AA57" s="1075">
        <v>3</v>
      </c>
      <c r="AB57" s="1075">
        <v>4</v>
      </c>
      <c r="AC57" s="1075">
        <v>5</v>
      </c>
      <c r="AD57" s="1075">
        <v>6</v>
      </c>
      <c r="AE57" s="1075">
        <v>7</v>
      </c>
      <c r="AF57" s="1075">
        <v>8</v>
      </c>
      <c r="AG57" s="1075">
        <v>9</v>
      </c>
      <c r="AH57" s="1075">
        <v>10</v>
      </c>
      <c r="AI57" s="1075">
        <v>11</v>
      </c>
      <c r="AJ57" s="128">
        <f>SUM(D58:AI58)</f>
        <v>21</v>
      </c>
      <c r="AK57" s="1011">
        <f>3.97+4.57</f>
        <v>8.5400000000000009</v>
      </c>
      <c r="AL57" s="120"/>
      <c r="AM57" s="725"/>
      <c r="AN57" s="725"/>
      <c r="AO57" s="714" t="str">
        <f>IF(COUNT(AM57,AN57)&lt;2, "0", AN57 - AM57 + 1)</f>
        <v>0</v>
      </c>
      <c r="AP57" s="715">
        <f>IFERROR((AK57+AL57)/AO57,0)</f>
        <v>0</v>
      </c>
      <c r="AQ57" s="1013">
        <f>7.93+3.14</f>
        <v>11.07</v>
      </c>
      <c r="AR57" s="1013"/>
      <c r="AS57" s="726"/>
      <c r="AT57" s="726"/>
      <c r="AU57" s="716" t="str">
        <f>IF(COUNT(AS57,AT57)&lt;2, "0", AT57 - AS57 )</f>
        <v>0</v>
      </c>
      <c r="AV57" s="717">
        <f>IFERROR((AQ57+AR57)/AU57,0)</f>
        <v>0</v>
      </c>
      <c r="AW57" s="456"/>
      <c r="AX57" s="115"/>
      <c r="AY57" s="727"/>
      <c r="AZ57" s="727"/>
      <c r="BA57" s="718" t="str">
        <f>IF(COUNT(AY57,AZ57)&lt;2, "0", AZ57 - AY57 )</f>
        <v>0</v>
      </c>
      <c r="BB57" s="719">
        <f>IFERROR((AW57+AX57)/BA57,0)</f>
        <v>0</v>
      </c>
      <c r="BC57" s="457"/>
      <c r="BD57" s="117"/>
      <c r="BE57" s="982">
        <f>AK57+AQ57+AW57+BC57</f>
        <v>19.61</v>
      </c>
      <c r="BF57" s="982">
        <f>AL57+AR57+AX57+BD57</f>
        <v>0</v>
      </c>
      <c r="BG57" s="984">
        <v>28</v>
      </c>
    </row>
    <row r="58" spans="1:59" ht="24" customHeight="1" x14ac:dyDescent="0.35">
      <c r="A58" s="1005"/>
      <c r="B58" s="1004"/>
      <c r="C58" s="1002"/>
      <c r="D58" s="1002"/>
      <c r="E58" s="1073"/>
      <c r="F58" s="1073"/>
      <c r="G58" s="1073"/>
      <c r="H58" s="1073"/>
      <c r="I58" s="1073">
        <v>7</v>
      </c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3">
        <v>7</v>
      </c>
      <c r="Z58" s="1073">
        <v>7</v>
      </c>
      <c r="AA58" s="1073"/>
      <c r="AB58" s="1073"/>
      <c r="AC58" s="1073"/>
      <c r="AD58" s="1073"/>
      <c r="AE58" s="1073"/>
      <c r="AF58" s="1073"/>
      <c r="AG58" s="1073"/>
      <c r="AH58" s="1073"/>
      <c r="AI58" s="1073"/>
      <c r="AJ58" s="129"/>
      <c r="AK58" s="1015"/>
      <c r="AL58" s="121"/>
      <c r="AM58" s="722"/>
      <c r="AN58" s="722"/>
      <c r="AO58" s="714"/>
      <c r="AP58" s="715"/>
      <c r="AQ58" s="1016"/>
      <c r="AR58" s="1014"/>
      <c r="AS58" s="703"/>
      <c r="AT58" s="703"/>
      <c r="AU58" s="716"/>
      <c r="AV58" s="717"/>
      <c r="AW58" s="456"/>
      <c r="AX58" s="116"/>
      <c r="AY58" s="723"/>
      <c r="AZ58" s="723"/>
      <c r="BA58" s="718"/>
      <c r="BB58" s="719"/>
      <c r="BC58" s="457"/>
      <c r="BD58" s="95"/>
      <c r="BE58" s="990"/>
      <c r="BF58" s="990"/>
      <c r="BG58" s="985"/>
    </row>
    <row r="59" spans="1:59" ht="24" customHeight="1" x14ac:dyDescent="0.35">
      <c r="A59" s="1005"/>
      <c r="B59" s="1004"/>
      <c r="C59" s="1001">
        <v>31</v>
      </c>
      <c r="D59" s="1064">
        <v>34.08</v>
      </c>
      <c r="E59" s="1075">
        <v>21</v>
      </c>
      <c r="F59" s="1075">
        <v>22</v>
      </c>
      <c r="G59" s="1079">
        <v>1</v>
      </c>
      <c r="H59" s="1079">
        <v>2</v>
      </c>
      <c r="I59" s="1075">
        <v>3</v>
      </c>
      <c r="J59" s="1075">
        <v>4</v>
      </c>
      <c r="K59" s="1075">
        <v>5</v>
      </c>
      <c r="L59" s="1075">
        <v>6</v>
      </c>
      <c r="M59" s="1075">
        <v>7</v>
      </c>
      <c r="N59" s="1075">
        <v>8</v>
      </c>
      <c r="O59" s="1075">
        <v>9</v>
      </c>
      <c r="P59" s="1075">
        <v>10</v>
      </c>
      <c r="Q59" s="1075">
        <v>11</v>
      </c>
      <c r="R59" s="1075">
        <v>12</v>
      </c>
      <c r="S59" s="1075">
        <v>13</v>
      </c>
      <c r="T59" s="1075">
        <v>14</v>
      </c>
      <c r="U59" s="1075">
        <v>15</v>
      </c>
      <c r="V59" s="1075">
        <v>16</v>
      </c>
      <c r="W59" s="1075">
        <v>17</v>
      </c>
      <c r="X59" s="1080">
        <v>1</v>
      </c>
      <c r="Y59" s="1075">
        <v>2</v>
      </c>
      <c r="Z59" s="1075">
        <v>3</v>
      </c>
      <c r="AA59" s="1075">
        <v>4</v>
      </c>
      <c r="AB59" s="1075">
        <v>5</v>
      </c>
      <c r="AC59" s="1075">
        <v>6</v>
      </c>
      <c r="AD59" s="1075">
        <v>7</v>
      </c>
      <c r="AE59" s="1075">
        <v>8</v>
      </c>
      <c r="AF59" s="1075">
        <v>9</v>
      </c>
      <c r="AG59" s="1075">
        <v>10</v>
      </c>
      <c r="AH59" s="1075">
        <v>11</v>
      </c>
      <c r="AI59" s="1081">
        <v>1</v>
      </c>
      <c r="AJ59" s="128">
        <f>SUM(D60:AI60)</f>
        <v>26</v>
      </c>
      <c r="AK59" s="1011">
        <f>2.36+4</f>
        <v>6.3599999999999994</v>
      </c>
      <c r="AL59" s="120"/>
      <c r="AM59" s="725"/>
      <c r="AN59" s="725"/>
      <c r="AO59" s="714" t="str">
        <f>IF(COUNT(AM59,AN59)&lt;2, "0", AN59 - AM59 + 1)</f>
        <v>0</v>
      </c>
      <c r="AP59" s="715">
        <f>IFERROR((AK59+AL59)/AO59,0)</f>
        <v>0</v>
      </c>
      <c r="AQ59" s="1013">
        <f>7.39</f>
        <v>7.39</v>
      </c>
      <c r="AR59" s="1013"/>
      <c r="AS59" s="726"/>
      <c r="AT59" s="726"/>
      <c r="AU59" s="716" t="str">
        <f>IF(COUNT(AS59,AT59)&lt;2, "0", AT59 - AS59 )</f>
        <v>0</v>
      </c>
      <c r="AV59" s="717">
        <f>IFERROR((AQ59+AR59)/AU59,0)</f>
        <v>0</v>
      </c>
      <c r="AW59" s="1017"/>
      <c r="AX59" s="115"/>
      <c r="AY59" s="727"/>
      <c r="AZ59" s="727"/>
      <c r="BA59" s="718" t="str">
        <f>IF(COUNT(AY59,AZ59)&lt;2, "0", AZ59 - AY59 )</f>
        <v>0</v>
      </c>
      <c r="BB59" s="719">
        <f>IFERROR((AW59+AX59)/BA59,0)</f>
        <v>0</v>
      </c>
      <c r="BC59" s="461"/>
      <c r="BD59" s="117"/>
      <c r="BE59" s="982">
        <f>AK59+AQ59+AW59+BC59</f>
        <v>13.75</v>
      </c>
      <c r="BF59" s="982">
        <f>AL59+AR59+AX59+BD59</f>
        <v>0</v>
      </c>
      <c r="BG59" s="984">
        <v>27</v>
      </c>
    </row>
    <row r="60" spans="1:59" ht="24" customHeight="1" x14ac:dyDescent="0.35">
      <c r="A60" s="1005"/>
      <c r="B60" s="1002"/>
      <c r="C60" s="1002"/>
      <c r="D60" s="1062"/>
      <c r="E60" s="1073"/>
      <c r="F60" s="1073"/>
      <c r="G60" s="1073">
        <v>7</v>
      </c>
      <c r="H60" s="1073">
        <v>7</v>
      </c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>
        <v>7</v>
      </c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73">
        <v>5</v>
      </c>
      <c r="AJ60" s="129"/>
      <c r="AK60" s="1012"/>
      <c r="AL60" s="121"/>
      <c r="AM60" s="722"/>
      <c r="AN60" s="722"/>
      <c r="AO60" s="714"/>
      <c r="AP60" s="715"/>
      <c r="AQ60" s="1014"/>
      <c r="AR60" s="1014"/>
      <c r="AS60" s="703"/>
      <c r="AT60" s="703"/>
      <c r="AU60" s="716"/>
      <c r="AV60" s="717"/>
      <c r="AW60" s="1018"/>
      <c r="AX60" s="116"/>
      <c r="AY60" s="723"/>
      <c r="AZ60" s="723"/>
      <c r="BA60" s="718"/>
      <c r="BB60" s="719"/>
      <c r="BC60" s="462"/>
      <c r="BD60" s="95"/>
      <c r="BE60" s="990"/>
      <c r="BF60" s="990"/>
      <c r="BG60" s="985"/>
    </row>
    <row r="61" spans="1:59" ht="24" customHeight="1" x14ac:dyDescent="0.35">
      <c r="A61" s="1005"/>
      <c r="B61" s="1001">
        <v>2016</v>
      </c>
      <c r="C61" s="1001">
        <v>33</v>
      </c>
      <c r="D61" s="1064">
        <v>28.72</v>
      </c>
      <c r="E61" s="1075">
        <v>4</v>
      </c>
      <c r="F61" s="1075">
        <v>5</v>
      </c>
      <c r="G61" s="1075">
        <v>6</v>
      </c>
      <c r="H61" s="1075">
        <v>7</v>
      </c>
      <c r="I61" s="1075">
        <v>8</v>
      </c>
      <c r="J61" s="1075">
        <v>9</v>
      </c>
      <c r="K61" s="1075">
        <v>10</v>
      </c>
      <c r="L61" s="1075">
        <v>11</v>
      </c>
      <c r="M61" s="1075">
        <v>12</v>
      </c>
      <c r="N61" s="1075">
        <v>13</v>
      </c>
      <c r="O61" s="1075">
        <v>14</v>
      </c>
      <c r="P61" s="1075">
        <v>15</v>
      </c>
      <c r="Q61" s="1075">
        <v>16</v>
      </c>
      <c r="R61" s="1075">
        <v>17</v>
      </c>
      <c r="S61" s="1075">
        <v>18</v>
      </c>
      <c r="T61" s="1075">
        <v>19</v>
      </c>
      <c r="U61" s="1079">
        <v>1</v>
      </c>
      <c r="V61" s="1079">
        <v>2</v>
      </c>
      <c r="W61" s="1079">
        <v>3</v>
      </c>
      <c r="X61" s="1075">
        <v>4</v>
      </c>
      <c r="Y61" s="1075">
        <v>5</v>
      </c>
      <c r="Z61" s="1075">
        <v>6</v>
      </c>
      <c r="AA61" s="1075">
        <v>7</v>
      </c>
      <c r="AB61" s="1075">
        <v>8</v>
      </c>
      <c r="AC61" s="1075">
        <v>9</v>
      </c>
      <c r="AD61" s="1075">
        <v>10</v>
      </c>
      <c r="AE61" s="1075">
        <v>11</v>
      </c>
      <c r="AF61" s="1075">
        <v>12</v>
      </c>
      <c r="AG61" s="1080">
        <v>1</v>
      </c>
      <c r="AH61" s="1080">
        <v>2</v>
      </c>
      <c r="AI61" s="1075">
        <v>3</v>
      </c>
      <c r="AJ61" s="128">
        <f>SUM(D62:AI62)</f>
        <v>35</v>
      </c>
      <c r="AK61" s="1011">
        <f>4.58</f>
        <v>4.58</v>
      </c>
      <c r="AL61" s="120"/>
      <c r="AM61" s="725"/>
      <c r="AN61" s="725"/>
      <c r="AO61" s="714" t="str">
        <f>IF(COUNT(AM61,AN61)&lt;2, "0", AN61 - AM61 + 1)</f>
        <v>0</v>
      </c>
      <c r="AP61" s="715">
        <f>IFERROR((AK61+AL61)/AO61,0)</f>
        <v>0</v>
      </c>
      <c r="AQ61" s="1013">
        <f>4.53</f>
        <v>4.53</v>
      </c>
      <c r="AR61" s="1013"/>
      <c r="AS61" s="726"/>
      <c r="AT61" s="726"/>
      <c r="AU61" s="716" t="str">
        <f>IF(COUNT(AS61,AT61)&lt;2, "0", AT61 - AS61 )</f>
        <v>0</v>
      </c>
      <c r="AV61" s="717">
        <f>IFERROR((AQ61+AR61)/AU61,0)</f>
        <v>0</v>
      </c>
      <c r="AW61" s="463"/>
      <c r="AX61" s="115"/>
      <c r="AY61" s="727"/>
      <c r="AZ61" s="727"/>
      <c r="BA61" s="718" t="str">
        <f>IF(COUNT(AY61,AZ61)&lt;2, "0", AZ61 - AY61 )</f>
        <v>0</v>
      </c>
      <c r="BB61" s="719">
        <f>IFERROR((AW61+AX61)/BA61,0)</f>
        <v>0</v>
      </c>
      <c r="BC61" s="461"/>
      <c r="BD61" s="117"/>
      <c r="BE61" s="982">
        <f>AK61+AQ61+AW61+BC61</f>
        <v>9.11</v>
      </c>
      <c r="BF61" s="982">
        <f>AL61+AR61+AX61+BD61</f>
        <v>0</v>
      </c>
      <c r="BG61" s="984">
        <v>25</v>
      </c>
    </row>
    <row r="62" spans="1:59" ht="24" customHeight="1" x14ac:dyDescent="0.35">
      <c r="A62" s="1005"/>
      <c r="B62" s="1002"/>
      <c r="C62" s="1002"/>
      <c r="D62" s="1062"/>
      <c r="E62" s="1073"/>
      <c r="F62" s="1073"/>
      <c r="G62" s="1073"/>
      <c r="H62" s="1073"/>
      <c r="I62" s="1073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>
        <v>7</v>
      </c>
      <c r="V62" s="1073">
        <v>7</v>
      </c>
      <c r="W62" s="1073">
        <v>7</v>
      </c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>
        <v>7</v>
      </c>
      <c r="AH62" s="1073">
        <v>7</v>
      </c>
      <c r="AI62" s="1073"/>
      <c r="AJ62" s="129"/>
      <c r="AK62" s="1012"/>
      <c r="AL62" s="121"/>
      <c r="AM62" s="722"/>
      <c r="AN62" s="722"/>
      <c r="AO62" s="714"/>
      <c r="AP62" s="715"/>
      <c r="AQ62" s="1014"/>
      <c r="AR62" s="1014"/>
      <c r="AS62" s="703"/>
      <c r="AT62" s="703"/>
      <c r="AU62" s="716"/>
      <c r="AV62" s="717"/>
      <c r="AW62" s="464"/>
      <c r="AX62" s="116"/>
      <c r="AY62" s="723"/>
      <c r="AZ62" s="723"/>
      <c r="BA62" s="718"/>
      <c r="BB62" s="719"/>
      <c r="BC62" s="462"/>
      <c r="BD62" s="95"/>
      <c r="BE62" s="990"/>
      <c r="BF62" s="990"/>
      <c r="BG62" s="985"/>
    </row>
    <row r="63" spans="1:59" ht="24" customHeight="1" x14ac:dyDescent="0.35">
      <c r="A63" s="1005"/>
      <c r="B63" s="1020">
        <v>2016</v>
      </c>
      <c r="C63" s="1009">
        <v>39</v>
      </c>
      <c r="D63" s="1061">
        <v>1.48</v>
      </c>
      <c r="E63" s="1074">
        <v>16</v>
      </c>
      <c r="F63" s="1074">
        <v>17</v>
      </c>
      <c r="G63" s="1074">
        <v>18</v>
      </c>
      <c r="H63" s="1074">
        <v>19</v>
      </c>
      <c r="I63" s="1074">
        <v>20</v>
      </c>
      <c r="J63" s="1074">
        <v>21</v>
      </c>
      <c r="K63" s="1074">
        <v>22</v>
      </c>
      <c r="L63" s="1074">
        <v>23</v>
      </c>
      <c r="M63" s="1074">
        <v>24</v>
      </c>
      <c r="N63" s="1066">
        <v>1</v>
      </c>
      <c r="O63" s="1074">
        <v>2</v>
      </c>
      <c r="P63" s="1074">
        <v>3</v>
      </c>
      <c r="Q63" s="1074">
        <v>4</v>
      </c>
      <c r="R63" s="1074">
        <v>5</v>
      </c>
      <c r="S63" s="1074">
        <v>6</v>
      </c>
      <c r="T63" s="1074">
        <v>7</v>
      </c>
      <c r="U63" s="1074">
        <v>8</v>
      </c>
      <c r="V63" s="1074">
        <v>9</v>
      </c>
      <c r="W63" s="1074">
        <v>10</v>
      </c>
      <c r="X63" s="1074">
        <v>11</v>
      </c>
      <c r="Y63" s="1074">
        <v>12</v>
      </c>
      <c r="Z63" s="1074">
        <v>13</v>
      </c>
      <c r="AA63" s="1067">
        <v>1</v>
      </c>
      <c r="AB63" s="1074">
        <v>2</v>
      </c>
      <c r="AC63" s="1074">
        <v>3</v>
      </c>
      <c r="AD63" s="1074">
        <v>4</v>
      </c>
      <c r="AE63" s="1074">
        <v>5</v>
      </c>
      <c r="AF63" s="1074">
        <v>6</v>
      </c>
      <c r="AG63" s="1074">
        <v>7</v>
      </c>
      <c r="AH63" s="1074">
        <v>8</v>
      </c>
      <c r="AI63" s="1074">
        <v>9</v>
      </c>
      <c r="AJ63" s="128">
        <f>SUM(D64:AI64)</f>
        <v>14</v>
      </c>
      <c r="AK63" s="1011">
        <f>3.87+4.01</f>
        <v>7.88</v>
      </c>
      <c r="AL63" s="120"/>
      <c r="AM63" s="725"/>
      <c r="AN63" s="725"/>
      <c r="AO63" s="714" t="str">
        <f>IF(COUNT(AM63,AN63)&lt;2, "0", AN63 - AM63 + 1)</f>
        <v>0</v>
      </c>
      <c r="AP63" s="715">
        <f>IFERROR((AK63+AL63)/AO63,0)</f>
        <v>0</v>
      </c>
      <c r="AQ63" s="1013">
        <f>8.59+3.01+2.57</f>
        <v>14.17</v>
      </c>
      <c r="AR63" s="1013"/>
      <c r="AS63" s="726"/>
      <c r="AT63" s="726"/>
      <c r="AU63" s="716" t="str">
        <f>IF(COUNT(AS63,AT63)&lt;2, "0", AT63 - AS63 )</f>
        <v>0</v>
      </c>
      <c r="AV63" s="717">
        <f>IFERROR((AQ63+AR63)/AU63,0)</f>
        <v>0</v>
      </c>
      <c r="AW63" s="1017"/>
      <c r="AX63" s="115"/>
      <c r="AY63" s="727"/>
      <c r="AZ63" s="727"/>
      <c r="BA63" s="718" t="str">
        <f>IF(COUNT(AY63,AZ63)&lt;2, "0", AZ63 - AY63 )</f>
        <v>0</v>
      </c>
      <c r="BB63" s="719">
        <f>IFERROR((AW63+AX63)/BA63,0)</f>
        <v>0</v>
      </c>
      <c r="BC63" s="728"/>
      <c r="BD63" s="117"/>
      <c r="BE63" s="982">
        <f>AK63+AQ63+AW63+BC63</f>
        <v>22.05</v>
      </c>
      <c r="BF63" s="982">
        <f>AL63+AR63+AX63+BD63</f>
        <v>0</v>
      </c>
      <c r="BG63" s="984" t="s">
        <v>7</v>
      </c>
    </row>
    <row r="64" spans="1:59" ht="24" customHeight="1" x14ac:dyDescent="0.35">
      <c r="A64" s="1006"/>
      <c r="B64" s="1020"/>
      <c r="C64" s="1010"/>
      <c r="D64" s="1062"/>
      <c r="E64" s="1073"/>
      <c r="F64" s="1073"/>
      <c r="G64" s="1073"/>
      <c r="H64" s="1073"/>
      <c r="I64" s="1073"/>
      <c r="J64" s="1073"/>
      <c r="K64" s="1073"/>
      <c r="L64" s="1073"/>
      <c r="M64" s="1073"/>
      <c r="N64" s="1073">
        <v>7</v>
      </c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>
        <v>7</v>
      </c>
      <c r="AB64" s="1073"/>
      <c r="AC64" s="1073"/>
      <c r="AD64" s="1073"/>
      <c r="AE64" s="1073"/>
      <c r="AF64" s="1073"/>
      <c r="AG64" s="1073"/>
      <c r="AH64" s="1073"/>
      <c r="AI64" s="1073"/>
      <c r="AJ64" s="129"/>
      <c r="AK64" s="1012"/>
      <c r="AL64" s="121"/>
      <c r="AM64" s="722"/>
      <c r="AN64" s="722"/>
      <c r="AO64" s="714"/>
      <c r="AP64" s="715"/>
      <c r="AQ64" s="1014"/>
      <c r="AR64" s="1014"/>
      <c r="AS64" s="703"/>
      <c r="AT64" s="703"/>
      <c r="AU64" s="716"/>
      <c r="AV64" s="717"/>
      <c r="AW64" s="1018"/>
      <c r="AX64" s="116"/>
      <c r="AY64" s="723"/>
      <c r="AZ64" s="723"/>
      <c r="BA64" s="718"/>
      <c r="BB64" s="719"/>
      <c r="BC64" s="728"/>
      <c r="BD64" s="95"/>
      <c r="BE64" s="990"/>
      <c r="BF64" s="990"/>
      <c r="BG64" s="985"/>
    </row>
    <row r="65" spans="1:59" ht="24" customHeight="1" x14ac:dyDescent="0.35">
      <c r="A65" s="1007" t="s">
        <v>218</v>
      </c>
      <c r="B65" s="1001">
        <v>2010</v>
      </c>
      <c r="C65" s="1001">
        <v>2</v>
      </c>
      <c r="D65" s="1061">
        <v>60.4</v>
      </c>
      <c r="E65" s="1078">
        <v>19</v>
      </c>
      <c r="F65" s="1066">
        <v>1</v>
      </c>
      <c r="G65" s="1074">
        <v>2</v>
      </c>
      <c r="H65" s="1074">
        <v>3</v>
      </c>
      <c r="I65" s="1074">
        <v>4</v>
      </c>
      <c r="J65" s="1074">
        <v>5</v>
      </c>
      <c r="K65" s="1074">
        <v>6</v>
      </c>
      <c r="L65" s="1074">
        <v>7</v>
      </c>
      <c r="M65" s="1074">
        <v>8</v>
      </c>
      <c r="N65" s="1074">
        <v>9</v>
      </c>
      <c r="O65" s="1074">
        <v>10</v>
      </c>
      <c r="P65" s="1074">
        <v>11</v>
      </c>
      <c r="Q65" s="1067">
        <v>1</v>
      </c>
      <c r="R65" s="1067">
        <v>2</v>
      </c>
      <c r="S65" s="1067">
        <v>3</v>
      </c>
      <c r="T65" s="1074">
        <v>4</v>
      </c>
      <c r="U65" s="1067">
        <v>5</v>
      </c>
      <c r="V65" s="1067">
        <v>6</v>
      </c>
      <c r="W65" s="1067">
        <v>7</v>
      </c>
      <c r="X65" s="1067">
        <v>8</v>
      </c>
      <c r="Y65" s="1067">
        <v>9</v>
      </c>
      <c r="Z65" s="1067">
        <v>10</v>
      </c>
      <c r="AA65" s="1067">
        <v>11</v>
      </c>
      <c r="AB65" s="1074">
        <v>12</v>
      </c>
      <c r="AC65" s="1074">
        <v>13</v>
      </c>
      <c r="AD65" s="1067">
        <v>14</v>
      </c>
      <c r="AE65" s="1067">
        <v>15</v>
      </c>
      <c r="AF65" s="1067">
        <v>16</v>
      </c>
      <c r="AG65" s="1067">
        <v>17</v>
      </c>
      <c r="AH65" s="1067">
        <v>18</v>
      </c>
      <c r="AI65" s="1067">
        <v>19</v>
      </c>
      <c r="AJ65" s="128">
        <f>SUM(D66:AI66)</f>
        <v>102</v>
      </c>
      <c r="AK65" s="1011">
        <f>2.24</f>
        <v>2.2400000000000002</v>
      </c>
      <c r="AL65" s="120"/>
      <c r="AM65" s="725"/>
      <c r="AN65" s="725"/>
      <c r="AO65" s="714" t="str">
        <f>IF(COUNT(AM65,AN65)&lt;2, "0", AN65 - AM65 + 1)</f>
        <v>0</v>
      </c>
      <c r="AP65" s="715">
        <f>IFERROR((AK65+AL65)/AO65,0)</f>
        <v>0</v>
      </c>
      <c r="AQ65" s="1013"/>
      <c r="AR65" s="1013"/>
      <c r="AS65" s="726"/>
      <c r="AT65" s="726"/>
      <c r="AU65" s="716" t="str">
        <f>IF(COUNT(AS65,AT65)&lt;2, "0", AT65 - AS65 )</f>
        <v>0</v>
      </c>
      <c r="AV65" s="717">
        <f>IFERROR((AQ65+AR65)/AU65,0)</f>
        <v>0</v>
      </c>
      <c r="AW65" s="1019"/>
      <c r="AX65" s="115"/>
      <c r="AY65" s="727"/>
      <c r="AZ65" s="727"/>
      <c r="BA65" s="718" t="str">
        <f>IF(COUNT(AY65,AZ65)&lt;2, "0", AZ65 - AY65 )</f>
        <v>0</v>
      </c>
      <c r="BB65" s="719">
        <f>IFERROR((AW65+AX65)/BA65,0)</f>
        <v>0</v>
      </c>
      <c r="BC65" s="117"/>
      <c r="BD65" s="117"/>
      <c r="BE65" s="982">
        <f>AK65+AQ65+AW65+BC65</f>
        <v>2.2400000000000002</v>
      </c>
      <c r="BF65" s="982">
        <f>AL65+AR65+AX65+BD65</f>
        <v>0</v>
      </c>
      <c r="BG65" s="984">
        <v>30</v>
      </c>
    </row>
    <row r="66" spans="1:59" ht="24" customHeight="1" x14ac:dyDescent="0.35">
      <c r="A66" s="1005"/>
      <c r="B66" s="1004"/>
      <c r="C66" s="1002"/>
      <c r="D66" s="1062"/>
      <c r="E66" s="1073"/>
      <c r="F66" s="1073">
        <v>4</v>
      </c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3">
        <v>6</v>
      </c>
      <c r="R66" s="1073">
        <v>5</v>
      </c>
      <c r="S66" s="1073">
        <v>6</v>
      </c>
      <c r="T66" s="1073"/>
      <c r="U66" s="1073">
        <v>6</v>
      </c>
      <c r="V66" s="1073">
        <v>5</v>
      </c>
      <c r="W66" s="1073">
        <v>6</v>
      </c>
      <c r="X66" s="1073">
        <v>4</v>
      </c>
      <c r="Y66" s="1073">
        <v>5</v>
      </c>
      <c r="Z66" s="1073">
        <v>7</v>
      </c>
      <c r="AA66" s="1073">
        <v>5</v>
      </c>
      <c r="AB66" s="1073">
        <v>4</v>
      </c>
      <c r="AC66" s="1073"/>
      <c r="AD66" s="1073">
        <v>7</v>
      </c>
      <c r="AE66" s="1073">
        <v>7</v>
      </c>
      <c r="AF66" s="1073">
        <v>6</v>
      </c>
      <c r="AG66" s="1073">
        <v>6</v>
      </c>
      <c r="AH66" s="1073">
        <v>6</v>
      </c>
      <c r="AI66" s="1073">
        <v>7</v>
      </c>
      <c r="AJ66" s="129"/>
      <c r="AK66" s="1012"/>
      <c r="AL66" s="121"/>
      <c r="AM66" s="722"/>
      <c r="AN66" s="722"/>
      <c r="AO66" s="714"/>
      <c r="AP66" s="715"/>
      <c r="AQ66" s="1014"/>
      <c r="AR66" s="1014"/>
      <c r="AS66" s="703"/>
      <c r="AT66" s="703"/>
      <c r="AU66" s="716"/>
      <c r="AV66" s="717"/>
      <c r="AW66" s="1019"/>
      <c r="AX66" s="116"/>
      <c r="AY66" s="723"/>
      <c r="AZ66" s="723"/>
      <c r="BA66" s="718"/>
      <c r="BB66" s="719"/>
      <c r="BC66" s="95"/>
      <c r="BD66" s="95"/>
      <c r="BE66" s="990"/>
      <c r="BF66" s="990"/>
      <c r="BG66" s="985"/>
    </row>
    <row r="67" spans="1:59" ht="24" customHeight="1" x14ac:dyDescent="0.35">
      <c r="A67" s="1005"/>
      <c r="B67" s="1001">
        <v>2010</v>
      </c>
      <c r="C67" s="1001">
        <v>11</v>
      </c>
      <c r="D67" s="1061">
        <v>44.5</v>
      </c>
      <c r="E67" s="1074">
        <v>34</v>
      </c>
      <c r="F67" s="1074">
        <v>35</v>
      </c>
      <c r="G67" s="1074">
        <v>36</v>
      </c>
      <c r="H67" s="1066">
        <v>1</v>
      </c>
      <c r="I67" s="1066">
        <v>2</v>
      </c>
      <c r="J67" s="1066">
        <v>3</v>
      </c>
      <c r="K67" s="1066">
        <v>4</v>
      </c>
      <c r="L67" s="1066">
        <v>5</v>
      </c>
      <c r="M67" s="1066">
        <v>6</v>
      </c>
      <c r="N67" s="1066">
        <v>7</v>
      </c>
      <c r="O67" s="1066">
        <v>8</v>
      </c>
      <c r="P67" s="1066">
        <v>9</v>
      </c>
      <c r="Q67" s="1074">
        <v>10</v>
      </c>
      <c r="R67" s="1074">
        <v>11</v>
      </c>
      <c r="S67" s="1074">
        <v>12</v>
      </c>
      <c r="T67" s="1074">
        <v>13</v>
      </c>
      <c r="U67" s="1074">
        <v>14</v>
      </c>
      <c r="V67" s="1074">
        <v>15</v>
      </c>
      <c r="W67" s="1067">
        <v>1</v>
      </c>
      <c r="X67" s="1074">
        <v>2</v>
      </c>
      <c r="Y67" s="1074">
        <v>3</v>
      </c>
      <c r="Z67" s="1074">
        <v>4</v>
      </c>
      <c r="AA67" s="1074">
        <v>5</v>
      </c>
      <c r="AB67" s="1074">
        <v>6</v>
      </c>
      <c r="AC67" s="1074">
        <v>7</v>
      </c>
      <c r="AD67" s="1074">
        <v>8</v>
      </c>
      <c r="AE67" s="1074">
        <v>9</v>
      </c>
      <c r="AF67" s="1074">
        <v>10</v>
      </c>
      <c r="AG67" s="1074">
        <v>11</v>
      </c>
      <c r="AH67" s="1074">
        <v>12</v>
      </c>
      <c r="AI67" s="1074">
        <v>13</v>
      </c>
      <c r="AJ67" s="128">
        <f>SUM(D68:AI68)</f>
        <v>62</v>
      </c>
      <c r="AK67" s="1011">
        <f>3.33</f>
        <v>3.33</v>
      </c>
      <c r="AL67" s="120"/>
      <c r="AM67" s="725"/>
      <c r="AN67" s="725"/>
      <c r="AO67" s="714" t="str">
        <f>IF(COUNT(AM67,AN67)&lt;2, "0", AN67 - AM67 + 1)</f>
        <v>0</v>
      </c>
      <c r="AP67" s="715">
        <f>IFERROR((AK67+AL67)/AO67,0)</f>
        <v>0</v>
      </c>
      <c r="AQ67" s="1013"/>
      <c r="AR67" s="1013"/>
      <c r="AS67" s="726"/>
      <c r="AT67" s="726"/>
      <c r="AU67" s="716" t="str">
        <f>IF(COUNT(AS67,AT67)&lt;2, "0", AT67 - AS67 )</f>
        <v>0</v>
      </c>
      <c r="AV67" s="717">
        <f>IFERROR((AQ67+AR67)/AU67,0)</f>
        <v>0</v>
      </c>
      <c r="AW67" s="1019"/>
      <c r="AX67" s="115"/>
      <c r="AY67" s="727"/>
      <c r="AZ67" s="727"/>
      <c r="BA67" s="718" t="str">
        <f>IF(COUNT(AY67,AZ67)&lt;2, "0", AZ67 - AY67 )</f>
        <v>0</v>
      </c>
      <c r="BB67" s="719">
        <f>IFERROR((AW67+AX67)/BA67,0)</f>
        <v>0</v>
      </c>
      <c r="BC67" s="117"/>
      <c r="BD67" s="117"/>
      <c r="BE67" s="982">
        <f>AK67+AQ67+AW67+BC67</f>
        <v>3.33</v>
      </c>
      <c r="BF67" s="982">
        <f>AL67+AR67+AX67+BD67</f>
        <v>0</v>
      </c>
      <c r="BG67" s="984">
        <v>31</v>
      </c>
    </row>
    <row r="68" spans="1:59" ht="24" customHeight="1" x14ac:dyDescent="0.35">
      <c r="A68" s="1005"/>
      <c r="B68" s="1002"/>
      <c r="C68" s="1002"/>
      <c r="D68" s="1062"/>
      <c r="E68" s="1073"/>
      <c r="F68" s="1073"/>
      <c r="G68" s="1073"/>
      <c r="H68" s="1073">
        <v>2</v>
      </c>
      <c r="I68" s="1073">
        <v>3</v>
      </c>
      <c r="J68" s="1073">
        <v>6</v>
      </c>
      <c r="K68" s="1073">
        <v>5</v>
      </c>
      <c r="L68" s="1073">
        <v>5</v>
      </c>
      <c r="M68" s="1073">
        <v>6</v>
      </c>
      <c r="N68" s="1073">
        <v>6</v>
      </c>
      <c r="O68" s="1073">
        <v>6</v>
      </c>
      <c r="P68" s="1073">
        <v>6</v>
      </c>
      <c r="Q68" s="1073"/>
      <c r="R68" s="1073"/>
      <c r="S68" s="1073"/>
      <c r="T68" s="1073"/>
      <c r="U68" s="1073"/>
      <c r="V68" s="1073"/>
      <c r="W68" s="1073">
        <v>17</v>
      </c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73"/>
      <c r="AJ68" s="129"/>
      <c r="AK68" s="1012"/>
      <c r="AL68" s="121"/>
      <c r="AM68" s="722"/>
      <c r="AN68" s="722"/>
      <c r="AO68" s="714"/>
      <c r="AP68" s="715"/>
      <c r="AQ68" s="1014"/>
      <c r="AR68" s="1014"/>
      <c r="AS68" s="703"/>
      <c r="AT68" s="703"/>
      <c r="AU68" s="716"/>
      <c r="AV68" s="717"/>
      <c r="AW68" s="1019"/>
      <c r="AX68" s="116"/>
      <c r="AY68" s="723"/>
      <c r="AZ68" s="723"/>
      <c r="BA68" s="718"/>
      <c r="BB68" s="719"/>
      <c r="BC68" s="95"/>
      <c r="BD68" s="95"/>
      <c r="BE68" s="990"/>
      <c r="BF68" s="990"/>
      <c r="BG68" s="985"/>
    </row>
    <row r="69" spans="1:59" ht="24" customHeight="1" x14ac:dyDescent="0.35">
      <c r="A69" s="1005"/>
      <c r="B69" s="1001">
        <v>2015</v>
      </c>
      <c r="C69" s="1001">
        <v>29</v>
      </c>
      <c r="D69" s="1064">
        <v>11.38</v>
      </c>
      <c r="E69" s="1075">
        <v>10</v>
      </c>
      <c r="F69" s="1075">
        <v>11</v>
      </c>
      <c r="G69" s="1075">
        <v>12</v>
      </c>
      <c r="H69" s="1075">
        <v>13</v>
      </c>
      <c r="I69" s="1075">
        <v>14</v>
      </c>
      <c r="J69" s="1075">
        <v>15</v>
      </c>
      <c r="K69" s="1075">
        <v>16</v>
      </c>
      <c r="L69" s="1075">
        <v>17</v>
      </c>
      <c r="M69" s="1075">
        <v>18</v>
      </c>
      <c r="N69" s="1075">
        <v>19</v>
      </c>
      <c r="O69" s="1079">
        <v>1</v>
      </c>
      <c r="P69" s="1075">
        <v>2</v>
      </c>
      <c r="Q69" s="1075">
        <v>3</v>
      </c>
      <c r="R69" s="1075">
        <v>4</v>
      </c>
      <c r="S69" s="1075">
        <v>5</v>
      </c>
      <c r="T69" s="1075">
        <v>6</v>
      </c>
      <c r="U69" s="1075">
        <v>7</v>
      </c>
      <c r="V69" s="1075">
        <v>8</v>
      </c>
      <c r="W69" s="1075">
        <v>9</v>
      </c>
      <c r="X69" s="1075">
        <v>10</v>
      </c>
      <c r="Y69" s="1075">
        <v>11</v>
      </c>
      <c r="Z69" s="1075">
        <v>12</v>
      </c>
      <c r="AA69" s="1075">
        <v>13</v>
      </c>
      <c r="AB69" s="1075">
        <v>14</v>
      </c>
      <c r="AC69" s="1075">
        <v>15</v>
      </c>
      <c r="AD69" s="1075">
        <v>16</v>
      </c>
      <c r="AE69" s="1075">
        <v>17</v>
      </c>
      <c r="AF69" s="1080">
        <v>1</v>
      </c>
      <c r="AG69" s="1075">
        <v>2</v>
      </c>
      <c r="AH69" s="1075">
        <v>3</v>
      </c>
      <c r="AI69" s="1075">
        <v>4</v>
      </c>
      <c r="AJ69" s="128">
        <f>SUM(D70:AI70)</f>
        <v>19</v>
      </c>
      <c r="AK69" s="1011">
        <f>1.3</f>
        <v>1.3</v>
      </c>
      <c r="AL69" s="120"/>
      <c r="AM69" s="725"/>
      <c r="AN69" s="725"/>
      <c r="AO69" s="714" t="str">
        <f>IF(COUNT(AM69,AN69)&lt;2, "0", AN69 - AM69 + 1)</f>
        <v>0</v>
      </c>
      <c r="AP69" s="715">
        <f>IFERROR((AK69+AL69)/AO69,0)</f>
        <v>0</v>
      </c>
      <c r="AQ69" s="1013">
        <f>1.4</f>
        <v>1.4</v>
      </c>
      <c r="AR69" s="1013"/>
      <c r="AS69" s="726"/>
      <c r="AT69" s="726"/>
      <c r="AU69" s="716" t="str">
        <f>IF(COUNT(AS69,AT69)&lt;2, "0", AT69 - AS69 )</f>
        <v>0</v>
      </c>
      <c r="AV69" s="717">
        <f>IFERROR((AQ69+AR69)/AU69,0)</f>
        <v>0</v>
      </c>
      <c r="AW69" s="1017"/>
      <c r="AX69" s="115"/>
      <c r="AY69" s="727"/>
      <c r="AZ69" s="727"/>
      <c r="BA69" s="718" t="str">
        <f>IF(COUNT(AY69,AZ69)&lt;2, "0", AZ69 - AY69 )</f>
        <v>0</v>
      </c>
      <c r="BB69" s="719">
        <f>IFERROR((AW69+AX69)/BA69,0)</f>
        <v>0</v>
      </c>
      <c r="BC69" s="457"/>
      <c r="BD69" s="117"/>
      <c r="BE69" s="982">
        <f>AK69+AQ69+AW69+BC69</f>
        <v>2.7</v>
      </c>
      <c r="BF69" s="982">
        <f>AL69+AR69+AX69+BD69</f>
        <v>0</v>
      </c>
      <c r="BG69" s="984">
        <v>29</v>
      </c>
    </row>
    <row r="70" spans="1:59" ht="24" customHeight="1" x14ac:dyDescent="0.35">
      <c r="A70" s="1005"/>
      <c r="B70" s="1002"/>
      <c r="C70" s="1002"/>
      <c r="D70" s="1064"/>
      <c r="E70" s="1076"/>
      <c r="F70" s="1076"/>
      <c r="G70" s="1076"/>
      <c r="H70" s="1076"/>
      <c r="I70" s="1076"/>
      <c r="J70" s="1076"/>
      <c r="K70" s="1076"/>
      <c r="L70" s="1076"/>
      <c r="M70" s="1076"/>
      <c r="N70" s="1076"/>
      <c r="O70" s="1076">
        <v>7</v>
      </c>
      <c r="P70" s="1076"/>
      <c r="Q70" s="1076"/>
      <c r="R70" s="1076"/>
      <c r="S70" s="1076"/>
      <c r="T70" s="1076"/>
      <c r="U70" s="1076"/>
      <c r="V70" s="1076"/>
      <c r="W70" s="1076"/>
      <c r="X70" s="1076"/>
      <c r="Y70" s="1076"/>
      <c r="Z70" s="1076"/>
      <c r="AA70" s="1076"/>
      <c r="AB70" s="1076"/>
      <c r="AC70" s="1076"/>
      <c r="AD70" s="1076"/>
      <c r="AE70" s="1076"/>
      <c r="AF70" s="1076">
        <v>12</v>
      </c>
      <c r="AG70" s="1076"/>
      <c r="AH70" s="1076"/>
      <c r="AI70" s="1076"/>
      <c r="AJ70" s="129"/>
      <c r="AK70" s="1012"/>
      <c r="AL70" s="121"/>
      <c r="AM70" s="722"/>
      <c r="AN70" s="722"/>
      <c r="AO70" s="714"/>
      <c r="AP70" s="715"/>
      <c r="AQ70" s="1014"/>
      <c r="AR70" s="1014"/>
      <c r="AS70" s="703"/>
      <c r="AT70" s="703"/>
      <c r="AU70" s="716"/>
      <c r="AV70" s="717"/>
      <c r="AW70" s="1018"/>
      <c r="AX70" s="116"/>
      <c r="AY70" s="723"/>
      <c r="AZ70" s="723"/>
      <c r="BA70" s="718"/>
      <c r="BB70" s="719"/>
      <c r="BC70" s="457"/>
      <c r="BD70" s="95"/>
      <c r="BE70" s="990"/>
      <c r="BF70" s="990"/>
      <c r="BG70" s="985"/>
    </row>
    <row r="71" spans="1:59" ht="24" customHeight="1" x14ac:dyDescent="0.35">
      <c r="A71" s="1070"/>
      <c r="B71" s="1001">
        <v>2014</v>
      </c>
      <c r="C71" s="1001">
        <v>105</v>
      </c>
      <c r="D71" s="1001"/>
      <c r="E71" s="1075">
        <v>557</v>
      </c>
      <c r="F71" s="1075">
        <v>558</v>
      </c>
      <c r="G71" s="1075">
        <v>559</v>
      </c>
      <c r="H71" s="1075">
        <v>560</v>
      </c>
      <c r="I71" s="1075">
        <v>561</v>
      </c>
      <c r="J71" s="1075">
        <v>562</v>
      </c>
      <c r="K71" s="1075">
        <v>563</v>
      </c>
      <c r="L71" s="1075">
        <v>564</v>
      </c>
      <c r="M71" s="1075">
        <v>565</v>
      </c>
      <c r="N71" s="1075">
        <v>566</v>
      </c>
      <c r="O71" s="1075">
        <v>567</v>
      </c>
      <c r="P71" s="1075">
        <v>568</v>
      </c>
      <c r="Q71" s="1075">
        <v>569</v>
      </c>
      <c r="R71" s="1075">
        <v>570</v>
      </c>
      <c r="S71" s="1075">
        <v>571</v>
      </c>
      <c r="T71" s="1075">
        <v>572</v>
      </c>
      <c r="U71" s="1075">
        <v>573</v>
      </c>
      <c r="V71" s="1075">
        <v>574</v>
      </c>
      <c r="W71" s="1075">
        <v>575</v>
      </c>
      <c r="X71" s="1075">
        <v>576</v>
      </c>
      <c r="Y71" s="1075">
        <v>577</v>
      </c>
      <c r="Z71" s="1075">
        <v>578</v>
      </c>
      <c r="AA71" s="1075">
        <v>579</v>
      </c>
      <c r="AB71" s="1075">
        <v>580</v>
      </c>
      <c r="AC71" s="1075">
        <v>581</v>
      </c>
      <c r="AD71" s="1075">
        <v>582</v>
      </c>
      <c r="AE71" s="1075">
        <v>583</v>
      </c>
      <c r="AF71" s="1075">
        <v>584</v>
      </c>
      <c r="AG71" s="1075">
        <v>585</v>
      </c>
      <c r="AH71" s="1075">
        <v>586</v>
      </c>
      <c r="AI71" s="1075">
        <v>587</v>
      </c>
      <c r="AJ71" s="128">
        <f>SUM(D72:AI72)</f>
        <v>0</v>
      </c>
      <c r="AK71" s="1011"/>
      <c r="AL71" s="120"/>
      <c r="AM71" s="720"/>
      <c r="AN71" s="695"/>
      <c r="AO71" s="695"/>
      <c r="AP71" s="534"/>
      <c r="AQ71" s="1013"/>
      <c r="AR71" s="1013"/>
      <c r="AS71" s="701"/>
      <c r="AT71" s="704"/>
      <c r="AU71" s="704"/>
      <c r="AV71" s="536"/>
      <c r="AW71" s="1019"/>
      <c r="AX71" s="115"/>
      <c r="AY71" s="721"/>
      <c r="AZ71" s="729"/>
      <c r="BA71" s="729"/>
      <c r="BB71" s="463"/>
      <c r="BC71" s="117"/>
      <c r="BD71" s="117"/>
      <c r="BE71" s="982">
        <f>AK71+AQ71+AW71+BC71</f>
        <v>0</v>
      </c>
      <c r="BF71" s="982">
        <f>AL71+AR71+AX71+BD71</f>
        <v>0</v>
      </c>
      <c r="BG71" s="984">
        <v>105</v>
      </c>
    </row>
    <row r="72" spans="1:59" ht="24" customHeight="1" x14ac:dyDescent="0.35">
      <c r="A72" s="1072"/>
      <c r="B72" s="1002"/>
      <c r="C72" s="1002"/>
      <c r="D72" s="1002"/>
      <c r="E72" s="1073"/>
      <c r="F72" s="1073"/>
      <c r="G72" s="1073"/>
      <c r="H72" s="1073"/>
      <c r="I72" s="1073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73"/>
      <c r="AJ72" s="129"/>
      <c r="AK72" s="1012"/>
      <c r="AL72" s="121"/>
      <c r="AM72" s="722"/>
      <c r="AN72" s="696"/>
      <c r="AO72" s="696"/>
      <c r="AP72" s="535"/>
      <c r="AQ72" s="1014"/>
      <c r="AR72" s="1014"/>
      <c r="AS72" s="703"/>
      <c r="AT72" s="705"/>
      <c r="AU72" s="705"/>
      <c r="AV72" s="537"/>
      <c r="AW72" s="1019"/>
      <c r="AX72" s="116"/>
      <c r="AY72" s="723"/>
      <c r="AZ72" s="730"/>
      <c r="BA72" s="730"/>
      <c r="BB72" s="464"/>
      <c r="BC72" s="95"/>
      <c r="BD72" s="95"/>
      <c r="BE72" s="990"/>
      <c r="BF72" s="990"/>
      <c r="BG72" s="985"/>
    </row>
    <row r="73" spans="1:59" ht="24" customHeight="1" x14ac:dyDescent="0.35">
      <c r="A73" s="1072"/>
      <c r="B73" s="1001">
        <v>2008</v>
      </c>
      <c r="C73" s="1001">
        <v>114</v>
      </c>
      <c r="D73" s="1064"/>
      <c r="E73" s="1075">
        <v>557</v>
      </c>
      <c r="F73" s="1075">
        <v>558</v>
      </c>
      <c r="G73" s="1075">
        <v>559</v>
      </c>
      <c r="H73" s="1075">
        <v>560</v>
      </c>
      <c r="I73" s="1075">
        <v>561</v>
      </c>
      <c r="J73" s="1075">
        <v>562</v>
      </c>
      <c r="K73" s="1075">
        <v>563</v>
      </c>
      <c r="L73" s="1075">
        <v>564</v>
      </c>
      <c r="M73" s="1075">
        <v>565</v>
      </c>
      <c r="N73" s="1075">
        <v>566</v>
      </c>
      <c r="O73" s="1075">
        <v>567</v>
      </c>
      <c r="P73" s="1075">
        <v>568</v>
      </c>
      <c r="Q73" s="1075">
        <v>569</v>
      </c>
      <c r="R73" s="1075">
        <v>570</v>
      </c>
      <c r="S73" s="1075">
        <v>571</v>
      </c>
      <c r="T73" s="1075">
        <v>572</v>
      </c>
      <c r="U73" s="1075">
        <v>573</v>
      </c>
      <c r="V73" s="1075">
        <v>574</v>
      </c>
      <c r="W73" s="1075">
        <v>575</v>
      </c>
      <c r="X73" s="1075">
        <v>576</v>
      </c>
      <c r="Y73" s="1075">
        <v>577</v>
      </c>
      <c r="Z73" s="1075">
        <v>578</v>
      </c>
      <c r="AA73" s="1075">
        <v>579</v>
      </c>
      <c r="AB73" s="1075">
        <v>580</v>
      </c>
      <c r="AC73" s="1075">
        <v>581</v>
      </c>
      <c r="AD73" s="1075">
        <v>582</v>
      </c>
      <c r="AE73" s="1075">
        <v>583</v>
      </c>
      <c r="AF73" s="1075">
        <v>584</v>
      </c>
      <c r="AG73" s="1075">
        <v>585</v>
      </c>
      <c r="AH73" s="1075">
        <v>586</v>
      </c>
      <c r="AI73" s="1075">
        <v>587</v>
      </c>
      <c r="AJ73" s="128">
        <f>SUM(D74:AI74)</f>
        <v>0</v>
      </c>
      <c r="AK73" s="1011"/>
      <c r="AL73" s="120"/>
      <c r="AM73" s="720"/>
      <c r="AN73" s="695"/>
      <c r="AO73" s="695"/>
      <c r="AP73" s="534"/>
      <c r="AQ73" s="1013"/>
      <c r="AR73" s="1013"/>
      <c r="AS73" s="701"/>
      <c r="AT73" s="704"/>
      <c r="AU73" s="704"/>
      <c r="AV73" s="536"/>
      <c r="AW73" s="1019"/>
      <c r="AX73" s="115"/>
      <c r="AY73" s="721"/>
      <c r="AZ73" s="729"/>
      <c r="BA73" s="729"/>
      <c r="BB73" s="463"/>
      <c r="BC73" s="117"/>
      <c r="BD73" s="117"/>
      <c r="BE73" s="982">
        <f>AK73+AQ73+AW73+BC73</f>
        <v>0</v>
      </c>
      <c r="BF73" s="982">
        <f>AL73+AR73+AX73+BD73</f>
        <v>0</v>
      </c>
      <c r="BG73" s="984">
        <v>114</v>
      </c>
    </row>
    <row r="74" spans="1:59" ht="24" customHeight="1" thickBot="1" x14ac:dyDescent="0.4">
      <c r="A74" s="1071"/>
      <c r="B74" s="1002"/>
      <c r="C74" s="1002"/>
      <c r="D74" s="1062"/>
      <c r="E74" s="1069"/>
      <c r="F74" s="1069"/>
      <c r="G74" s="1069"/>
      <c r="H74" s="1069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9"/>
      <c r="AC74" s="1069"/>
      <c r="AD74" s="1069"/>
      <c r="AE74" s="1069"/>
      <c r="AF74" s="1069"/>
      <c r="AG74" s="1069"/>
      <c r="AH74" s="1069"/>
      <c r="AI74" s="1069"/>
      <c r="AJ74" s="129"/>
      <c r="AK74" s="1012"/>
      <c r="AL74" s="121"/>
      <c r="AM74" s="722"/>
      <c r="AN74" s="696"/>
      <c r="AO74" s="696"/>
      <c r="AP74" s="535"/>
      <c r="AQ74" s="1014"/>
      <c r="AR74" s="1014"/>
      <c r="AS74" s="703"/>
      <c r="AT74" s="705"/>
      <c r="AU74" s="705"/>
      <c r="AV74" s="537"/>
      <c r="AW74" s="1019"/>
      <c r="AX74" s="116"/>
      <c r="AY74" s="723"/>
      <c r="AZ74" s="730"/>
      <c r="BA74" s="730"/>
      <c r="BB74" s="464"/>
      <c r="BC74" s="95"/>
      <c r="BD74" s="95"/>
      <c r="BE74" s="983"/>
      <c r="BF74" s="983"/>
      <c r="BG74" s="985"/>
    </row>
    <row r="75" spans="1:59" ht="21" customHeight="1" x14ac:dyDescent="0.35">
      <c r="A75" s="1060" t="s">
        <v>92</v>
      </c>
      <c r="B75" s="1003"/>
      <c r="C75" s="1003"/>
      <c r="D75" s="1003"/>
      <c r="E75" s="1065">
        <f>E6+E8+E10+E12+E14+E16+E18+E20+E22+E24+E26+E28+E30+E32+E34+E36+E38+E40+E42+E44+E46+E48+E50+E52+E54+E56+E58+E60+E62+E68+E64+E66+E70+E72+E74</f>
        <v>0</v>
      </c>
      <c r="F75" s="1065">
        <f t="shared" ref="F75:AI75" si="0">F6+F8+F10+F12+F14+F16+F18+F20+F22+F24+F26+F28+F30+F32+F34+F36+F38+F40+F42+F44+F46+F48+F50+F52+F54+F56+F58+F60+F62+F68+F64+F66+F70+F72+F74</f>
        <v>21</v>
      </c>
      <c r="G75" s="1065">
        <f t="shared" si="0"/>
        <v>23</v>
      </c>
      <c r="H75" s="1065">
        <f t="shared" si="0"/>
        <v>50</v>
      </c>
      <c r="I75" s="1065">
        <f t="shared" si="0"/>
        <v>51</v>
      </c>
      <c r="J75" s="1065">
        <f t="shared" si="0"/>
        <v>60</v>
      </c>
      <c r="K75" s="1065">
        <f t="shared" si="0"/>
        <v>53</v>
      </c>
      <c r="L75" s="1065">
        <f t="shared" si="0"/>
        <v>54</v>
      </c>
      <c r="M75" s="1065">
        <f t="shared" si="0"/>
        <v>56</v>
      </c>
      <c r="N75" s="1065">
        <f t="shared" si="0"/>
        <v>54</v>
      </c>
      <c r="O75" s="1065">
        <f t="shared" si="0"/>
        <v>59</v>
      </c>
      <c r="P75" s="1065">
        <f t="shared" si="0"/>
        <v>57</v>
      </c>
      <c r="Q75" s="1065">
        <f t="shared" si="0"/>
        <v>57</v>
      </c>
      <c r="R75" s="1065">
        <f t="shared" si="0"/>
        <v>57</v>
      </c>
      <c r="S75" s="1065">
        <f t="shared" si="0"/>
        <v>62</v>
      </c>
      <c r="T75" s="1065">
        <f t="shared" si="0"/>
        <v>0</v>
      </c>
      <c r="U75" s="1065">
        <f t="shared" si="0"/>
        <v>58</v>
      </c>
      <c r="V75" s="1065">
        <f t="shared" si="0"/>
        <v>57</v>
      </c>
      <c r="W75" s="1065">
        <f t="shared" si="0"/>
        <v>61</v>
      </c>
      <c r="X75" s="1065">
        <f t="shared" si="0"/>
        <v>57</v>
      </c>
      <c r="Y75" s="1065">
        <f t="shared" si="0"/>
        <v>57</v>
      </c>
      <c r="Z75" s="1065">
        <f t="shared" si="0"/>
        <v>61</v>
      </c>
      <c r="AA75" s="1065">
        <f t="shared" si="0"/>
        <v>68</v>
      </c>
      <c r="AB75" s="1065">
        <f t="shared" si="0"/>
        <v>60</v>
      </c>
      <c r="AC75" s="1065">
        <f t="shared" si="0"/>
        <v>10</v>
      </c>
      <c r="AD75" s="1065">
        <f t="shared" si="0"/>
        <v>58</v>
      </c>
      <c r="AE75" s="1065">
        <f t="shared" si="0"/>
        <v>61</v>
      </c>
      <c r="AF75" s="1065">
        <f t="shared" si="0"/>
        <v>60</v>
      </c>
      <c r="AG75" s="1065">
        <f t="shared" si="0"/>
        <v>60</v>
      </c>
      <c r="AH75" s="1065">
        <f t="shared" si="0"/>
        <v>22</v>
      </c>
      <c r="AI75" s="1065">
        <f t="shared" si="0"/>
        <v>27</v>
      </c>
      <c r="AJ75" s="118" t="s">
        <v>93</v>
      </c>
      <c r="AK75" s="120">
        <f>SUM(AK5:AK74)</f>
        <v>1065.6099999999999</v>
      </c>
      <c r="AL75" s="120"/>
      <c r="AM75" s="720"/>
      <c r="AN75" s="695"/>
      <c r="AO75" s="714">
        <f>SUM(AO5:AO74)</f>
        <v>0</v>
      </c>
      <c r="AP75" s="715" t="e">
        <f>(AK75+AL75)/AO75</f>
        <v>#DIV/0!</v>
      </c>
      <c r="AQ75" s="122">
        <f>SUM(AQ5:AQ74)</f>
        <v>795.41</v>
      </c>
      <c r="AR75" s="122"/>
      <c r="AS75" s="701"/>
      <c r="AT75" s="704"/>
      <c r="AU75" s="716">
        <f>SUM(AU5:AU74)</f>
        <v>0</v>
      </c>
      <c r="AV75" s="717" t="e">
        <f>(AQ75+AR75)/AU75</f>
        <v>#DIV/0!</v>
      </c>
      <c r="AW75" s="115">
        <f>SUM(AW5:AW74)</f>
        <v>128.41</v>
      </c>
      <c r="AX75" s="115">
        <f>SUM(AX5:AX74)</f>
        <v>0</v>
      </c>
      <c r="AY75" s="721"/>
      <c r="AZ75" s="729"/>
      <c r="BA75" s="718">
        <f>SUM(BA5:BA74)</f>
        <v>0</v>
      </c>
      <c r="BB75" s="719" t="e">
        <f>(AW75+AX75)/BA75</f>
        <v>#DIV/0!</v>
      </c>
      <c r="BC75" s="117">
        <f>SUM(BC5:BC74)</f>
        <v>0</v>
      </c>
      <c r="BD75" s="117">
        <f>SUM(BD5:BD74)</f>
        <v>0</v>
      </c>
      <c r="BE75" s="986">
        <f>BE5+BE7+BE9+BE11+BE13+BE15+BE17+BE19+BE21+BE23+BE25+BE27+BE29+BE31+BE33+BE35+BE37+BE39+BE41+BE43+BE45+BE47+BE49+BE51+BE53+BE55+BE57+BE59+BE61+BE63+BE65+BE67+BE71+BE73+BE69</f>
        <v>1989.4299999999996</v>
      </c>
      <c r="BF75" s="986">
        <f>BF5+BF7+BF9+BF11+BF13+BF15+BF17+BF19+BF21+BF23+BF25+BF27+BF29+BF31+BF33+BF35+BF37+BF39+BF41+BF43+BF45+BF47+BF49+BF51+BF53+BF55+BF57+BF59+BF61+BF63+BF65+BF67+BF69+BF71+BF73</f>
        <v>0</v>
      </c>
      <c r="BG75" s="75"/>
    </row>
    <row r="76" spans="1:59" x14ac:dyDescent="0.35">
      <c r="A76" s="1060" t="s">
        <v>94</v>
      </c>
      <c r="B76" s="1003"/>
      <c r="C76" s="1003"/>
      <c r="D76" s="1003"/>
      <c r="E76" s="1065">
        <f>E75</f>
        <v>0</v>
      </c>
      <c r="F76" s="1065">
        <f>E76+F75</f>
        <v>21</v>
      </c>
      <c r="G76" s="1065">
        <f t="shared" ref="G76:AI76" si="1">F76+G75</f>
        <v>44</v>
      </c>
      <c r="H76" s="1065">
        <f t="shared" si="1"/>
        <v>94</v>
      </c>
      <c r="I76" s="1065">
        <f t="shared" si="1"/>
        <v>145</v>
      </c>
      <c r="J76" s="1065">
        <f t="shared" si="1"/>
        <v>205</v>
      </c>
      <c r="K76" s="1065">
        <f t="shared" si="1"/>
        <v>258</v>
      </c>
      <c r="L76" s="1065">
        <f t="shared" si="1"/>
        <v>312</v>
      </c>
      <c r="M76" s="1065">
        <f t="shared" si="1"/>
        <v>368</v>
      </c>
      <c r="N76" s="1065">
        <f t="shared" si="1"/>
        <v>422</v>
      </c>
      <c r="O76" s="1065">
        <f t="shared" si="1"/>
        <v>481</v>
      </c>
      <c r="P76" s="1065">
        <f t="shared" si="1"/>
        <v>538</v>
      </c>
      <c r="Q76" s="1065">
        <f t="shared" si="1"/>
        <v>595</v>
      </c>
      <c r="R76" s="1065">
        <f t="shared" si="1"/>
        <v>652</v>
      </c>
      <c r="S76" s="1065">
        <f t="shared" si="1"/>
        <v>714</v>
      </c>
      <c r="T76" s="1065">
        <f t="shared" si="1"/>
        <v>714</v>
      </c>
      <c r="U76" s="1065">
        <f t="shared" si="1"/>
        <v>772</v>
      </c>
      <c r="V76" s="1065">
        <f t="shared" si="1"/>
        <v>829</v>
      </c>
      <c r="W76" s="1065">
        <f t="shared" si="1"/>
        <v>890</v>
      </c>
      <c r="X76" s="1065">
        <f t="shared" si="1"/>
        <v>947</v>
      </c>
      <c r="Y76" s="1065">
        <f t="shared" si="1"/>
        <v>1004</v>
      </c>
      <c r="Z76" s="1065">
        <f t="shared" si="1"/>
        <v>1065</v>
      </c>
      <c r="AA76" s="1065">
        <f t="shared" si="1"/>
        <v>1133</v>
      </c>
      <c r="AB76" s="1065">
        <f t="shared" si="1"/>
        <v>1193</v>
      </c>
      <c r="AC76" s="1065">
        <f t="shared" si="1"/>
        <v>1203</v>
      </c>
      <c r="AD76" s="1065">
        <f t="shared" si="1"/>
        <v>1261</v>
      </c>
      <c r="AE76" s="1065">
        <f t="shared" si="1"/>
        <v>1322</v>
      </c>
      <c r="AF76" s="1065">
        <f t="shared" si="1"/>
        <v>1382</v>
      </c>
      <c r="AG76" s="1065">
        <f t="shared" si="1"/>
        <v>1442</v>
      </c>
      <c r="AH76" s="1065">
        <f t="shared" si="1"/>
        <v>1464</v>
      </c>
      <c r="AI76" s="1065">
        <f t="shared" si="1"/>
        <v>1491</v>
      </c>
      <c r="AJ76" s="119"/>
      <c r="AK76" s="121"/>
      <c r="AL76" s="121"/>
      <c r="AM76" s="722"/>
      <c r="AN76" s="696"/>
      <c r="AO76" s="714"/>
      <c r="AP76" s="715"/>
      <c r="AQ76" s="123"/>
      <c r="AR76" s="123"/>
      <c r="AS76" s="703"/>
      <c r="AT76" s="705"/>
      <c r="AU76" s="716"/>
      <c r="AV76" s="717"/>
      <c r="AW76" s="116"/>
      <c r="AX76" s="116"/>
      <c r="AY76" s="723"/>
      <c r="AZ76" s="730"/>
      <c r="BA76" s="718"/>
      <c r="BB76" s="719"/>
      <c r="BC76" s="95"/>
      <c r="BD76" s="95"/>
      <c r="BE76" s="987"/>
      <c r="BF76" s="987"/>
      <c r="BG76" s="75"/>
    </row>
    <row r="77" spans="1:59" ht="28.5" customHeight="1" x14ac:dyDescent="0.35">
      <c r="A77" s="111" t="s">
        <v>95</v>
      </c>
      <c r="B77" s="112"/>
      <c r="C77" s="112"/>
      <c r="D77" s="112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113" t="s">
        <v>96</v>
      </c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988">
        <f>BE75+BF75</f>
        <v>1989.4299999999996</v>
      </c>
      <c r="BF77" s="989"/>
      <c r="BG77" s="75"/>
    </row>
    <row r="78" spans="1:59" ht="21" customHeight="1" x14ac:dyDescent="0.35">
      <c r="A78" s="76"/>
      <c r="B78" s="76"/>
      <c r="E78" s="97"/>
      <c r="P78" s="98"/>
      <c r="Q78" s="98"/>
      <c r="T78" s="99"/>
      <c r="X78" s="100"/>
      <c r="Z78" s="101"/>
      <c r="AD78" s="97"/>
      <c r="BE78" s="980"/>
      <c r="BF78" s="76"/>
      <c r="BG78" s="75"/>
    </row>
    <row r="79" spans="1:59" ht="42" customHeight="1" x14ac:dyDescent="0.35">
      <c r="A79" s="76"/>
      <c r="B79" s="76"/>
      <c r="E79" s="114" t="s">
        <v>97</v>
      </c>
      <c r="F79" s="114"/>
      <c r="G79" s="114"/>
      <c r="H79" s="114"/>
      <c r="I79" s="114"/>
      <c r="P79" s="98"/>
      <c r="Q79" s="98"/>
      <c r="T79" s="99"/>
      <c r="X79" s="100"/>
      <c r="Z79" s="102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BE79" s="981"/>
      <c r="BF79" s="76"/>
      <c r="BG79" s="75"/>
    </row>
    <row r="80" spans="1:59" ht="21" customHeight="1" x14ac:dyDescent="0.35">
      <c r="B80" s="76"/>
      <c r="E80" s="103"/>
      <c r="P80" s="98"/>
      <c r="Q80" s="98"/>
      <c r="T80" s="99"/>
      <c r="X80" s="100"/>
      <c r="Z80" s="102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BE80" s="981"/>
      <c r="BF80" s="76"/>
      <c r="BG80" s="75"/>
    </row>
    <row r="81" spans="1:59" ht="30.75" customHeight="1" x14ac:dyDescent="0.55000000000000004">
      <c r="A81" s="104"/>
      <c r="B81" s="105"/>
      <c r="C81" s="105"/>
      <c r="D81" s="105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2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BE81" s="981"/>
      <c r="BF81" s="76"/>
      <c r="BG81" s="75"/>
    </row>
    <row r="82" spans="1:59" ht="30.75" customHeight="1" x14ac:dyDescent="0.55000000000000004">
      <c r="A82" s="104"/>
      <c r="C82" s="75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2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BG82" s="75"/>
    </row>
    <row r="83" spans="1:59" ht="30.75" customHeight="1" x14ac:dyDescent="0.55000000000000004">
      <c r="A83" s="104"/>
      <c r="C83" s="75"/>
      <c r="D83" s="75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2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BG83" s="75"/>
    </row>
    <row r="84" spans="1:59" ht="30.75" customHeight="1" x14ac:dyDescent="0.55000000000000004">
      <c r="A84" s="104"/>
      <c r="C84" s="75"/>
      <c r="D84" s="75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2"/>
      <c r="AA84" s="75"/>
      <c r="AB84" s="75"/>
      <c r="AC84" s="75"/>
      <c r="AD84" s="75"/>
      <c r="AE84" s="75"/>
      <c r="AF84" s="75"/>
      <c r="AG84" s="75"/>
      <c r="AH84" s="75"/>
      <c r="AI84" s="75"/>
      <c r="AJ84" s="75"/>
    </row>
    <row r="85" spans="1:59" ht="30.75" customHeight="1" x14ac:dyDescent="0.55000000000000004">
      <c r="A85" s="104"/>
      <c r="C85" s="75"/>
      <c r="D85" s="75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2"/>
      <c r="AA85" s="75"/>
      <c r="AB85" s="75"/>
      <c r="AC85" s="75"/>
      <c r="AD85" s="75"/>
      <c r="AE85" s="75"/>
      <c r="AF85" s="75"/>
      <c r="AG85" s="75"/>
      <c r="AH85" s="75"/>
      <c r="AI85" s="75"/>
      <c r="AJ85" s="75"/>
    </row>
    <row r="86" spans="1:59" ht="30.75" customHeight="1" x14ac:dyDescent="0.55000000000000004">
      <c r="A86" s="104"/>
      <c r="C86" s="75"/>
      <c r="D86" s="75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2"/>
      <c r="AA86" s="75"/>
      <c r="AB86" s="75"/>
      <c r="AC86" s="75"/>
      <c r="AD86" s="75"/>
      <c r="AE86" s="75"/>
      <c r="AF86" s="75"/>
      <c r="AG86" s="75"/>
      <c r="AH86" s="75"/>
      <c r="AI86" s="75"/>
      <c r="AJ86" s="75"/>
    </row>
    <row r="87" spans="1:59" ht="30.75" customHeight="1" x14ac:dyDescent="0.55000000000000004">
      <c r="A87" s="104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2"/>
      <c r="AA87" s="75"/>
      <c r="AB87" s="75"/>
      <c r="AC87" s="75"/>
      <c r="AD87" s="75"/>
      <c r="AE87" s="75"/>
      <c r="AF87" s="75"/>
      <c r="AG87" s="75"/>
      <c r="AH87" s="75"/>
      <c r="AI87" s="75"/>
      <c r="AJ87" s="75"/>
    </row>
    <row r="88" spans="1:59" ht="30.75" customHeight="1" x14ac:dyDescent="0.55000000000000004">
      <c r="A88" s="104"/>
      <c r="C88" s="75"/>
      <c r="D88" s="75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2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BG88" s="75"/>
    </row>
    <row r="89" spans="1:59" ht="30.75" customHeight="1" x14ac:dyDescent="0.55000000000000004">
      <c r="A89" s="104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2"/>
      <c r="AA89" s="75"/>
      <c r="AB89" s="75"/>
      <c r="AC89" s="75"/>
      <c r="AD89" s="75"/>
      <c r="AE89" s="75"/>
      <c r="AF89" s="75"/>
      <c r="AG89" s="75"/>
      <c r="AH89" s="75"/>
      <c r="AI89" s="75"/>
      <c r="AJ89" s="75"/>
    </row>
    <row r="90" spans="1:59" ht="32.25" customHeight="1" x14ac:dyDescent="0.55000000000000004">
      <c r="A90" s="104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2"/>
      <c r="AA90" s="75"/>
      <c r="AB90" s="75"/>
      <c r="AC90" s="75"/>
      <c r="AD90" s="75"/>
      <c r="AE90" s="75"/>
      <c r="AF90" s="75"/>
      <c r="AG90" s="75"/>
      <c r="AH90" s="75"/>
      <c r="AI90" s="75"/>
      <c r="AJ90" s="75"/>
    </row>
    <row r="91" spans="1:59" ht="32.25" customHeight="1" x14ac:dyDescent="0.55000000000000004">
      <c r="A91" s="104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2"/>
      <c r="AA91" s="75"/>
      <c r="AB91" s="75"/>
      <c r="AC91" s="75"/>
      <c r="AD91" s="75"/>
      <c r="AE91" s="75"/>
      <c r="AF91" s="75"/>
      <c r="AG91" s="75"/>
      <c r="AH91" s="75"/>
      <c r="AI91" s="75"/>
      <c r="AJ91" s="75"/>
    </row>
    <row r="92" spans="1:59" ht="36" x14ac:dyDescent="0.55000000000000004">
      <c r="A92" s="104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2"/>
      <c r="AA92" s="75"/>
      <c r="AB92" s="75"/>
      <c r="AC92" s="75"/>
      <c r="AD92" s="75"/>
      <c r="AE92" s="75"/>
      <c r="AF92" s="75"/>
      <c r="AG92" s="75"/>
      <c r="AH92" s="75"/>
      <c r="AI92" s="75"/>
      <c r="AJ92" s="75"/>
    </row>
    <row r="93" spans="1:59" ht="36" x14ac:dyDescent="0.55000000000000004">
      <c r="A93" s="104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2"/>
      <c r="AA93" s="75"/>
      <c r="AB93" s="75"/>
      <c r="AC93" s="75"/>
      <c r="AD93" s="75"/>
      <c r="AE93" s="75"/>
      <c r="AF93" s="75"/>
      <c r="AG93" s="75"/>
      <c r="AH93" s="75"/>
      <c r="AI93" s="75"/>
      <c r="AJ93" s="75"/>
    </row>
    <row r="94" spans="1:59" ht="36" x14ac:dyDescent="0.55000000000000004">
      <c r="A94" s="104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2"/>
      <c r="AA94" s="75"/>
      <c r="AB94" s="75"/>
      <c r="AC94" s="75"/>
      <c r="AD94" s="75"/>
      <c r="AE94" s="75"/>
      <c r="AF94" s="75"/>
      <c r="AG94" s="75"/>
      <c r="AH94" s="75"/>
      <c r="AI94" s="75"/>
      <c r="AJ94" s="75"/>
    </row>
    <row r="95" spans="1:59" ht="36" x14ac:dyDescent="0.55000000000000004">
      <c r="A95" s="104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2"/>
      <c r="AA95" s="75"/>
      <c r="AB95" s="75"/>
      <c r="AC95" s="75"/>
      <c r="AD95" s="75"/>
      <c r="AE95" s="75"/>
      <c r="AF95" s="75"/>
      <c r="AG95" s="75"/>
      <c r="AH95" s="75"/>
      <c r="AI95" s="75"/>
      <c r="AJ95" s="75"/>
    </row>
    <row r="96" spans="1:59" x14ac:dyDescent="0.35">
      <c r="A96" s="104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2"/>
      <c r="AA96" s="75"/>
      <c r="AB96" s="75"/>
      <c r="AC96" s="75"/>
      <c r="AD96" s="75"/>
      <c r="AE96" s="75"/>
      <c r="AF96" s="75"/>
      <c r="AG96" s="75"/>
      <c r="AH96" s="75"/>
      <c r="AI96" s="75"/>
      <c r="AJ96" s="75"/>
    </row>
    <row r="97" spans="1:36" x14ac:dyDescent="0.35"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2"/>
      <c r="AA97" s="75"/>
      <c r="AB97" s="75"/>
      <c r="AC97" s="75"/>
      <c r="AD97" s="75"/>
      <c r="AE97" s="75"/>
      <c r="AF97" s="75"/>
      <c r="AG97" s="75"/>
      <c r="AH97" s="75"/>
      <c r="AI97" s="75"/>
      <c r="AJ97" s="75"/>
    </row>
    <row r="98" spans="1:36" x14ac:dyDescent="0.35"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2"/>
      <c r="AA98" s="75"/>
      <c r="AB98" s="75"/>
      <c r="AC98" s="75"/>
      <c r="AD98" s="75"/>
      <c r="AE98" s="75"/>
      <c r="AF98" s="75"/>
      <c r="AG98" s="75"/>
      <c r="AH98" s="75"/>
      <c r="AI98" s="75"/>
      <c r="AJ98" s="75"/>
    </row>
    <row r="99" spans="1:36" ht="28.5" x14ac:dyDescent="0.45">
      <c r="A99" s="109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2"/>
      <c r="AA99" s="75"/>
      <c r="AB99" s="75"/>
      <c r="AC99" s="75"/>
      <c r="AD99" s="75"/>
      <c r="AE99" s="75"/>
      <c r="AF99" s="75"/>
      <c r="AG99" s="75"/>
      <c r="AH99" s="75"/>
      <c r="AI99" s="75"/>
      <c r="AJ99" s="75"/>
    </row>
    <row r="100" spans="1:36" ht="28.5" x14ac:dyDescent="0.45">
      <c r="A100" s="109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2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</row>
    <row r="101" spans="1:36" ht="28.5" x14ac:dyDescent="0.45">
      <c r="A101" s="109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2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</row>
    <row r="102" spans="1:36" ht="28.5" x14ac:dyDescent="0.45">
      <c r="A102" s="109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2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</row>
    <row r="103" spans="1:36" ht="28.5" x14ac:dyDescent="0.45">
      <c r="A103" s="109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2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</row>
    <row r="104" spans="1:36" x14ac:dyDescent="0.35"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2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</row>
    <row r="105" spans="1:36" x14ac:dyDescent="0.35">
      <c r="E105" s="108"/>
      <c r="Z105" s="102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</row>
    <row r="106" spans="1:36" x14ac:dyDescent="0.35">
      <c r="Z106" s="102"/>
    </row>
    <row r="107" spans="1:36" x14ac:dyDescent="0.35">
      <c r="K107" s="110"/>
      <c r="L107" s="110"/>
      <c r="M107" s="110"/>
      <c r="Z107" s="102"/>
    </row>
    <row r="109" spans="1:36" x14ac:dyDescent="0.35">
      <c r="K109" s="107"/>
      <c r="L109" s="107"/>
      <c r="M109" s="107"/>
    </row>
    <row r="110" spans="1:36" x14ac:dyDescent="0.35">
      <c r="K110" s="107"/>
      <c r="L110" s="107"/>
      <c r="M110" s="107"/>
    </row>
    <row r="111" spans="1:36" x14ac:dyDescent="0.35">
      <c r="K111" s="107"/>
      <c r="L111" s="107"/>
      <c r="M111" s="107"/>
    </row>
  </sheetData>
  <mergeCells count="330">
    <mergeCell ref="A75:D75"/>
    <mergeCell ref="A76:D76"/>
    <mergeCell ref="C41:C42"/>
    <mergeCell ref="C45:C46"/>
    <mergeCell ref="B7:B8"/>
    <mergeCell ref="A23:A36"/>
    <mergeCell ref="B27:B28"/>
    <mergeCell ref="B33:B34"/>
    <mergeCell ref="B31:B32"/>
    <mergeCell ref="B23:B24"/>
    <mergeCell ref="B35:B36"/>
    <mergeCell ref="C21:C22"/>
    <mergeCell ref="C33:C34"/>
    <mergeCell ref="C23:C24"/>
    <mergeCell ref="A11:A22"/>
    <mergeCell ref="B11:B12"/>
    <mergeCell ref="C25:C26"/>
    <mergeCell ref="C27:C28"/>
    <mergeCell ref="C29:C30"/>
    <mergeCell ref="C31:C32"/>
    <mergeCell ref="B25:B26"/>
    <mergeCell ref="B29:B30"/>
    <mergeCell ref="B9:B10"/>
    <mergeCell ref="B15:B16"/>
    <mergeCell ref="B17:B18"/>
    <mergeCell ref="C7:C8"/>
    <mergeCell ref="AW63:AW64"/>
    <mergeCell ref="AW65:AW66"/>
    <mergeCell ref="AW67:AW68"/>
    <mergeCell ref="AW69:AW70"/>
    <mergeCell ref="AW71:AW72"/>
    <mergeCell ref="AW73:AW74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9:AW60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R65:AR66"/>
    <mergeCell ref="AQ67:AQ68"/>
    <mergeCell ref="AR67:AR68"/>
    <mergeCell ref="AQ69:AQ70"/>
    <mergeCell ref="AR69:AR70"/>
    <mergeCell ref="AQ71:AQ72"/>
    <mergeCell ref="AR71:AR72"/>
    <mergeCell ref="AQ73:AQ74"/>
    <mergeCell ref="AR73:AR74"/>
    <mergeCell ref="AR55:AR56"/>
    <mergeCell ref="AQ57:AQ58"/>
    <mergeCell ref="AR57:AR58"/>
    <mergeCell ref="AQ59:AQ60"/>
    <mergeCell ref="AR59:AR60"/>
    <mergeCell ref="AQ61:AQ62"/>
    <mergeCell ref="AR61:AR62"/>
    <mergeCell ref="AQ63:AQ64"/>
    <mergeCell ref="AR63:AR64"/>
    <mergeCell ref="AR45:AR46"/>
    <mergeCell ref="AQ47:AQ48"/>
    <mergeCell ref="AR47:AR48"/>
    <mergeCell ref="AQ49:AQ50"/>
    <mergeCell ref="AR49:AR50"/>
    <mergeCell ref="AQ51:AQ52"/>
    <mergeCell ref="AR51:AR52"/>
    <mergeCell ref="AQ53:AQ54"/>
    <mergeCell ref="AR53:AR54"/>
    <mergeCell ref="AR35:AR36"/>
    <mergeCell ref="AQ37:AQ38"/>
    <mergeCell ref="AR37:AR38"/>
    <mergeCell ref="AQ39:AQ40"/>
    <mergeCell ref="AR39:AR40"/>
    <mergeCell ref="AQ41:AQ42"/>
    <mergeCell ref="AR41:AR42"/>
    <mergeCell ref="AQ43:AQ44"/>
    <mergeCell ref="AR43:AR44"/>
    <mergeCell ref="AR25:AR26"/>
    <mergeCell ref="AQ27:AQ28"/>
    <mergeCell ref="AR27:AR28"/>
    <mergeCell ref="AQ29:AQ30"/>
    <mergeCell ref="AR29:AR30"/>
    <mergeCell ref="AQ31:AQ32"/>
    <mergeCell ref="AR31:AR32"/>
    <mergeCell ref="AQ33:AQ34"/>
    <mergeCell ref="AR33:AR34"/>
    <mergeCell ref="AR15:AR16"/>
    <mergeCell ref="AQ17:AQ18"/>
    <mergeCell ref="AR17:AR18"/>
    <mergeCell ref="AQ19:AQ20"/>
    <mergeCell ref="AR19:AR20"/>
    <mergeCell ref="AQ21:AQ22"/>
    <mergeCell ref="AR21:AR22"/>
    <mergeCell ref="AQ23:AQ24"/>
    <mergeCell ref="AR23:AR24"/>
    <mergeCell ref="AR5:AR6"/>
    <mergeCell ref="AQ7:AQ8"/>
    <mergeCell ref="AR7:AR8"/>
    <mergeCell ref="AQ9:AQ10"/>
    <mergeCell ref="AR9:AR10"/>
    <mergeCell ref="AQ11:AQ12"/>
    <mergeCell ref="AR11:AR12"/>
    <mergeCell ref="AQ13:AQ14"/>
    <mergeCell ref="AR13:AR14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Q5:AQ6"/>
    <mergeCell ref="AQ15:AQ16"/>
    <mergeCell ref="AQ25:AQ26"/>
    <mergeCell ref="AQ35:AQ36"/>
    <mergeCell ref="AQ45:AQ46"/>
    <mergeCell ref="AQ55:AQ56"/>
    <mergeCell ref="AQ65:AQ66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5:AK6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B73:B74"/>
    <mergeCell ref="C73:C74"/>
    <mergeCell ref="B71:B72"/>
    <mergeCell ref="C71:C72"/>
    <mergeCell ref="D71:D72"/>
    <mergeCell ref="B69:B70"/>
    <mergeCell ref="C69:C70"/>
    <mergeCell ref="A65:A70"/>
    <mergeCell ref="C65:C66"/>
    <mergeCell ref="B65:B66"/>
    <mergeCell ref="B67:B68"/>
    <mergeCell ref="C67:C68"/>
    <mergeCell ref="C63:C64"/>
    <mergeCell ref="A49:A64"/>
    <mergeCell ref="B49:B60"/>
    <mergeCell ref="B61:B62"/>
    <mergeCell ref="C51:C52"/>
    <mergeCell ref="D51:D52"/>
    <mergeCell ref="D53:D54"/>
    <mergeCell ref="C57:C58"/>
    <mergeCell ref="D57:D58"/>
    <mergeCell ref="C49:C50"/>
    <mergeCell ref="D49:D50"/>
    <mergeCell ref="D55:D56"/>
    <mergeCell ref="C55:C56"/>
    <mergeCell ref="C59:C60"/>
    <mergeCell ref="C61:C62"/>
    <mergeCell ref="C53:C54"/>
    <mergeCell ref="B63:B64"/>
    <mergeCell ref="B47:B48"/>
    <mergeCell ref="C47:C48"/>
    <mergeCell ref="B45:B46"/>
    <mergeCell ref="B41:B42"/>
    <mergeCell ref="B43:B44"/>
    <mergeCell ref="C43:C44"/>
    <mergeCell ref="A37:A48"/>
    <mergeCell ref="B39:B40"/>
    <mergeCell ref="B37:B38"/>
    <mergeCell ref="C37:C38"/>
    <mergeCell ref="C39:C40"/>
    <mergeCell ref="C35:C36"/>
    <mergeCell ref="B21:B22"/>
    <mergeCell ref="C17:C18"/>
    <mergeCell ref="B13:B14"/>
    <mergeCell ref="C13:C14"/>
    <mergeCell ref="C11:C12"/>
    <mergeCell ref="C15:C16"/>
    <mergeCell ref="B19:B20"/>
    <mergeCell ref="C19:C20"/>
    <mergeCell ref="E4:AG4"/>
    <mergeCell ref="A5:A10"/>
    <mergeCell ref="B5:B6"/>
    <mergeCell ref="C5:C6"/>
    <mergeCell ref="C9:C10"/>
    <mergeCell ref="A3:A4"/>
    <mergeCell ref="B3:B4"/>
    <mergeCell ref="BE9:BE10"/>
    <mergeCell ref="BF9:BF10"/>
    <mergeCell ref="BG9:BG10"/>
    <mergeCell ref="BE11:BE12"/>
    <mergeCell ref="BF11:BF12"/>
    <mergeCell ref="BG11:BG12"/>
    <mergeCell ref="BE3:BF3"/>
    <mergeCell ref="BE5:BE6"/>
    <mergeCell ref="BF5:BF6"/>
    <mergeCell ref="BG5:BG6"/>
    <mergeCell ref="BE7:BE8"/>
    <mergeCell ref="BF7:BF8"/>
    <mergeCell ref="BG7:BG8"/>
    <mergeCell ref="BE17:BE18"/>
    <mergeCell ref="BF17:BF18"/>
    <mergeCell ref="BG17:BG18"/>
    <mergeCell ref="BE19:BE20"/>
    <mergeCell ref="BF19:BF20"/>
    <mergeCell ref="BG19:BG20"/>
    <mergeCell ref="BE13:BE14"/>
    <mergeCell ref="BF13:BF14"/>
    <mergeCell ref="BG13:BG14"/>
    <mergeCell ref="BE15:BE16"/>
    <mergeCell ref="BF15:BF16"/>
    <mergeCell ref="BG15:BG16"/>
    <mergeCell ref="BE25:BE26"/>
    <mergeCell ref="BF25:BF26"/>
    <mergeCell ref="BG25:BG26"/>
    <mergeCell ref="BE27:BE28"/>
    <mergeCell ref="BF27:BF28"/>
    <mergeCell ref="BG27:BG28"/>
    <mergeCell ref="BE21:BE22"/>
    <mergeCell ref="BF21:BF22"/>
    <mergeCell ref="BG21:BG22"/>
    <mergeCell ref="BE23:BE24"/>
    <mergeCell ref="BF23:BF24"/>
    <mergeCell ref="BG23:BG24"/>
    <mergeCell ref="BE33:BE34"/>
    <mergeCell ref="BF33:BF34"/>
    <mergeCell ref="BG33:BG34"/>
    <mergeCell ref="BE35:BE36"/>
    <mergeCell ref="BF35:BF36"/>
    <mergeCell ref="BG35:BG36"/>
    <mergeCell ref="BE29:BE30"/>
    <mergeCell ref="BF29:BF30"/>
    <mergeCell ref="BG29:BG30"/>
    <mergeCell ref="BE31:BE32"/>
    <mergeCell ref="BF31:BF32"/>
    <mergeCell ref="BG31:BG32"/>
    <mergeCell ref="BE41:BE42"/>
    <mergeCell ref="BF41:BF42"/>
    <mergeCell ref="BG41:BG42"/>
    <mergeCell ref="BE43:BE44"/>
    <mergeCell ref="BF43:BF44"/>
    <mergeCell ref="BG43:BG44"/>
    <mergeCell ref="BE37:BE38"/>
    <mergeCell ref="BF37:BF38"/>
    <mergeCell ref="BG37:BG38"/>
    <mergeCell ref="BE39:BE40"/>
    <mergeCell ref="BF39:BF40"/>
    <mergeCell ref="BG39:BG40"/>
    <mergeCell ref="BE49:BE50"/>
    <mergeCell ref="BF49:BF50"/>
    <mergeCell ref="BG49:BG50"/>
    <mergeCell ref="BE51:BE52"/>
    <mergeCell ref="BF51:BF52"/>
    <mergeCell ref="BG51:BG52"/>
    <mergeCell ref="BE45:BE46"/>
    <mergeCell ref="BF45:BF46"/>
    <mergeCell ref="BG45:BG46"/>
    <mergeCell ref="BE47:BE48"/>
    <mergeCell ref="BF47:BF48"/>
    <mergeCell ref="BG47:BG48"/>
    <mergeCell ref="BE57:BE58"/>
    <mergeCell ref="BF57:BF58"/>
    <mergeCell ref="BG57:BG58"/>
    <mergeCell ref="BE59:BE60"/>
    <mergeCell ref="BF59:BF60"/>
    <mergeCell ref="BG59:BG60"/>
    <mergeCell ref="BE53:BE54"/>
    <mergeCell ref="BF53:BF54"/>
    <mergeCell ref="BG53:BG54"/>
    <mergeCell ref="BE55:BE56"/>
    <mergeCell ref="BF55:BF56"/>
    <mergeCell ref="BG55:BG56"/>
    <mergeCell ref="BE65:BE66"/>
    <mergeCell ref="BF65:BF66"/>
    <mergeCell ref="BG65:BG66"/>
    <mergeCell ref="BE67:BE68"/>
    <mergeCell ref="BF67:BF68"/>
    <mergeCell ref="BG67:BG68"/>
    <mergeCell ref="BE61:BE62"/>
    <mergeCell ref="BF61:BF62"/>
    <mergeCell ref="BG61:BG62"/>
    <mergeCell ref="BE63:BE64"/>
    <mergeCell ref="BF63:BF64"/>
    <mergeCell ref="BG63:BG64"/>
    <mergeCell ref="BE78:BE81"/>
    <mergeCell ref="BE73:BE74"/>
    <mergeCell ref="BF73:BF74"/>
    <mergeCell ref="BG73:BG74"/>
    <mergeCell ref="BE75:BE76"/>
    <mergeCell ref="BF75:BF76"/>
    <mergeCell ref="BE77:BF77"/>
    <mergeCell ref="BE69:BE70"/>
    <mergeCell ref="BF69:BF70"/>
    <mergeCell ref="BG69:BG70"/>
    <mergeCell ref="BE71:BE72"/>
    <mergeCell ref="BF71:BF72"/>
    <mergeCell ref="BG71:BG72"/>
  </mergeCells>
  <conditionalFormatting sqref="AM1:AM1048576">
    <cfRule type="cellIs" dxfId="1" priority="1" operator="greaterThan">
      <formula>1</formula>
    </cfRule>
  </conditionalFormatting>
  <printOptions horizontalCentered="1"/>
  <pageMargins left="0.19685039370078741" right="0.19685039370078741" top="0.23622047244094491" bottom="0.23622047244094491" header="0" footer="0"/>
  <pageSetup scale="25" fitToHeight="2" orientation="landscape" horizontalDpi="4294967293" verticalDpi="4294967293" r:id="rId1"/>
  <colBreaks count="1" manualBreakCount="1">
    <brk id="6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7F78-C29E-4F5F-9F61-7971D023DB84}">
  <sheetPr>
    <tabColor rgb="FFFFFF00"/>
    <pageSetUpPr fitToPage="1"/>
  </sheetPr>
  <dimension ref="A1:AV92"/>
  <sheetViews>
    <sheetView workbookViewId="0">
      <selection activeCell="L14" sqref="L14"/>
    </sheetView>
  </sheetViews>
  <sheetFormatPr defaultRowHeight="15" x14ac:dyDescent="0.25"/>
  <cols>
    <col min="1" max="1" width="16.140625" style="19" customWidth="1"/>
    <col min="2" max="2" width="9.5703125" style="19" customWidth="1"/>
    <col min="3" max="5" width="11.85546875" style="18" customWidth="1"/>
    <col min="6" max="9" width="11.85546875" style="19" customWidth="1"/>
    <col min="10" max="10" width="11.85546875" style="20" customWidth="1"/>
    <col min="11" max="11" width="9" style="19" bestFit="1" customWidth="1"/>
    <col min="12" max="20" width="9.140625" style="19" customWidth="1"/>
    <col min="22" max="23" width="9.140625" style="19" customWidth="1"/>
    <col min="24" max="16384" width="9.140625" style="19"/>
  </cols>
  <sheetData>
    <row r="1" spans="1:48" ht="15.75" thickBot="1" x14ac:dyDescent="0.3">
      <c r="A1" s="5" t="s">
        <v>258</v>
      </c>
      <c r="B1" s="18"/>
      <c r="H1" s="429" t="s">
        <v>134</v>
      </c>
    </row>
    <row r="2" spans="1:48" s="29" customFormat="1" ht="45" x14ac:dyDescent="0.25">
      <c r="A2" s="21" t="s">
        <v>53</v>
      </c>
      <c r="B2" s="21" t="s">
        <v>54</v>
      </c>
      <c r="C2" s="22" t="s">
        <v>55</v>
      </c>
      <c r="D2" s="23" t="s">
        <v>56</v>
      </c>
      <c r="E2" s="21" t="s">
        <v>57</v>
      </c>
      <c r="F2" s="24" t="s">
        <v>58</v>
      </c>
      <c r="G2" s="25" t="s">
        <v>59</v>
      </c>
      <c r="H2" s="26" t="s">
        <v>60</v>
      </c>
      <c r="I2" s="27" t="s">
        <v>61</v>
      </c>
      <c r="J2" s="28" t="s">
        <v>62</v>
      </c>
    </row>
    <row r="3" spans="1:48" s="36" customFormat="1" ht="21.75" customHeight="1" x14ac:dyDescent="0.25">
      <c r="A3" s="1024" t="s">
        <v>111</v>
      </c>
      <c r="B3" s="30">
        <v>1</v>
      </c>
      <c r="C3" s="31">
        <v>53.2</v>
      </c>
      <c r="D3" s="1027">
        <f>SUM(C3:C5)</f>
        <v>164</v>
      </c>
      <c r="E3" s="31">
        <f t="shared" ref="E3:E35" si="0">VLOOKUP(B3,ffbbudgettwofive,16,FALSE)</f>
        <v>149</v>
      </c>
      <c r="F3" s="32">
        <f t="shared" ref="F3:F35" si="1">VLOOKUP(B3,july,7,FALSE)</f>
        <v>44.13</v>
      </c>
      <c r="G3" s="33">
        <f t="shared" ref="G3:G35" si="2">VLOOKUP(B3,july,9,FALSE)</f>
        <v>20.149999999999999</v>
      </c>
      <c r="H3" s="33">
        <f t="shared" ref="H3:H35" si="3">VLOOKUP(B3,july,11,FALSE)</f>
        <v>0</v>
      </c>
      <c r="I3" s="34"/>
      <c r="J3" s="35">
        <f t="shared" ref="J3:J35" si="4">SUM(F3:I3)</f>
        <v>64.28</v>
      </c>
      <c r="N3" s="36">
        <v>1</v>
      </c>
      <c r="S3" s="19">
        <v>1</v>
      </c>
      <c r="T3" s="19">
        <v>44.13</v>
      </c>
      <c r="V3" s="19">
        <v>20.149999999999999</v>
      </c>
      <c r="W3" s="19"/>
      <c r="X3" s="19"/>
      <c r="AU3" s="36">
        <v>162.4</v>
      </c>
      <c r="AV3" s="36">
        <v>20.11</v>
      </c>
    </row>
    <row r="4" spans="1:48" ht="15.75" customHeight="1" x14ac:dyDescent="0.25">
      <c r="A4" s="1025"/>
      <c r="B4" s="30">
        <v>3</v>
      </c>
      <c r="C4" s="31">
        <v>69.2</v>
      </c>
      <c r="D4" s="1028"/>
      <c r="E4" s="31">
        <f t="shared" si="0"/>
        <v>194</v>
      </c>
      <c r="F4" s="32">
        <f t="shared" si="1"/>
        <v>60.980000000000004</v>
      </c>
      <c r="G4" s="33">
        <f t="shared" si="2"/>
        <v>25.28</v>
      </c>
      <c r="H4" s="33">
        <f t="shared" si="3"/>
        <v>0</v>
      </c>
      <c r="I4" s="34"/>
      <c r="J4" s="35">
        <f t="shared" si="4"/>
        <v>86.26</v>
      </c>
      <c r="N4" s="19">
        <v>2</v>
      </c>
      <c r="O4" s="36"/>
      <c r="S4" s="19">
        <v>2</v>
      </c>
      <c r="T4" s="19">
        <v>3.25</v>
      </c>
      <c r="V4" s="19">
        <v>86.719999999999985</v>
      </c>
      <c r="AU4" s="19">
        <v>176.2</v>
      </c>
      <c r="AV4" s="19">
        <v>32.85</v>
      </c>
    </row>
    <row r="5" spans="1:48" ht="15.75" customHeight="1" x14ac:dyDescent="0.25">
      <c r="A5" s="1026"/>
      <c r="B5" s="30">
        <v>14</v>
      </c>
      <c r="C5" s="31">
        <v>41.6</v>
      </c>
      <c r="D5" s="1029"/>
      <c r="E5" s="31">
        <f t="shared" si="0"/>
        <v>122</v>
      </c>
      <c r="F5" s="32">
        <f t="shared" si="1"/>
        <v>41.65</v>
      </c>
      <c r="G5" s="33">
        <f t="shared" si="2"/>
        <v>18.02</v>
      </c>
      <c r="H5" s="33">
        <f t="shared" si="3"/>
        <v>2.61</v>
      </c>
      <c r="I5" s="34"/>
      <c r="J5" s="35">
        <f t="shared" si="4"/>
        <v>62.28</v>
      </c>
      <c r="N5" s="19">
        <v>3</v>
      </c>
      <c r="O5" s="36"/>
      <c r="S5" s="19">
        <v>3</v>
      </c>
      <c r="T5" s="19">
        <v>60.980000000000004</v>
      </c>
      <c r="V5" s="19">
        <v>25.28</v>
      </c>
      <c r="AU5" s="19">
        <v>172.6</v>
      </c>
      <c r="AV5" s="19">
        <v>57.230000000000004</v>
      </c>
    </row>
    <row r="6" spans="1:48" ht="15.75" customHeight="1" x14ac:dyDescent="0.25">
      <c r="A6" s="1024" t="s">
        <v>64</v>
      </c>
      <c r="B6" s="37">
        <v>15</v>
      </c>
      <c r="C6" s="31">
        <v>49.3</v>
      </c>
      <c r="D6" s="1027">
        <f>SUM(C6:C12)</f>
        <v>385.4</v>
      </c>
      <c r="E6" s="31">
        <f t="shared" si="0"/>
        <v>138</v>
      </c>
      <c r="F6" s="32">
        <f t="shared" si="1"/>
        <v>33.380000000000003</v>
      </c>
      <c r="G6" s="33">
        <f t="shared" si="2"/>
        <v>10.51</v>
      </c>
      <c r="H6" s="33">
        <f t="shared" si="3"/>
        <v>20.07</v>
      </c>
      <c r="I6" s="34"/>
      <c r="J6" s="35">
        <f t="shared" si="4"/>
        <v>63.96</v>
      </c>
      <c r="N6" s="19">
        <v>4</v>
      </c>
      <c r="O6" s="36"/>
      <c r="S6" s="19">
        <v>4</v>
      </c>
      <c r="T6" s="19">
        <v>56.01</v>
      </c>
      <c r="V6" s="19">
        <v>14.9</v>
      </c>
      <c r="AU6" s="19">
        <v>168.3</v>
      </c>
      <c r="AV6" s="19">
        <v>34.049999999999997</v>
      </c>
    </row>
    <row r="7" spans="1:48" ht="15.75" customHeight="1" x14ac:dyDescent="0.25">
      <c r="A7" s="1025"/>
      <c r="B7" s="37">
        <v>16</v>
      </c>
      <c r="C7" s="31">
        <v>53.2</v>
      </c>
      <c r="D7" s="1028"/>
      <c r="E7" s="31">
        <f t="shared" si="0"/>
        <v>149</v>
      </c>
      <c r="F7" s="32">
        <f t="shared" si="1"/>
        <v>36.950000000000003</v>
      </c>
      <c r="G7" s="33">
        <f t="shared" si="2"/>
        <v>21.07</v>
      </c>
      <c r="H7" s="33">
        <f t="shared" si="3"/>
        <v>22.21</v>
      </c>
      <c r="I7" s="34"/>
      <c r="J7" s="35">
        <f t="shared" si="4"/>
        <v>80.23</v>
      </c>
      <c r="N7" s="19">
        <v>5</v>
      </c>
      <c r="O7" s="36"/>
      <c r="S7" s="19">
        <v>5</v>
      </c>
      <c r="T7" s="19">
        <v>15.7</v>
      </c>
      <c r="V7" s="19">
        <v>20.68</v>
      </c>
      <c r="X7" s="19">
        <v>2.5099999999999998</v>
      </c>
      <c r="AU7" s="19">
        <v>172.6</v>
      </c>
      <c r="AV7" s="19">
        <v>38.319999999999993</v>
      </c>
    </row>
    <row r="8" spans="1:48" ht="15.75" customHeight="1" x14ac:dyDescent="0.25">
      <c r="A8" s="1025"/>
      <c r="B8" s="37">
        <v>17</v>
      </c>
      <c r="C8" s="31">
        <v>45.7</v>
      </c>
      <c r="D8" s="1028"/>
      <c r="E8" s="31">
        <f t="shared" si="0"/>
        <v>141</v>
      </c>
      <c r="F8" s="32">
        <f t="shared" si="1"/>
        <v>25.86</v>
      </c>
      <c r="G8" s="33">
        <f t="shared" si="2"/>
        <v>13.43</v>
      </c>
      <c r="H8" s="33">
        <f t="shared" si="3"/>
        <v>18.86</v>
      </c>
      <c r="I8" s="34"/>
      <c r="J8" s="35">
        <f t="shared" si="4"/>
        <v>58.15</v>
      </c>
      <c r="N8" s="19">
        <v>6</v>
      </c>
      <c r="O8" s="36"/>
      <c r="S8" s="19">
        <v>6</v>
      </c>
      <c r="T8" s="19">
        <v>40.300000000000004</v>
      </c>
      <c r="V8" s="19">
        <v>15.989999999999998</v>
      </c>
      <c r="AU8" s="19">
        <v>143.6</v>
      </c>
      <c r="AV8" s="19">
        <v>33.449999999999996</v>
      </c>
    </row>
    <row r="9" spans="1:48" ht="15.75" customHeight="1" x14ac:dyDescent="0.25">
      <c r="A9" s="1025"/>
      <c r="B9" s="37">
        <v>19</v>
      </c>
      <c r="C9" s="31">
        <v>50.62</v>
      </c>
      <c r="D9" s="1028"/>
      <c r="E9" s="31">
        <f t="shared" si="0"/>
        <v>149</v>
      </c>
      <c r="F9" s="32">
        <f t="shared" si="1"/>
        <v>19.59</v>
      </c>
      <c r="G9" s="33">
        <f t="shared" si="2"/>
        <v>14.64</v>
      </c>
      <c r="H9" s="33">
        <f t="shared" si="3"/>
        <v>10.050000000000001</v>
      </c>
      <c r="I9" s="34"/>
      <c r="J9" s="35">
        <f t="shared" si="4"/>
        <v>44.28</v>
      </c>
      <c r="N9" s="19">
        <v>7</v>
      </c>
      <c r="O9" s="36"/>
      <c r="S9" s="19">
        <v>7</v>
      </c>
      <c r="T9" s="19">
        <v>24.72</v>
      </c>
      <c r="AU9" s="19">
        <v>167.6</v>
      </c>
      <c r="AV9" s="19">
        <v>20.65</v>
      </c>
    </row>
    <row r="10" spans="1:48" ht="15.75" customHeight="1" x14ac:dyDescent="0.25">
      <c r="A10" s="1025"/>
      <c r="B10" s="37">
        <v>20</v>
      </c>
      <c r="C10" s="31">
        <v>62.08</v>
      </c>
      <c r="D10" s="1028"/>
      <c r="E10" s="31">
        <f t="shared" si="0"/>
        <v>183</v>
      </c>
      <c r="F10" s="32">
        <f t="shared" si="1"/>
        <v>29.87</v>
      </c>
      <c r="G10" s="33">
        <f t="shared" si="2"/>
        <v>19.36</v>
      </c>
      <c r="H10" s="33">
        <f t="shared" si="3"/>
        <v>0</v>
      </c>
      <c r="I10" s="34"/>
      <c r="J10" s="35">
        <f t="shared" si="4"/>
        <v>49.230000000000004</v>
      </c>
      <c r="N10" s="19">
        <v>8</v>
      </c>
      <c r="O10" s="36"/>
      <c r="S10" s="19">
        <v>8</v>
      </c>
      <c r="T10" s="19">
        <v>43.65</v>
      </c>
      <c r="V10" s="19">
        <v>36.49</v>
      </c>
      <c r="X10" s="19">
        <v>9.36</v>
      </c>
      <c r="AU10" s="19">
        <v>131.30000000000001</v>
      </c>
      <c r="AV10" s="19">
        <v>25.36</v>
      </c>
    </row>
    <row r="11" spans="1:48" ht="15.75" customHeight="1" x14ac:dyDescent="0.25">
      <c r="A11" s="1025"/>
      <c r="B11" s="37">
        <v>21</v>
      </c>
      <c r="C11" s="31">
        <v>72.2</v>
      </c>
      <c r="D11" s="1028"/>
      <c r="E11" s="31">
        <f t="shared" si="0"/>
        <v>232</v>
      </c>
      <c r="F11" s="32">
        <f t="shared" si="1"/>
        <v>32.61</v>
      </c>
      <c r="G11" s="33">
        <f t="shared" si="2"/>
        <v>37.53</v>
      </c>
      <c r="H11" s="33">
        <f t="shared" si="3"/>
        <v>23.66</v>
      </c>
      <c r="I11" s="34"/>
      <c r="J11" s="35">
        <f t="shared" si="4"/>
        <v>93.8</v>
      </c>
      <c r="N11" s="19">
        <v>9</v>
      </c>
      <c r="O11" s="36"/>
      <c r="S11" s="19">
        <v>9</v>
      </c>
      <c r="T11" s="19">
        <v>28.68</v>
      </c>
      <c r="V11" s="19">
        <v>17.309999999999999</v>
      </c>
      <c r="AU11" s="19">
        <v>109.1</v>
      </c>
      <c r="AV11" s="19">
        <v>15.24</v>
      </c>
    </row>
    <row r="12" spans="1:48" ht="15.75" customHeight="1" x14ac:dyDescent="0.25">
      <c r="A12" s="1026"/>
      <c r="B12" s="37">
        <v>22</v>
      </c>
      <c r="C12" s="31">
        <v>52.3</v>
      </c>
      <c r="D12" s="1029"/>
      <c r="E12" s="31">
        <f t="shared" si="0"/>
        <v>154</v>
      </c>
      <c r="F12" s="32">
        <f t="shared" si="1"/>
        <v>41.25</v>
      </c>
      <c r="G12" s="33">
        <f t="shared" si="2"/>
        <v>19.259999999999998</v>
      </c>
      <c r="H12" s="33">
        <f t="shared" si="3"/>
        <v>24.229999999999997</v>
      </c>
      <c r="I12" s="34"/>
      <c r="J12" s="35">
        <f t="shared" si="4"/>
        <v>84.74</v>
      </c>
      <c r="N12" s="19">
        <v>10</v>
      </c>
      <c r="O12" s="36"/>
      <c r="S12" s="19">
        <v>10</v>
      </c>
      <c r="T12" s="19">
        <v>17.559999999999999</v>
      </c>
      <c r="V12" s="19">
        <v>10.92</v>
      </c>
      <c r="AU12" s="19">
        <v>132.5</v>
      </c>
      <c r="AV12" s="19">
        <v>7.83</v>
      </c>
    </row>
    <row r="13" spans="1:48" ht="15.75" customHeight="1" x14ac:dyDescent="0.25">
      <c r="A13" s="1024" t="s">
        <v>65</v>
      </c>
      <c r="B13" s="38">
        <v>2</v>
      </c>
      <c r="C13" s="31">
        <v>60.4</v>
      </c>
      <c r="D13" s="1027">
        <f>SUM(C13:C14)</f>
        <v>104.9</v>
      </c>
      <c r="E13" s="31">
        <f t="shared" si="0"/>
        <v>169</v>
      </c>
      <c r="F13" s="32">
        <f t="shared" si="1"/>
        <v>3.25</v>
      </c>
      <c r="G13" s="33">
        <f t="shared" si="2"/>
        <v>86.719999999999985</v>
      </c>
      <c r="H13" s="33">
        <f t="shared" si="3"/>
        <v>0</v>
      </c>
      <c r="I13" s="34"/>
      <c r="J13" s="35">
        <f t="shared" si="4"/>
        <v>89.969999999999985</v>
      </c>
      <c r="N13" s="19">
        <v>11</v>
      </c>
      <c r="O13" s="36"/>
      <c r="S13" s="19">
        <v>11</v>
      </c>
      <c r="T13" s="19">
        <v>34.840000000000003</v>
      </c>
      <c r="V13" s="19">
        <v>15.729999999999999</v>
      </c>
      <c r="AU13" s="19">
        <v>158</v>
      </c>
      <c r="AV13" s="19">
        <v>11.23</v>
      </c>
    </row>
    <row r="14" spans="1:48" ht="15.75" customHeight="1" x14ac:dyDescent="0.25">
      <c r="A14" s="1026"/>
      <c r="B14" s="38">
        <v>11</v>
      </c>
      <c r="C14" s="31">
        <v>44.5</v>
      </c>
      <c r="D14" s="1029"/>
      <c r="E14" s="31">
        <f t="shared" si="0"/>
        <v>118</v>
      </c>
      <c r="F14" s="32">
        <f t="shared" si="1"/>
        <v>34.840000000000003</v>
      </c>
      <c r="G14" s="33">
        <f t="shared" si="2"/>
        <v>15.729999999999999</v>
      </c>
      <c r="H14" s="33">
        <f t="shared" si="3"/>
        <v>0</v>
      </c>
      <c r="I14" s="34"/>
      <c r="J14" s="35">
        <f t="shared" si="4"/>
        <v>50.57</v>
      </c>
      <c r="L14" s="19" t="s">
        <v>259</v>
      </c>
      <c r="N14" s="19">
        <v>12</v>
      </c>
      <c r="O14" s="36"/>
      <c r="S14" s="19">
        <v>12</v>
      </c>
      <c r="T14" s="19">
        <v>62.379999999999995</v>
      </c>
      <c r="V14" s="19">
        <v>22.2</v>
      </c>
      <c r="AU14" s="19">
        <v>110</v>
      </c>
      <c r="AV14" s="19">
        <v>18.38</v>
      </c>
    </row>
    <row r="15" spans="1:48" ht="15.75" customHeight="1" x14ac:dyDescent="0.25">
      <c r="A15" s="1024" t="s">
        <v>195</v>
      </c>
      <c r="B15" s="39">
        <v>4</v>
      </c>
      <c r="C15" s="31">
        <v>70.599999999999994</v>
      </c>
      <c r="D15" s="1027">
        <f>SUM(C15:C20)</f>
        <v>262.5</v>
      </c>
      <c r="E15" s="31">
        <f t="shared" si="0"/>
        <v>198</v>
      </c>
      <c r="F15" s="32">
        <f t="shared" si="1"/>
        <v>56.01</v>
      </c>
      <c r="G15" s="33">
        <f t="shared" si="2"/>
        <v>14.9</v>
      </c>
      <c r="H15" s="33">
        <f t="shared" si="3"/>
        <v>0</v>
      </c>
      <c r="I15" s="34"/>
      <c r="J15" s="35">
        <f t="shared" si="4"/>
        <v>70.91</v>
      </c>
      <c r="N15" s="19">
        <v>13</v>
      </c>
      <c r="O15" s="36"/>
      <c r="S15" s="19">
        <v>13</v>
      </c>
      <c r="T15" s="19">
        <v>59.519999999999996</v>
      </c>
      <c r="V15" s="19">
        <v>29.65</v>
      </c>
      <c r="AU15" s="19">
        <v>181.6</v>
      </c>
      <c r="AV15" s="19">
        <v>29.55</v>
      </c>
    </row>
    <row r="16" spans="1:48" ht="16.5" customHeight="1" x14ac:dyDescent="0.25">
      <c r="A16" s="1025"/>
      <c r="B16" s="39">
        <v>5</v>
      </c>
      <c r="C16" s="31">
        <v>50.4</v>
      </c>
      <c r="D16" s="1028"/>
      <c r="E16" s="31">
        <f t="shared" si="0"/>
        <v>141</v>
      </c>
      <c r="F16" s="32">
        <f t="shared" si="1"/>
        <v>15.7</v>
      </c>
      <c r="G16" s="33">
        <f t="shared" si="2"/>
        <v>20.68</v>
      </c>
      <c r="H16" s="40">
        <f t="shared" si="3"/>
        <v>2.5099999999999998</v>
      </c>
      <c r="I16" s="34"/>
      <c r="J16" s="35">
        <f t="shared" si="4"/>
        <v>38.889999999999993</v>
      </c>
      <c r="N16" s="19">
        <v>14</v>
      </c>
      <c r="O16" s="36"/>
      <c r="S16" s="19">
        <v>14</v>
      </c>
      <c r="T16" s="19">
        <v>41.65</v>
      </c>
      <c r="V16" s="19">
        <v>18.02</v>
      </c>
      <c r="X16" s="19">
        <v>2.61</v>
      </c>
      <c r="AU16" s="19">
        <v>244.3</v>
      </c>
      <c r="AV16" s="19">
        <v>19.989999999999998</v>
      </c>
    </row>
    <row r="17" spans="1:48" ht="15.75" customHeight="1" x14ac:dyDescent="0.25">
      <c r="A17" s="1025"/>
      <c r="B17" s="39">
        <v>6</v>
      </c>
      <c r="C17" s="31">
        <v>58.6</v>
      </c>
      <c r="D17" s="1028"/>
      <c r="E17" s="31">
        <f t="shared" si="0"/>
        <v>164</v>
      </c>
      <c r="F17" s="32">
        <f t="shared" si="1"/>
        <v>40.300000000000004</v>
      </c>
      <c r="G17" s="33">
        <f t="shared" si="2"/>
        <v>15.989999999999998</v>
      </c>
      <c r="H17" s="33">
        <f t="shared" si="3"/>
        <v>0</v>
      </c>
      <c r="I17" s="34"/>
      <c r="J17" s="35">
        <f t="shared" si="4"/>
        <v>56.290000000000006</v>
      </c>
      <c r="N17" s="19">
        <v>15</v>
      </c>
      <c r="O17" s="36"/>
      <c r="S17" s="19">
        <v>15</v>
      </c>
      <c r="T17" s="19">
        <v>33.380000000000003</v>
      </c>
      <c r="V17" s="19">
        <v>10.51</v>
      </c>
      <c r="X17" s="19">
        <v>20.07</v>
      </c>
      <c r="AU17" s="19">
        <v>206.4</v>
      </c>
    </row>
    <row r="18" spans="1:48" ht="15.75" customHeight="1" x14ac:dyDescent="0.25">
      <c r="A18" s="1025"/>
      <c r="B18" s="39">
        <v>7</v>
      </c>
      <c r="C18" s="31">
        <v>23.6</v>
      </c>
      <c r="D18" s="1028"/>
      <c r="E18" s="31">
        <f t="shared" si="0"/>
        <v>56</v>
      </c>
      <c r="F18" s="32">
        <f t="shared" si="1"/>
        <v>24.72</v>
      </c>
      <c r="G18" s="33">
        <f t="shared" si="2"/>
        <v>0</v>
      </c>
      <c r="H18" s="33">
        <f t="shared" si="3"/>
        <v>0</v>
      </c>
      <c r="I18" s="34"/>
      <c r="J18" s="35">
        <f t="shared" si="4"/>
        <v>24.72</v>
      </c>
      <c r="N18" s="19">
        <v>16</v>
      </c>
      <c r="O18" s="36"/>
      <c r="S18" s="19">
        <v>16</v>
      </c>
      <c r="T18" s="19">
        <v>36.950000000000003</v>
      </c>
      <c r="V18" s="19">
        <v>21.07</v>
      </c>
      <c r="X18" s="19">
        <v>22.21</v>
      </c>
      <c r="AU18" s="19">
        <v>183.7</v>
      </c>
      <c r="AV18" s="19">
        <v>36.29</v>
      </c>
    </row>
    <row r="19" spans="1:48" ht="15.75" customHeight="1" x14ac:dyDescent="0.25">
      <c r="A19" s="1025"/>
      <c r="B19" s="39">
        <v>23</v>
      </c>
      <c r="C19" s="31">
        <v>14.6</v>
      </c>
      <c r="D19" s="1028"/>
      <c r="E19" s="31">
        <f t="shared" si="0"/>
        <v>43</v>
      </c>
      <c r="F19" s="32">
        <f t="shared" si="1"/>
        <v>17.37</v>
      </c>
      <c r="G19" s="33">
        <f t="shared" si="2"/>
        <v>3.79</v>
      </c>
      <c r="H19" s="33">
        <f t="shared" si="3"/>
        <v>0</v>
      </c>
      <c r="I19" s="34"/>
      <c r="J19" s="35">
        <f t="shared" si="4"/>
        <v>21.16</v>
      </c>
      <c r="N19" s="19">
        <v>17</v>
      </c>
      <c r="O19" s="36"/>
      <c r="S19" s="19">
        <v>17</v>
      </c>
      <c r="T19" s="19">
        <v>25.86</v>
      </c>
      <c r="V19" s="19">
        <v>13.43</v>
      </c>
      <c r="X19" s="19">
        <v>18.86</v>
      </c>
      <c r="AU19" s="19">
        <v>154.80000000000001</v>
      </c>
      <c r="AV19" s="19">
        <v>46.18</v>
      </c>
    </row>
    <row r="20" spans="1:48" ht="15.75" customHeight="1" x14ac:dyDescent="0.25">
      <c r="A20" s="1026"/>
      <c r="B20" s="39">
        <v>24</v>
      </c>
      <c r="C20" s="31">
        <v>44.7</v>
      </c>
      <c r="D20" s="1029"/>
      <c r="E20" s="31">
        <f t="shared" si="0"/>
        <v>113</v>
      </c>
      <c r="F20" s="32">
        <f t="shared" si="1"/>
        <v>42.98</v>
      </c>
      <c r="G20" s="33">
        <f t="shared" si="2"/>
        <v>13.32</v>
      </c>
      <c r="H20" s="33">
        <f t="shared" si="3"/>
        <v>0</v>
      </c>
      <c r="I20" s="34"/>
      <c r="J20" s="35">
        <f t="shared" si="4"/>
        <v>56.3</v>
      </c>
      <c r="N20" s="19">
        <v>18</v>
      </c>
      <c r="O20" s="36"/>
      <c r="S20" s="19">
        <v>18</v>
      </c>
      <c r="T20" s="19">
        <v>42.66</v>
      </c>
      <c r="V20" s="19">
        <v>17.68</v>
      </c>
      <c r="AU20" s="19">
        <v>170.6</v>
      </c>
      <c r="AV20" s="19">
        <v>24.78</v>
      </c>
    </row>
    <row r="21" spans="1:48" ht="16.5" customHeight="1" x14ac:dyDescent="0.25">
      <c r="A21" s="1024" t="s">
        <v>67</v>
      </c>
      <c r="B21" s="41">
        <v>8</v>
      </c>
      <c r="C21" s="31">
        <v>61.6</v>
      </c>
      <c r="D21" s="1027">
        <f>SUM(C21:C26)</f>
        <v>291.60000000000002</v>
      </c>
      <c r="E21" s="31">
        <f t="shared" si="0"/>
        <v>172</v>
      </c>
      <c r="F21" s="32">
        <f t="shared" si="1"/>
        <v>43.65</v>
      </c>
      <c r="G21" s="33">
        <f t="shared" si="2"/>
        <v>36.49</v>
      </c>
      <c r="H21" s="33">
        <f t="shared" si="3"/>
        <v>9.36</v>
      </c>
      <c r="I21" s="34"/>
      <c r="J21" s="35">
        <f t="shared" si="4"/>
        <v>89.5</v>
      </c>
      <c r="N21" s="19">
        <v>19</v>
      </c>
      <c r="O21" s="36"/>
      <c r="S21" s="19">
        <v>19</v>
      </c>
      <c r="T21" s="19">
        <v>19.59</v>
      </c>
      <c r="V21" s="19">
        <v>14.64</v>
      </c>
      <c r="X21" s="19">
        <v>10.050000000000001</v>
      </c>
      <c r="AU21" s="19">
        <v>182.1</v>
      </c>
      <c r="AV21" s="19">
        <v>36.39</v>
      </c>
    </row>
    <row r="22" spans="1:48" ht="15.75" customHeight="1" x14ac:dyDescent="0.25">
      <c r="A22" s="1025"/>
      <c r="B22" s="41">
        <v>9</v>
      </c>
      <c r="C22" s="31">
        <v>38.299999999999997</v>
      </c>
      <c r="D22" s="1028"/>
      <c r="E22" s="31">
        <f t="shared" si="0"/>
        <v>97</v>
      </c>
      <c r="F22" s="32">
        <f t="shared" si="1"/>
        <v>28.68</v>
      </c>
      <c r="G22" s="33">
        <f t="shared" si="2"/>
        <v>17.309999999999999</v>
      </c>
      <c r="H22" s="33">
        <f t="shared" si="3"/>
        <v>0</v>
      </c>
      <c r="I22" s="34"/>
      <c r="J22" s="35">
        <f t="shared" si="4"/>
        <v>45.989999999999995</v>
      </c>
      <c r="N22" s="19">
        <v>20</v>
      </c>
      <c r="O22" s="36"/>
      <c r="S22" s="19">
        <v>20</v>
      </c>
      <c r="T22" s="19">
        <v>29.87</v>
      </c>
      <c r="V22" s="19">
        <v>19.36</v>
      </c>
      <c r="AU22" s="19">
        <v>192.2</v>
      </c>
      <c r="AV22" s="19">
        <v>39.03</v>
      </c>
    </row>
    <row r="23" spans="1:48" ht="15.75" customHeight="1" x14ac:dyDescent="0.25">
      <c r="A23" s="1025"/>
      <c r="B23" s="41">
        <v>12</v>
      </c>
      <c r="C23" s="31">
        <v>71</v>
      </c>
      <c r="D23" s="1028"/>
      <c r="E23" s="31">
        <f t="shared" si="0"/>
        <v>199</v>
      </c>
      <c r="F23" s="32">
        <f t="shared" si="1"/>
        <v>62.379999999999995</v>
      </c>
      <c r="G23" s="33">
        <f t="shared" si="2"/>
        <v>22.2</v>
      </c>
      <c r="H23" s="33">
        <f t="shared" si="3"/>
        <v>0</v>
      </c>
      <c r="I23" s="34"/>
      <c r="J23" s="35">
        <f t="shared" si="4"/>
        <v>84.58</v>
      </c>
      <c r="N23" s="19">
        <v>21</v>
      </c>
      <c r="O23" s="36"/>
      <c r="S23" s="19">
        <v>21</v>
      </c>
      <c r="T23" s="19">
        <v>32.61</v>
      </c>
      <c r="V23" s="19">
        <v>37.53</v>
      </c>
      <c r="X23" s="19">
        <v>23.66</v>
      </c>
      <c r="AU23" s="19">
        <v>188.3</v>
      </c>
      <c r="AV23" s="19">
        <v>48.519999999999996</v>
      </c>
    </row>
    <row r="24" spans="1:48" ht="15.75" customHeight="1" x14ac:dyDescent="0.25">
      <c r="A24" s="1025"/>
      <c r="B24" s="41">
        <v>10</v>
      </c>
      <c r="C24" s="31">
        <v>19.100000000000001</v>
      </c>
      <c r="D24" s="1028"/>
      <c r="E24" s="31">
        <f t="shared" si="0"/>
        <v>51</v>
      </c>
      <c r="F24" s="32">
        <f t="shared" si="1"/>
        <v>17.559999999999999</v>
      </c>
      <c r="G24" s="33">
        <f t="shared" si="2"/>
        <v>10.92</v>
      </c>
      <c r="H24" s="33">
        <f t="shared" si="3"/>
        <v>0</v>
      </c>
      <c r="I24" s="34"/>
      <c r="J24" s="35">
        <f t="shared" si="4"/>
        <v>28.479999999999997</v>
      </c>
      <c r="N24" s="19">
        <v>22</v>
      </c>
      <c r="O24" s="36"/>
      <c r="S24" s="19">
        <v>22</v>
      </c>
      <c r="T24" s="19">
        <v>41.25</v>
      </c>
      <c r="V24" s="19">
        <v>19.259999999999998</v>
      </c>
      <c r="X24" s="19">
        <v>24.229999999999997</v>
      </c>
      <c r="AU24" s="19" t="s">
        <v>71</v>
      </c>
      <c r="AV24" s="19">
        <v>33.6</v>
      </c>
    </row>
    <row r="25" spans="1:48" ht="15.75" customHeight="1" x14ac:dyDescent="0.25">
      <c r="A25" s="1025"/>
      <c r="B25" s="41">
        <v>13</v>
      </c>
      <c r="C25" s="31">
        <v>60.8</v>
      </c>
      <c r="D25" s="1028"/>
      <c r="E25" s="31">
        <f t="shared" si="0"/>
        <v>187</v>
      </c>
      <c r="F25" s="32">
        <f t="shared" si="1"/>
        <v>59.519999999999996</v>
      </c>
      <c r="G25" s="33">
        <f t="shared" si="2"/>
        <v>29.65</v>
      </c>
      <c r="H25" s="33">
        <f t="shared" si="3"/>
        <v>0</v>
      </c>
      <c r="I25" s="34"/>
      <c r="J25" s="35">
        <f t="shared" si="4"/>
        <v>89.169999999999987</v>
      </c>
      <c r="N25" s="19">
        <v>23</v>
      </c>
      <c r="O25" s="36"/>
      <c r="S25" s="19">
        <v>23</v>
      </c>
      <c r="T25" s="19">
        <v>17.37</v>
      </c>
      <c r="V25" s="19">
        <v>3.79</v>
      </c>
      <c r="AU25" s="19">
        <v>128.69999999999999</v>
      </c>
      <c r="AV25" s="19">
        <v>7.6</v>
      </c>
    </row>
    <row r="26" spans="1:48" ht="16.5" customHeight="1" x14ac:dyDescent="0.25">
      <c r="A26" s="1026"/>
      <c r="B26" s="41">
        <v>18</v>
      </c>
      <c r="C26" s="31">
        <v>40.799999999999997</v>
      </c>
      <c r="D26" s="1029"/>
      <c r="E26" s="31">
        <f t="shared" si="0"/>
        <v>126</v>
      </c>
      <c r="F26" s="32">
        <f t="shared" si="1"/>
        <v>42.66</v>
      </c>
      <c r="G26" s="33">
        <f t="shared" si="2"/>
        <v>17.68</v>
      </c>
      <c r="H26" s="33">
        <f t="shared" si="3"/>
        <v>0</v>
      </c>
      <c r="I26" s="34"/>
      <c r="J26" s="35">
        <f t="shared" si="4"/>
        <v>60.339999999999996</v>
      </c>
      <c r="N26" s="19">
        <v>24</v>
      </c>
      <c r="O26" s="36"/>
      <c r="S26" s="19">
        <v>24</v>
      </c>
      <c r="T26" s="19">
        <v>42.98</v>
      </c>
      <c r="V26" s="19">
        <v>13.32</v>
      </c>
      <c r="AU26" s="19">
        <v>160.63999999999999</v>
      </c>
      <c r="AV26" s="19">
        <v>21.82</v>
      </c>
    </row>
    <row r="27" spans="1:48" ht="15.75" customHeight="1" collapsed="1" x14ac:dyDescent="0.25">
      <c r="A27" s="1024" t="s">
        <v>68</v>
      </c>
      <c r="B27" s="42">
        <v>25</v>
      </c>
      <c r="C27" s="31">
        <v>38.22</v>
      </c>
      <c r="D27" s="1027">
        <f>SUM(C27:C35)</f>
        <v>208.10999999999999</v>
      </c>
      <c r="E27" s="31">
        <f t="shared" si="0"/>
        <v>19</v>
      </c>
      <c r="F27" s="32">
        <f t="shared" si="1"/>
        <v>16.68</v>
      </c>
      <c r="G27" s="33">
        <f t="shared" si="2"/>
        <v>5.99</v>
      </c>
      <c r="H27" s="33">
        <f t="shared" si="3"/>
        <v>0</v>
      </c>
      <c r="I27" s="34"/>
      <c r="J27" s="35">
        <f t="shared" si="4"/>
        <v>22.67</v>
      </c>
      <c r="N27" s="19">
        <v>25</v>
      </c>
      <c r="O27" s="36"/>
      <c r="S27" s="19">
        <v>25</v>
      </c>
      <c r="T27" s="19">
        <v>16.68</v>
      </c>
      <c r="V27" s="19">
        <v>5.99</v>
      </c>
      <c r="AU27" s="19">
        <v>158.93</v>
      </c>
      <c r="AV27" s="19">
        <v>13.64</v>
      </c>
    </row>
    <row r="28" spans="1:48" ht="15.75" customHeight="1" x14ac:dyDescent="0.25">
      <c r="A28" s="1025"/>
      <c r="B28" s="42" t="s">
        <v>7</v>
      </c>
      <c r="C28" s="31">
        <v>22.72</v>
      </c>
      <c r="D28" s="1028"/>
      <c r="E28" s="31">
        <f t="shared" si="0"/>
        <v>15</v>
      </c>
      <c r="F28" s="32">
        <f t="shared" si="1"/>
        <v>14.24</v>
      </c>
      <c r="G28" s="43">
        <f t="shared" si="2"/>
        <v>10.84</v>
      </c>
      <c r="H28" s="33">
        <f t="shared" si="3"/>
        <v>0</v>
      </c>
      <c r="I28" s="34"/>
      <c r="J28" s="35">
        <f t="shared" si="4"/>
        <v>25.08</v>
      </c>
      <c r="N28" s="19">
        <v>27</v>
      </c>
      <c r="O28" s="36"/>
      <c r="S28" s="19">
        <v>27</v>
      </c>
      <c r="T28" s="19">
        <v>8.31</v>
      </c>
      <c r="V28" s="19">
        <v>8.74</v>
      </c>
      <c r="AU28" s="19">
        <v>169.54</v>
      </c>
      <c r="AV28" s="19">
        <v>7.34</v>
      </c>
    </row>
    <row r="29" spans="1:48" ht="15.75" customHeight="1" x14ac:dyDescent="0.25">
      <c r="A29" s="1025"/>
      <c r="B29" s="42">
        <v>27</v>
      </c>
      <c r="C29" s="31">
        <v>18.64</v>
      </c>
      <c r="D29" s="1028"/>
      <c r="E29" s="31">
        <f t="shared" si="0"/>
        <v>12</v>
      </c>
      <c r="F29" s="32">
        <f t="shared" si="1"/>
        <v>8.31</v>
      </c>
      <c r="G29" s="33">
        <f t="shared" si="2"/>
        <v>8.74</v>
      </c>
      <c r="H29" s="33">
        <f t="shared" si="3"/>
        <v>0</v>
      </c>
      <c r="I29" s="34"/>
      <c r="J29" s="35">
        <f t="shared" si="4"/>
        <v>17.05</v>
      </c>
      <c r="N29" s="19">
        <v>28</v>
      </c>
      <c r="O29" s="36"/>
      <c r="S29" s="19">
        <v>28</v>
      </c>
      <c r="T29" s="19">
        <v>16.89</v>
      </c>
      <c r="V29" s="19">
        <v>12.379999999999999</v>
      </c>
      <c r="AU29" s="19">
        <v>161.38</v>
      </c>
      <c r="AV29" s="19">
        <v>7.75</v>
      </c>
    </row>
    <row r="30" spans="1:48" ht="15.75" customHeight="1" x14ac:dyDescent="0.25">
      <c r="A30" s="1025"/>
      <c r="B30" s="42">
        <v>28</v>
      </c>
      <c r="C30" s="31">
        <v>25.5</v>
      </c>
      <c r="D30" s="1028"/>
      <c r="E30" s="31">
        <f t="shared" si="0"/>
        <v>36</v>
      </c>
      <c r="F30" s="32">
        <f t="shared" si="1"/>
        <v>16.89</v>
      </c>
      <c r="G30" s="33">
        <f t="shared" si="2"/>
        <v>12.379999999999999</v>
      </c>
      <c r="H30" s="33">
        <f t="shared" si="3"/>
        <v>0</v>
      </c>
      <c r="I30" s="34"/>
      <c r="J30" s="35">
        <f t="shared" si="4"/>
        <v>29.27</v>
      </c>
      <c r="N30" s="19">
        <v>29</v>
      </c>
      <c r="O30" s="36"/>
      <c r="S30" s="19">
        <v>29</v>
      </c>
      <c r="T30" s="19">
        <v>6.17</v>
      </c>
      <c r="V30" s="19">
        <v>3.58</v>
      </c>
      <c r="AU30" s="19">
        <v>204.13</v>
      </c>
    </row>
    <row r="31" spans="1:48" ht="15.75" customHeight="1" x14ac:dyDescent="0.25">
      <c r="A31" s="1025"/>
      <c r="B31" s="42">
        <v>29</v>
      </c>
      <c r="C31" s="31">
        <v>11.38</v>
      </c>
      <c r="D31" s="1028"/>
      <c r="E31" s="31">
        <f t="shared" si="0"/>
        <v>10</v>
      </c>
      <c r="F31" s="32">
        <f t="shared" si="1"/>
        <v>6.17</v>
      </c>
      <c r="G31" s="33">
        <f t="shared" si="2"/>
        <v>3.58</v>
      </c>
      <c r="H31" s="33">
        <f t="shared" si="3"/>
        <v>0</v>
      </c>
      <c r="I31" s="34"/>
      <c r="J31" s="35">
        <f t="shared" si="4"/>
        <v>9.75</v>
      </c>
      <c r="N31" s="19">
        <v>30</v>
      </c>
      <c r="O31" s="36"/>
      <c r="S31" s="19">
        <v>30</v>
      </c>
      <c r="T31" s="19">
        <v>11.82</v>
      </c>
      <c r="V31" s="19">
        <v>9.1300000000000008</v>
      </c>
      <c r="AU31" s="19">
        <v>168.07999999999998</v>
      </c>
      <c r="AV31" s="19">
        <v>8.91</v>
      </c>
    </row>
    <row r="32" spans="1:48" ht="15.75" customHeight="1" x14ac:dyDescent="0.25">
      <c r="A32" s="1025"/>
      <c r="B32" s="42">
        <v>30</v>
      </c>
      <c r="C32" s="31">
        <v>24.35</v>
      </c>
      <c r="D32" s="1028"/>
      <c r="E32" s="31">
        <f t="shared" si="0"/>
        <v>10</v>
      </c>
      <c r="F32" s="32">
        <f t="shared" si="1"/>
        <v>11.82</v>
      </c>
      <c r="G32" s="33">
        <f t="shared" si="2"/>
        <v>9.1300000000000008</v>
      </c>
      <c r="H32" s="33">
        <f t="shared" si="3"/>
        <v>0</v>
      </c>
      <c r="I32" s="34"/>
      <c r="J32" s="35">
        <f t="shared" si="4"/>
        <v>20.950000000000003</v>
      </c>
      <c r="N32" s="19">
        <v>31</v>
      </c>
      <c r="O32" s="36"/>
      <c r="S32" s="19">
        <v>31</v>
      </c>
      <c r="T32" s="19">
        <v>10.940000000000001</v>
      </c>
      <c r="V32" s="19">
        <v>6.92</v>
      </c>
      <c r="X32" s="19">
        <v>3.15</v>
      </c>
      <c r="AU32" s="19">
        <v>156.72</v>
      </c>
      <c r="AV32" s="19">
        <v>9.49</v>
      </c>
    </row>
    <row r="33" spans="1:48" ht="16.5" customHeight="1" x14ac:dyDescent="0.25">
      <c r="A33" s="1025"/>
      <c r="B33" s="42">
        <v>31</v>
      </c>
      <c r="C33" s="31">
        <v>34.08</v>
      </c>
      <c r="D33" s="1028"/>
      <c r="E33" s="31">
        <f t="shared" si="0"/>
        <v>16</v>
      </c>
      <c r="F33" s="32">
        <f t="shared" si="1"/>
        <v>10.940000000000001</v>
      </c>
      <c r="G33" s="33">
        <f t="shared" si="2"/>
        <v>6.92</v>
      </c>
      <c r="H33" s="33">
        <f t="shared" si="3"/>
        <v>3.15</v>
      </c>
      <c r="I33" s="34"/>
      <c r="J33" s="35">
        <f t="shared" si="4"/>
        <v>21.009999999999998</v>
      </c>
      <c r="N33" s="19">
        <v>33</v>
      </c>
      <c r="O33" s="36"/>
      <c r="S33" s="19">
        <v>33</v>
      </c>
      <c r="T33" s="19">
        <v>19.080000000000002</v>
      </c>
      <c r="V33" s="19">
        <v>6.49</v>
      </c>
      <c r="AU33" s="19">
        <v>143.48000000000002</v>
      </c>
      <c r="AV33" s="19">
        <v>17.079999999999998</v>
      </c>
    </row>
    <row r="34" spans="1:48" ht="15.75" customHeight="1" collapsed="1" x14ac:dyDescent="0.25">
      <c r="A34" s="1025"/>
      <c r="B34" s="42">
        <v>33</v>
      </c>
      <c r="C34" s="31">
        <v>28.72</v>
      </c>
      <c r="D34" s="1028"/>
      <c r="E34" s="31">
        <f t="shared" si="0"/>
        <v>60</v>
      </c>
      <c r="F34" s="32">
        <f t="shared" si="1"/>
        <v>19.080000000000002</v>
      </c>
      <c r="G34" s="33">
        <f t="shared" si="2"/>
        <v>6.49</v>
      </c>
      <c r="H34" s="33">
        <f t="shared" si="3"/>
        <v>0</v>
      </c>
      <c r="I34" s="34"/>
      <c r="J34" s="35">
        <f t="shared" si="4"/>
        <v>25.57</v>
      </c>
      <c r="N34" s="19">
        <v>39</v>
      </c>
      <c r="O34" s="36"/>
      <c r="S34" s="19">
        <v>39</v>
      </c>
      <c r="T34" s="19">
        <v>2.06</v>
      </c>
      <c r="V34" s="19">
        <v>0.87</v>
      </c>
      <c r="AU34" s="19">
        <v>5700</v>
      </c>
      <c r="AV34" s="19">
        <v>1.47</v>
      </c>
    </row>
    <row r="35" spans="1:48" s="51" customFormat="1" ht="16.5" customHeight="1" x14ac:dyDescent="0.25">
      <c r="A35" s="1026"/>
      <c r="B35" s="59">
        <v>39</v>
      </c>
      <c r="C35" s="60">
        <v>4.5</v>
      </c>
      <c r="D35" s="1029"/>
      <c r="E35" s="60">
        <f t="shared" si="0"/>
        <v>4</v>
      </c>
      <c r="F35" s="61">
        <f t="shared" si="1"/>
        <v>2.06</v>
      </c>
      <c r="G35" s="62">
        <f t="shared" si="2"/>
        <v>0.87</v>
      </c>
      <c r="H35" s="62">
        <f t="shared" si="3"/>
        <v>0</v>
      </c>
      <c r="I35" s="63"/>
      <c r="J35" s="64">
        <f t="shared" si="4"/>
        <v>2.93</v>
      </c>
      <c r="N35" s="51">
        <v>105</v>
      </c>
      <c r="O35" s="65"/>
      <c r="S35" s="51">
        <v>105</v>
      </c>
      <c r="T35" s="19"/>
      <c r="V35" s="19"/>
      <c r="W35" s="19"/>
      <c r="X35" s="19"/>
      <c r="AU35" s="51">
        <v>5700</v>
      </c>
    </row>
    <row r="36" spans="1:48" s="20" customFormat="1" ht="16.5" customHeight="1" thickBot="1" x14ac:dyDescent="0.3">
      <c r="A36" s="44"/>
      <c r="B36" s="44"/>
      <c r="D36" s="45">
        <f t="shared" ref="D36:J36" si="5">SUBTOTAL(9,D3:D35)</f>
        <v>1416.51</v>
      </c>
      <c r="E36" s="45">
        <f t="shared" si="5"/>
        <v>3627</v>
      </c>
      <c r="F36" s="46">
        <f t="shared" si="5"/>
        <v>962.07999999999981</v>
      </c>
      <c r="G36" s="47">
        <f t="shared" si="5"/>
        <v>569.57000000000005</v>
      </c>
      <c r="H36" s="47">
        <f t="shared" si="5"/>
        <v>136.71</v>
      </c>
      <c r="I36" s="48">
        <f t="shared" si="5"/>
        <v>0</v>
      </c>
      <c r="J36" s="49">
        <f t="shared" si="5"/>
        <v>1668.36</v>
      </c>
      <c r="N36" s="20">
        <v>114</v>
      </c>
      <c r="S36" s="19">
        <v>114</v>
      </c>
      <c r="T36" s="19"/>
      <c r="V36" s="19"/>
      <c r="W36" s="19"/>
      <c r="X36" s="19"/>
      <c r="AU36" s="20">
        <v>187.75</v>
      </c>
    </row>
    <row r="37" spans="1:48" ht="15.75" customHeight="1" x14ac:dyDescent="0.25">
      <c r="A37" s="44"/>
      <c r="B37" s="44"/>
      <c r="C37" s="50"/>
      <c r="D37" s="50"/>
      <c r="E37" s="50"/>
      <c r="N37" s="19" t="s">
        <v>7</v>
      </c>
      <c r="S37" s="19" t="s">
        <v>44</v>
      </c>
      <c r="T37" s="19">
        <v>14.24</v>
      </c>
      <c r="V37" s="19">
        <v>10.84</v>
      </c>
      <c r="AU37" s="19">
        <v>496</v>
      </c>
    </row>
    <row r="38" spans="1:48" ht="15" customHeight="1" x14ac:dyDescent="0.25">
      <c r="A38" s="51"/>
      <c r="B38" s="30"/>
      <c r="C38" s="52" t="s">
        <v>63</v>
      </c>
      <c r="E38" s="52"/>
    </row>
    <row r="39" spans="1:48" x14ac:dyDescent="0.25">
      <c r="B39" s="37"/>
      <c r="C39" s="52" t="s">
        <v>64</v>
      </c>
      <c r="D39" s="52"/>
      <c r="E39" s="52"/>
    </row>
    <row r="40" spans="1:48" x14ac:dyDescent="0.25">
      <c r="B40" s="38"/>
      <c r="C40" s="52" t="s">
        <v>65</v>
      </c>
      <c r="D40" s="52"/>
      <c r="E40" s="52"/>
    </row>
    <row r="41" spans="1:48" ht="15" customHeight="1" x14ac:dyDescent="0.25">
      <c r="B41" s="39"/>
      <c r="C41" s="52" t="s">
        <v>66</v>
      </c>
      <c r="D41" s="52"/>
      <c r="E41" s="52"/>
    </row>
    <row r="42" spans="1:48" ht="15" customHeight="1" x14ac:dyDescent="0.25">
      <c r="B42" s="41"/>
      <c r="C42" s="52" t="s">
        <v>67</v>
      </c>
      <c r="D42" s="52"/>
      <c r="E42" s="52"/>
    </row>
    <row r="43" spans="1:48" ht="15" customHeight="1" x14ac:dyDescent="0.25">
      <c r="B43" s="42"/>
      <c r="C43" s="52" t="s">
        <v>68</v>
      </c>
      <c r="D43" s="52"/>
      <c r="E43" s="52"/>
    </row>
    <row r="44" spans="1:48" ht="15" customHeight="1" x14ac:dyDescent="0.25">
      <c r="D44" s="52"/>
    </row>
    <row r="45" spans="1:48" ht="15" customHeight="1" x14ac:dyDescent="0.25"/>
    <row r="46" spans="1:48" ht="15" customHeight="1" x14ac:dyDescent="0.25">
      <c r="N46" s="19">
        <v>1</v>
      </c>
      <c r="O46" s="19">
        <v>44.13</v>
      </c>
      <c r="Q46" s="19">
        <v>20.149999999999999</v>
      </c>
    </row>
    <row r="47" spans="1:48" ht="15" customHeight="1" x14ac:dyDescent="0.25">
      <c r="N47" s="19">
        <v>2</v>
      </c>
      <c r="O47" s="19">
        <v>3.25</v>
      </c>
      <c r="Q47" s="19">
        <v>86.719999999999985</v>
      </c>
    </row>
    <row r="48" spans="1:48" ht="15" customHeight="1" x14ac:dyDescent="0.25">
      <c r="N48" s="19">
        <v>3</v>
      </c>
      <c r="O48" s="19">
        <v>60.980000000000004</v>
      </c>
      <c r="Q48" s="19">
        <v>25.28</v>
      </c>
    </row>
    <row r="49" spans="14:24" ht="15" customHeight="1" x14ac:dyDescent="0.25">
      <c r="N49" s="19">
        <v>4</v>
      </c>
      <c r="O49" s="19">
        <v>56.01</v>
      </c>
      <c r="Q49" s="19">
        <v>14.9</v>
      </c>
    </row>
    <row r="50" spans="14:24" ht="15" customHeight="1" x14ac:dyDescent="0.25">
      <c r="N50" s="19">
        <v>5</v>
      </c>
      <c r="O50" s="19">
        <v>15.7</v>
      </c>
      <c r="Q50" s="19">
        <v>20.68</v>
      </c>
      <c r="S50" s="19">
        <v>2.5099999999999998</v>
      </c>
    </row>
    <row r="51" spans="14:24" ht="15" customHeight="1" x14ac:dyDescent="0.25">
      <c r="N51" s="19">
        <v>6</v>
      </c>
      <c r="O51" s="19">
        <v>40.300000000000004</v>
      </c>
      <c r="Q51" s="19">
        <v>15.989999999999998</v>
      </c>
    </row>
    <row r="52" spans="14:24" ht="15" customHeight="1" x14ac:dyDescent="0.25">
      <c r="N52" s="19">
        <v>7</v>
      </c>
      <c r="O52" s="19">
        <v>24.72</v>
      </c>
    </row>
    <row r="53" spans="14:24" ht="15" customHeight="1" x14ac:dyDescent="0.25">
      <c r="N53" s="19">
        <v>8</v>
      </c>
      <c r="O53" s="19">
        <v>43.65</v>
      </c>
      <c r="Q53" s="19">
        <v>36.49</v>
      </c>
      <c r="S53" s="19">
        <v>9.36</v>
      </c>
    </row>
    <row r="54" spans="14:24" ht="15" customHeight="1" x14ac:dyDescent="0.25">
      <c r="N54" s="19">
        <v>9</v>
      </c>
      <c r="O54" s="19">
        <v>28.68</v>
      </c>
      <c r="Q54" s="19">
        <v>17.309999999999999</v>
      </c>
      <c r="W54" s="20"/>
      <c r="X54" s="20"/>
    </row>
    <row r="55" spans="14:24" ht="15" customHeight="1" x14ac:dyDescent="0.25">
      <c r="N55" s="19">
        <v>10</v>
      </c>
      <c r="O55" s="19">
        <v>17.559999999999999</v>
      </c>
      <c r="Q55" s="19">
        <v>10.92</v>
      </c>
    </row>
    <row r="56" spans="14:24" ht="15" customHeight="1" x14ac:dyDescent="0.25">
      <c r="N56" s="19">
        <v>11</v>
      </c>
      <c r="O56" s="19">
        <v>34.840000000000003</v>
      </c>
      <c r="Q56" s="19">
        <v>15.729999999999999</v>
      </c>
    </row>
    <row r="57" spans="14:24" ht="15" customHeight="1" x14ac:dyDescent="0.25">
      <c r="N57" s="19">
        <v>12</v>
      </c>
      <c r="O57" s="19">
        <v>62.379999999999995</v>
      </c>
      <c r="Q57" s="19">
        <v>22.2</v>
      </c>
    </row>
    <row r="58" spans="14:24" ht="15" customHeight="1" x14ac:dyDescent="0.25">
      <c r="N58" s="19">
        <v>13</v>
      </c>
      <c r="O58" s="19">
        <v>59.519999999999996</v>
      </c>
      <c r="Q58" s="19">
        <v>29.65</v>
      </c>
    </row>
    <row r="59" spans="14:24" ht="15" customHeight="1" x14ac:dyDescent="0.25">
      <c r="N59" s="19">
        <v>14</v>
      </c>
      <c r="O59" s="19">
        <v>41.65</v>
      </c>
      <c r="Q59" s="19">
        <v>18.02</v>
      </c>
      <c r="S59" s="19">
        <v>2.61</v>
      </c>
    </row>
    <row r="60" spans="14:24" ht="15" customHeight="1" x14ac:dyDescent="0.25">
      <c r="N60" s="19">
        <v>15</v>
      </c>
      <c r="O60" s="19">
        <v>33.380000000000003</v>
      </c>
      <c r="Q60" s="19">
        <v>10.51</v>
      </c>
      <c r="S60" s="19">
        <v>20.07</v>
      </c>
    </row>
    <row r="61" spans="14:24" ht="15" customHeight="1" x14ac:dyDescent="0.25">
      <c r="N61" s="19">
        <v>16</v>
      </c>
      <c r="O61" s="19">
        <v>36.950000000000003</v>
      </c>
      <c r="Q61" s="19">
        <v>21.07</v>
      </c>
      <c r="S61" s="19">
        <v>22.21</v>
      </c>
    </row>
    <row r="62" spans="14:24" ht="15" customHeight="1" x14ac:dyDescent="0.25">
      <c r="N62" s="19">
        <v>17</v>
      </c>
      <c r="O62" s="19">
        <v>25.86</v>
      </c>
      <c r="Q62" s="19">
        <v>13.43</v>
      </c>
      <c r="S62" s="19">
        <v>18.86</v>
      </c>
    </row>
    <row r="63" spans="14:24" ht="15" customHeight="1" x14ac:dyDescent="0.25">
      <c r="N63" s="19">
        <v>18</v>
      </c>
      <c r="O63" s="19">
        <v>42.66</v>
      </c>
      <c r="Q63" s="19">
        <v>17.68</v>
      </c>
    </row>
    <row r="64" spans="14:24" ht="15" customHeight="1" x14ac:dyDescent="0.25">
      <c r="N64" s="19">
        <v>19</v>
      </c>
      <c r="O64" s="19">
        <v>19.59</v>
      </c>
      <c r="Q64" s="19">
        <v>14.64</v>
      </c>
      <c r="S64" s="19">
        <v>10.050000000000001</v>
      </c>
    </row>
    <row r="65" spans="14:22" ht="15" customHeight="1" x14ac:dyDescent="0.25">
      <c r="N65" s="19">
        <v>20</v>
      </c>
      <c r="O65" s="19">
        <v>29.87</v>
      </c>
      <c r="Q65" s="19">
        <v>19.36</v>
      </c>
    </row>
    <row r="66" spans="14:22" ht="15" customHeight="1" x14ac:dyDescent="0.25">
      <c r="N66" s="19">
        <v>21</v>
      </c>
      <c r="O66" s="19">
        <v>32.61</v>
      </c>
      <c r="Q66" s="19">
        <v>37.53</v>
      </c>
      <c r="S66" s="19">
        <v>23.66</v>
      </c>
    </row>
    <row r="67" spans="14:22" ht="15" customHeight="1" x14ac:dyDescent="0.25">
      <c r="N67" s="19">
        <v>22</v>
      </c>
      <c r="O67" s="19">
        <v>41.25</v>
      </c>
      <c r="Q67" s="19">
        <v>19.259999999999998</v>
      </c>
      <c r="S67" s="19">
        <v>24.229999999999997</v>
      </c>
    </row>
    <row r="68" spans="14:22" ht="15" customHeight="1" x14ac:dyDescent="0.25">
      <c r="N68" s="19">
        <v>23</v>
      </c>
      <c r="O68" s="19">
        <v>17.37</v>
      </c>
      <c r="Q68" s="19">
        <v>3.79</v>
      </c>
    </row>
    <row r="69" spans="14:22" ht="15" customHeight="1" x14ac:dyDescent="0.25">
      <c r="N69" s="19">
        <v>24</v>
      </c>
      <c r="O69" s="19">
        <v>42.98</v>
      </c>
      <c r="Q69" s="19">
        <v>13.32</v>
      </c>
    </row>
    <row r="70" spans="14:22" ht="15" customHeight="1" x14ac:dyDescent="0.25">
      <c r="N70" s="19">
        <v>25</v>
      </c>
      <c r="O70" s="19">
        <v>16.68</v>
      </c>
      <c r="Q70" s="19">
        <v>5.99</v>
      </c>
    </row>
    <row r="71" spans="14:22" ht="15" customHeight="1" x14ac:dyDescent="0.25">
      <c r="N71" s="19">
        <v>27</v>
      </c>
      <c r="O71" s="19">
        <v>8.31</v>
      </c>
      <c r="Q71" s="19">
        <v>8.74</v>
      </c>
      <c r="V71" s="20"/>
    </row>
    <row r="72" spans="14:22" ht="15" customHeight="1" x14ac:dyDescent="0.25">
      <c r="N72" s="19">
        <v>28</v>
      </c>
      <c r="O72" s="19">
        <v>16.89</v>
      </c>
      <c r="Q72" s="19">
        <v>12.379999999999999</v>
      </c>
    </row>
    <row r="73" spans="14:22" ht="15" customHeight="1" x14ac:dyDescent="0.25">
      <c r="N73" s="19">
        <v>29</v>
      </c>
      <c r="O73" s="19">
        <v>6.17</v>
      </c>
      <c r="Q73" s="19">
        <v>3.58</v>
      </c>
    </row>
    <row r="74" spans="14:22" ht="15" customHeight="1" x14ac:dyDescent="0.25">
      <c r="N74" s="19">
        <v>30</v>
      </c>
      <c r="O74" s="19">
        <v>11.82</v>
      </c>
      <c r="Q74" s="19">
        <v>9.1300000000000008</v>
      </c>
    </row>
    <row r="75" spans="14:22" ht="15" customHeight="1" x14ac:dyDescent="0.25">
      <c r="N75" s="19">
        <v>31</v>
      </c>
      <c r="O75" s="19">
        <v>10.940000000000001</v>
      </c>
      <c r="Q75" s="19">
        <v>6.92</v>
      </c>
      <c r="S75" s="19">
        <v>3.15</v>
      </c>
    </row>
    <row r="76" spans="14:22" ht="15" customHeight="1" x14ac:dyDescent="0.25">
      <c r="N76" s="19">
        <v>33</v>
      </c>
      <c r="O76" s="19">
        <v>19.080000000000002</v>
      </c>
      <c r="Q76" s="19">
        <v>6.49</v>
      </c>
    </row>
    <row r="77" spans="14:22" ht="15" customHeight="1" x14ac:dyDescent="0.25">
      <c r="N77" s="19">
        <v>39</v>
      </c>
      <c r="O77" s="19">
        <v>2.06</v>
      </c>
      <c r="Q77" s="19">
        <v>0.87</v>
      </c>
    </row>
    <row r="78" spans="14:22" ht="15" customHeight="1" x14ac:dyDescent="0.25">
      <c r="N78" s="19">
        <v>105</v>
      </c>
    </row>
    <row r="79" spans="14:22" ht="15" customHeight="1" x14ac:dyDescent="0.25">
      <c r="N79" s="19">
        <v>114</v>
      </c>
    </row>
    <row r="80" spans="14:22" ht="15" customHeight="1" x14ac:dyDescent="0.25">
      <c r="N80" s="19" t="s">
        <v>7</v>
      </c>
      <c r="O80" s="19">
        <v>14.24</v>
      </c>
      <c r="Q80" s="19">
        <v>10.84</v>
      </c>
    </row>
    <row r="81" spans="19:20" ht="15" customHeight="1" x14ac:dyDescent="0.25"/>
    <row r="88" spans="19:20" x14ac:dyDescent="0.25">
      <c r="T88" s="20"/>
    </row>
    <row r="92" spans="19:20" x14ac:dyDescent="0.25">
      <c r="S92" s="20"/>
    </row>
  </sheetData>
  <sortState xmlns:xlrd2="http://schemas.microsoft.com/office/spreadsheetml/2017/richdata2" ref="N46:T114">
    <sortCondition ref="N46:N114"/>
  </sortState>
  <mergeCells count="12">
    <mergeCell ref="A15:A20"/>
    <mergeCell ref="D15:D20"/>
    <mergeCell ref="A21:A26"/>
    <mergeCell ref="D21:D26"/>
    <mergeCell ref="A27:A35"/>
    <mergeCell ref="D27:D35"/>
    <mergeCell ref="A3:A5"/>
    <mergeCell ref="D3:D5"/>
    <mergeCell ref="A6:A12"/>
    <mergeCell ref="D6:D12"/>
    <mergeCell ref="A13:A14"/>
    <mergeCell ref="D13:D14"/>
  </mergeCells>
  <pageMargins left="0.25" right="0.25" top="0.75" bottom="0.75" header="0.3" footer="0.3"/>
  <pageSetup paperSize="9" scale="59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E244-A213-40DC-8CFC-BB710B7781DB}">
  <sheetPr>
    <tabColor rgb="FFFFFF00"/>
    <pageSetUpPr fitToPage="1"/>
  </sheetPr>
  <dimension ref="A1:NK130"/>
  <sheetViews>
    <sheetView showRuler="0" view="pageBreakPreview" topLeftCell="B1" zoomScale="83" zoomScaleNormal="83" zoomScaleSheetLayoutView="83" zoomScalePageLayoutView="70" workbookViewId="0">
      <selection activeCell="IX9" sqref="B9:IX9"/>
    </sheetView>
  </sheetViews>
  <sheetFormatPr defaultRowHeight="15" outlineLevelCol="2" x14ac:dyDescent="0.25"/>
  <cols>
    <col min="1" max="1" width="9.5703125" style="19" customWidth="1"/>
    <col min="2" max="2" width="6.5703125" style="18" customWidth="1"/>
    <col min="3" max="3" width="10.5703125" style="18" customWidth="1"/>
    <col min="4" max="4" width="11" style="36" hidden="1" customWidth="1"/>
    <col min="5" max="5" width="11.7109375" style="36" hidden="1" customWidth="1"/>
    <col min="6" max="6" width="11.42578125" style="36" hidden="1" customWidth="1"/>
    <col min="7" max="7" width="11.28515625" style="36" hidden="1" customWidth="1"/>
    <col min="8" max="8" width="11.7109375" style="36" customWidth="1"/>
    <col min="9" max="9" width="10.85546875" style="19" hidden="1" customWidth="1"/>
    <col min="10" max="10" width="12.140625" style="19" hidden="1" customWidth="1"/>
    <col min="11" max="11" width="12" style="19" hidden="1" customWidth="1"/>
    <col min="12" max="12" width="11.5703125" style="19" hidden="1" customWidth="1"/>
    <col min="13" max="13" width="9.140625" style="19" hidden="1" customWidth="1"/>
    <col min="14" max="14" width="11.5703125" style="19" hidden="1" customWidth="1"/>
    <col min="15" max="15" width="11.85546875" style="19" hidden="1" customWidth="1"/>
    <col min="16" max="16" width="11.5703125" style="19" hidden="1" customWidth="1"/>
    <col min="17" max="17" width="11.42578125" style="19" hidden="1" customWidth="1"/>
    <col min="18" max="18" width="9.28515625" style="19" hidden="1" customWidth="1"/>
    <col min="19" max="19" width="11.28515625" style="19" hidden="1" customWidth="1"/>
    <col min="20" max="20" width="12" style="19" hidden="1" customWidth="1"/>
    <col min="21" max="21" width="11.7109375" style="19" hidden="1" customWidth="1"/>
    <col min="22" max="22" width="11.5703125" style="19" hidden="1" customWidth="1"/>
    <col min="23" max="23" width="9.42578125" style="19" hidden="1" customWidth="1"/>
    <col min="24" max="24" width="11.28515625" style="19" hidden="1" customWidth="1"/>
    <col min="25" max="25" width="12" style="19" hidden="1" customWidth="1"/>
    <col min="26" max="26" width="11.7109375" style="19" hidden="1" customWidth="1"/>
    <col min="27" max="27" width="11.5703125" style="19" hidden="1" customWidth="1"/>
    <col min="28" max="28" width="9.85546875" style="19" hidden="1" customWidth="1"/>
    <col min="29" max="29" width="11" style="19" hidden="1" customWidth="1"/>
    <col min="30" max="30" width="11.7109375" style="19" hidden="1" customWidth="1"/>
    <col min="31" max="31" width="11.42578125" style="19" hidden="1" customWidth="1"/>
    <col min="32" max="33" width="11.28515625" style="19" hidden="1" customWidth="1"/>
    <col min="34" max="34" width="11" style="19" hidden="1" customWidth="1"/>
    <col min="35" max="35" width="11.7109375" style="19" hidden="1" customWidth="1"/>
    <col min="36" max="36" width="11.42578125" style="19" hidden="1" customWidth="1"/>
    <col min="37" max="37" width="11.28515625" style="19" hidden="1" customWidth="1"/>
    <col min="38" max="38" width="10.140625" style="19" hidden="1" customWidth="1"/>
    <col min="39" max="39" width="12" style="19" hidden="1" customWidth="1"/>
    <col min="40" max="40" width="12.85546875" style="19" hidden="1" customWidth="1"/>
    <col min="41" max="41" width="12.7109375" style="19" hidden="1" customWidth="1"/>
    <col min="42" max="42" width="12.42578125" style="19" hidden="1" customWidth="1"/>
    <col min="43" max="43" width="10.28515625" style="19" hidden="1" customWidth="1"/>
    <col min="44" max="44" width="11.140625" style="19" hidden="1" customWidth="1"/>
    <col min="45" max="45" width="11.85546875" style="19" hidden="1" customWidth="1"/>
    <col min="46" max="46" width="11.5703125" style="19" hidden="1" customWidth="1"/>
    <col min="47" max="47" width="11.42578125" style="19" hidden="1" customWidth="1"/>
    <col min="48" max="48" width="10.140625" style="19" hidden="1" customWidth="1"/>
    <col min="49" max="49" width="11" style="19" hidden="1" customWidth="1"/>
    <col min="50" max="50" width="11.7109375" style="19" hidden="1" customWidth="1"/>
    <col min="51" max="51" width="11.42578125" style="19" hidden="1" customWidth="1"/>
    <col min="52" max="52" width="11.28515625" style="19" hidden="1" customWidth="1"/>
    <col min="53" max="53" width="9.140625" style="19" hidden="1" customWidth="1"/>
    <col min="54" max="57" width="12.28515625" style="19" hidden="1" customWidth="1"/>
    <col min="58" max="58" width="9.140625" style="19" hidden="1" customWidth="1"/>
    <col min="59" max="62" width="12.7109375" style="19" hidden="1" customWidth="1"/>
    <col min="63" max="63" width="9.140625" style="19" hidden="1" customWidth="1"/>
    <col min="64" max="67" width="12.5703125" style="19" hidden="1" customWidth="1"/>
    <col min="68" max="68" width="9.140625" style="19" hidden="1" customWidth="1"/>
    <col min="69" max="69" width="10.140625" style="19" bestFit="1" customWidth="1"/>
    <col min="70" max="70" width="12.42578125" style="19" hidden="1" customWidth="1"/>
    <col min="71" max="73" width="12.42578125" style="52" hidden="1" customWidth="1"/>
    <col min="74" max="74" width="9.28515625" style="52" hidden="1" customWidth="1"/>
    <col min="75" max="78" width="12" style="52" hidden="1" customWidth="1"/>
    <col min="79" max="79" width="9.140625" style="52" hidden="1" customWidth="1"/>
    <col min="80" max="83" width="12" style="757" hidden="1" customWidth="1"/>
    <col min="84" max="84" width="9.140625" style="52" hidden="1" customWidth="1"/>
    <col min="85" max="85" width="11" style="52" hidden="1" customWidth="1"/>
    <col min="86" max="86" width="11.7109375" style="52" hidden="1" customWidth="1"/>
    <col min="87" max="87" width="11.42578125" style="52" hidden="1" customWidth="1"/>
    <col min="88" max="88" width="11.28515625" style="52" hidden="1" customWidth="1"/>
    <col min="89" max="89" width="9.140625" style="52" hidden="1" customWidth="1"/>
    <col min="90" max="93" width="10.7109375" style="52" hidden="1" customWidth="1"/>
    <col min="94" max="94" width="9.140625" style="52" hidden="1" customWidth="1"/>
    <col min="95" max="95" width="10.5703125" style="52" hidden="1" customWidth="1"/>
    <col min="96" max="96" width="11" style="52" hidden="1" customWidth="1"/>
    <col min="97" max="97" width="10.85546875" style="52" hidden="1" customWidth="1"/>
    <col min="98" max="98" width="10.7109375" style="52" hidden="1" customWidth="1"/>
    <col min="99" max="99" width="8.140625" style="52" hidden="1" customWidth="1"/>
    <col min="100" max="100" width="11" style="52" hidden="1" customWidth="1"/>
    <col min="101" max="101" width="11.7109375" style="52" hidden="1" customWidth="1"/>
    <col min="102" max="102" width="11.42578125" style="52" hidden="1" customWidth="1"/>
    <col min="103" max="103" width="11.28515625" style="52" hidden="1" customWidth="1"/>
    <col min="104" max="104" width="9.140625" style="52" hidden="1" customWidth="1"/>
    <col min="105" max="105" width="11.28515625" style="52" hidden="1" customWidth="1"/>
    <col min="106" max="106" width="11.85546875" style="52" hidden="1" customWidth="1"/>
    <col min="107" max="107" width="11.7109375" style="52" hidden="1" customWidth="1"/>
    <col min="108" max="108" width="11.5703125" style="52" hidden="1" customWidth="1"/>
    <col min="109" max="109" width="9.140625" style="52" hidden="1" customWidth="1"/>
    <col min="110" max="110" width="11.28515625" style="52" hidden="1" customWidth="1"/>
    <col min="111" max="111" width="11.85546875" style="52" hidden="1" customWidth="1"/>
    <col min="112" max="112" width="11.7109375" style="52" hidden="1" customWidth="1"/>
    <col min="113" max="113" width="11.5703125" style="52" hidden="1" customWidth="1"/>
    <col min="114" max="114" width="9.140625" style="52" hidden="1" customWidth="1"/>
    <col min="115" max="115" width="11.28515625" style="52" hidden="1" customWidth="1"/>
    <col min="116" max="116" width="11.85546875" style="52" hidden="1" customWidth="1"/>
    <col min="117" max="117" width="11.7109375" style="52" hidden="1" customWidth="1"/>
    <col min="118" max="118" width="11.5703125" style="52" hidden="1" customWidth="1"/>
    <col min="119" max="119" width="9.140625" style="52" hidden="1" customWidth="1"/>
    <col min="120" max="123" width="11.5703125" style="52" hidden="1" customWidth="1"/>
    <col min="124" max="124" width="8.140625" style="52" hidden="1" customWidth="1"/>
    <col min="125" max="125" width="11" style="52" hidden="1" customWidth="1"/>
    <col min="126" max="126" width="11.7109375" style="52" hidden="1" customWidth="1"/>
    <col min="127" max="127" width="11.42578125" style="52" hidden="1" customWidth="1"/>
    <col min="128" max="128" width="11.28515625" style="52" hidden="1" customWidth="1"/>
    <col min="129" max="129" width="9.140625" style="52" hidden="1" customWidth="1"/>
    <col min="130" max="130" width="10.140625" style="19" bestFit="1" customWidth="1"/>
    <col min="131" max="131" width="12.7109375" style="52" hidden="1" customWidth="1"/>
    <col min="132" max="132" width="13.5703125" style="52" hidden="1" customWidth="1"/>
    <col min="133" max="133" width="13.42578125" style="52" hidden="1" customWidth="1"/>
    <col min="134" max="134" width="13.28515625" style="52" hidden="1" customWidth="1"/>
    <col min="135" max="135" width="9.140625" style="52" hidden="1" customWidth="1"/>
    <col min="136" max="136" width="12.7109375" style="52" hidden="1" customWidth="1"/>
    <col min="137" max="137" width="13.5703125" style="52" hidden="1" customWidth="1"/>
    <col min="138" max="138" width="13.42578125" style="52" hidden="1" customWidth="1"/>
    <col min="139" max="139" width="13.28515625" style="52" hidden="1" customWidth="1"/>
    <col min="140" max="140" width="9.140625" style="52" hidden="1" customWidth="1"/>
    <col min="141" max="141" width="12.7109375" style="52" hidden="1" customWidth="1" collapsed="1"/>
    <col min="142" max="142" width="13.5703125" style="52" hidden="1" customWidth="1"/>
    <col min="143" max="143" width="13.42578125" style="52" hidden="1" customWidth="1"/>
    <col min="144" max="144" width="13.28515625" style="52" hidden="1" customWidth="1"/>
    <col min="145" max="145" width="9" style="52" hidden="1" customWidth="1"/>
    <col min="146" max="146" width="13" style="52" hidden="1" customWidth="1" collapsed="1"/>
    <col min="147" max="149" width="13" style="52" hidden="1" customWidth="1"/>
    <col min="150" max="150" width="9.42578125" style="52" hidden="1" customWidth="1"/>
    <col min="151" max="151" width="13" style="52" hidden="1" customWidth="1" collapsed="1"/>
    <col min="152" max="152" width="13.7109375" style="52" hidden="1" customWidth="1"/>
    <col min="153" max="154" width="13.5703125" style="52" hidden="1" customWidth="1"/>
    <col min="155" max="155" width="9.42578125" style="52" hidden="1" customWidth="1"/>
    <col min="156" max="156" width="12.7109375" style="52" hidden="1" customWidth="1" collapsed="1"/>
    <col min="157" max="157" width="13.5703125" style="52" hidden="1" customWidth="1"/>
    <col min="158" max="158" width="13.42578125" style="52" hidden="1" customWidth="1"/>
    <col min="159" max="159" width="13.28515625" style="52" hidden="1" customWidth="1"/>
    <col min="160" max="160" width="9.28515625" style="52" hidden="1" customWidth="1"/>
    <col min="161" max="161" width="13.28515625" style="52" hidden="1" customWidth="1" collapsed="1"/>
    <col min="162" max="162" width="14" style="52" hidden="1" customWidth="1"/>
    <col min="163" max="164" width="13.85546875" style="52" hidden="1" customWidth="1"/>
    <col min="165" max="165" width="10.28515625" style="52" hidden="1" customWidth="1"/>
    <col min="166" max="166" width="12.7109375" style="52" hidden="1" customWidth="1" collapsed="1"/>
    <col min="167" max="167" width="13.5703125" style="52" hidden="1" customWidth="1"/>
    <col min="168" max="168" width="13.42578125" style="52" hidden="1" customWidth="1"/>
    <col min="169" max="169" width="13.28515625" style="52" hidden="1" customWidth="1"/>
    <col min="170" max="170" width="10.28515625" style="52" hidden="1" customWidth="1"/>
    <col min="171" max="171" width="12.7109375" style="52" hidden="1" customWidth="1" collapsed="1"/>
    <col min="172" max="172" width="13.5703125" style="52" hidden="1" customWidth="1"/>
    <col min="173" max="173" width="13.42578125" style="52" hidden="1" customWidth="1"/>
    <col min="174" max="174" width="13.28515625" style="52" hidden="1" customWidth="1"/>
    <col min="175" max="175" width="9" style="52" hidden="1" customWidth="1"/>
    <col min="176" max="176" width="12.7109375" style="52" hidden="1" customWidth="1" collapsed="1"/>
    <col min="177" max="177" width="13.42578125" style="52" hidden="1" customWidth="1"/>
    <col min="178" max="178" width="13.28515625" style="52" hidden="1" customWidth="1"/>
    <col min="179" max="179" width="13.140625" style="52" hidden="1" customWidth="1"/>
    <col min="180" max="180" width="10.28515625" style="52" hidden="1" customWidth="1"/>
    <col min="181" max="181" width="12.7109375" style="52" hidden="1" customWidth="1"/>
    <col min="182" max="182" width="13.42578125" style="52" hidden="1" customWidth="1"/>
    <col min="183" max="183" width="13.28515625" style="52" hidden="1" customWidth="1"/>
    <col min="184" max="184" width="13.140625" style="52" hidden="1" customWidth="1"/>
    <col min="185" max="185" width="10.28515625" style="52" hidden="1" customWidth="1"/>
    <col min="186" max="186" width="12.7109375" style="52" hidden="1" customWidth="1" collapsed="1"/>
    <col min="187" max="187" width="13.42578125" style="52" hidden="1" customWidth="1"/>
    <col min="188" max="188" width="13.28515625" style="52" hidden="1" customWidth="1"/>
    <col min="189" max="189" width="13.140625" style="52" hidden="1" customWidth="1"/>
    <col min="190" max="190" width="9" style="52" hidden="1" customWidth="1" collapsed="1"/>
    <col min="191" max="191" width="10.140625" style="19" bestFit="1" customWidth="1"/>
    <col min="192" max="192" width="12.7109375" style="51" hidden="1" customWidth="1" collapsed="1"/>
    <col min="193" max="193" width="13.42578125" style="51" hidden="1" customWidth="1"/>
    <col min="194" max="194" width="13.28515625" style="51" hidden="1" customWidth="1"/>
    <col min="195" max="195" width="13.140625" style="51" hidden="1" customWidth="1"/>
    <col min="196" max="196" width="11.5703125" style="51" hidden="1" customWidth="1" collapsed="1"/>
    <col min="197" max="197" width="12.7109375" style="51" hidden="1" customWidth="1" collapsed="1"/>
    <col min="198" max="198" width="13.42578125" style="51" hidden="1" customWidth="1"/>
    <col min="199" max="199" width="13.28515625" style="51" hidden="1" customWidth="1"/>
    <col min="200" max="200" width="13.140625" style="51" hidden="1" customWidth="1"/>
    <col min="201" max="201" width="11.5703125" style="51" hidden="1" customWidth="1" collapsed="1"/>
    <col min="202" max="202" width="12.5703125" style="51" hidden="1" customWidth="1" collapsed="1"/>
    <col min="203" max="204" width="13.140625" style="51" hidden="1" customWidth="1"/>
    <col min="205" max="205" width="13" style="51" hidden="1" customWidth="1"/>
    <col min="206" max="206" width="7.7109375" style="51" hidden="1" customWidth="1" collapsed="1"/>
    <col min="207" max="207" width="11.7109375" style="51" hidden="1" customWidth="1" collapsed="1"/>
    <col min="208" max="208" width="12.42578125" style="51" hidden="1" customWidth="1"/>
    <col min="209" max="209" width="12.28515625" style="51" hidden="1" customWidth="1"/>
    <col min="210" max="210" width="12" style="51" hidden="1" customWidth="1"/>
    <col min="211" max="211" width="9" style="51" hidden="1" customWidth="1" collapsed="1"/>
    <col min="212" max="212" width="11.7109375" style="51" hidden="1" customWidth="1" collapsed="1"/>
    <col min="213" max="213" width="12.42578125" style="51" hidden="1" customWidth="1"/>
    <col min="214" max="214" width="12.28515625" style="51" hidden="1" customWidth="1"/>
    <col min="215" max="215" width="12" style="51" hidden="1" customWidth="1"/>
    <col min="216" max="216" width="9" style="51" hidden="1" customWidth="1" collapsed="1"/>
    <col min="217" max="217" width="11.7109375" style="51" hidden="1" customWidth="1" collapsed="1"/>
    <col min="218" max="218" width="12.42578125" style="51" hidden="1" customWidth="1"/>
    <col min="219" max="219" width="12.28515625" style="51" hidden="1" customWidth="1"/>
    <col min="220" max="220" width="12" style="51" hidden="1" customWidth="1"/>
    <col min="221" max="221" width="9.140625" style="51" hidden="1" customWidth="1" collapsed="1"/>
    <col min="222" max="222" width="12.5703125" style="51" hidden="1" customWidth="1" collapsed="1"/>
    <col min="223" max="224" width="13.140625" style="51" hidden="1" customWidth="1"/>
    <col min="225" max="225" width="13" style="51" hidden="1" customWidth="1"/>
    <col min="226" max="226" width="11.5703125" style="51" hidden="1" customWidth="1" collapsed="1"/>
    <col min="227" max="227" width="11.7109375" style="51" hidden="1" customWidth="1" collapsed="1"/>
    <col min="228" max="228" width="12.42578125" style="51" hidden="1" customWidth="1"/>
    <col min="229" max="229" width="12.28515625" style="51" hidden="1" customWidth="1"/>
    <col min="230" max="230" width="12" style="51" hidden="1" customWidth="1"/>
    <col min="231" max="231" width="9.140625" style="51" hidden="1" customWidth="1" collapsed="1"/>
    <col min="232" max="232" width="13.42578125" style="51" hidden="1" customWidth="1" collapsed="1"/>
    <col min="233" max="234" width="14.42578125" style="51" hidden="1" customWidth="1"/>
    <col min="235" max="235" width="13.85546875" style="51" hidden="1" customWidth="1"/>
    <col min="236" max="237" width="12.5703125" style="51" hidden="1" customWidth="1" collapsed="1"/>
    <col min="238" max="239" width="13.140625" style="51" hidden="1" customWidth="1"/>
    <col min="240" max="240" width="13" style="51" hidden="1" customWidth="1"/>
    <col min="241" max="241" width="11.5703125" style="51" hidden="1" customWidth="1" collapsed="1"/>
    <col min="242" max="242" width="12.5703125" style="51" hidden="1" customWidth="1" collapsed="1"/>
    <col min="243" max="244" width="13.140625" style="51" hidden="1" customWidth="1"/>
    <col min="245" max="245" width="13" style="51" hidden="1" customWidth="1"/>
    <col min="246" max="246" width="12" style="51" hidden="1" customWidth="1" collapsed="1"/>
    <col min="247" max="247" width="12.5703125" style="51" hidden="1" customWidth="1" collapsed="1"/>
    <col min="248" max="249" width="13.140625" style="51" hidden="1" customWidth="1"/>
    <col min="250" max="250" width="13" style="51" hidden="1" customWidth="1"/>
    <col min="251" max="251" width="12" style="51" hidden="1" customWidth="1" collapsed="1"/>
    <col min="252" max="252" width="12" style="51" hidden="1" customWidth="1"/>
    <col min="253" max="253" width="10.140625" style="19" bestFit="1" customWidth="1"/>
    <col min="254" max="254" width="11.7109375" style="445" customWidth="1" outlineLevel="1" collapsed="1"/>
    <col min="255" max="255" width="13" style="19" customWidth="1" outlineLevel="1"/>
    <col min="256" max="256" width="12.28515625" style="19" customWidth="1" outlineLevel="1"/>
    <col min="257" max="257" width="12" style="19" customWidth="1" outlineLevel="1"/>
    <col min="258" max="258" width="9.140625" style="19" customWidth="1" outlineLevel="1" collapsed="1"/>
    <col min="259" max="259" width="13.7109375" style="19" customWidth="1" outlineLevel="2" collapsed="1"/>
    <col min="260" max="261" width="14.42578125" style="19" customWidth="1" outlineLevel="2"/>
    <col min="262" max="262" width="13.85546875" style="19" customWidth="1" outlineLevel="2"/>
    <col min="263" max="263" width="12.140625" style="19" customWidth="1" outlineLevel="1"/>
    <col min="264" max="264" width="13.42578125" style="19" customWidth="1" outlineLevel="2" collapsed="1"/>
    <col min="265" max="266" width="14.42578125" style="19" customWidth="1" outlineLevel="2"/>
    <col min="267" max="267" width="13.85546875" style="19" customWidth="1" outlineLevel="2"/>
    <col min="268" max="268" width="12.5703125" style="19" customWidth="1" outlineLevel="1"/>
    <col min="269" max="269" width="13.42578125" style="19" customWidth="1" outlineLevel="2" collapsed="1"/>
    <col min="270" max="271" width="14.42578125" style="19" customWidth="1" outlineLevel="2"/>
    <col min="272" max="272" width="13.85546875" style="19" customWidth="1" outlineLevel="2"/>
    <col min="273" max="273" width="12.5703125" style="19" customWidth="1" outlineLevel="1"/>
    <col min="274" max="274" width="12.5703125" style="19" customWidth="1" outlineLevel="2"/>
    <col min="275" max="276" width="13.140625" style="19" customWidth="1" outlineLevel="2"/>
    <col min="277" max="277" width="13" style="19" customWidth="1" outlineLevel="2"/>
    <col min="278" max="278" width="9" style="19" customWidth="1" outlineLevel="1"/>
    <col min="279" max="279" width="12.5703125" style="19" customWidth="1" outlineLevel="2"/>
    <col min="280" max="281" width="13.140625" style="19" customWidth="1" outlineLevel="2"/>
    <col min="282" max="282" width="13" style="19" customWidth="1" outlineLevel="2"/>
    <col min="283" max="283" width="9.140625" style="19" customWidth="1" outlineLevel="1"/>
    <col min="284" max="284" width="12.5703125" style="19" customWidth="1" outlineLevel="2"/>
    <col min="285" max="286" width="13.140625" style="19" customWidth="1" outlineLevel="2"/>
    <col min="287" max="287" width="13" style="19" customWidth="1" outlineLevel="2"/>
    <col min="288" max="288" width="11.5703125" style="19" customWidth="1" outlineLevel="1"/>
    <col min="289" max="289" width="11.7109375" style="19" customWidth="1" outlineLevel="2"/>
    <col min="290" max="290" width="12.42578125" style="19" customWidth="1" outlineLevel="2"/>
    <col min="291" max="291" width="12.28515625" style="19" customWidth="1" outlineLevel="2"/>
    <col min="292" max="292" width="12" style="19" customWidth="1" outlineLevel="2"/>
    <col min="293" max="293" width="9.140625" style="19" customWidth="1" outlineLevel="1"/>
    <col min="294" max="294" width="11.7109375" style="19" customWidth="1" outlineLevel="2"/>
    <col min="295" max="295" width="12.42578125" style="19" customWidth="1" outlineLevel="2"/>
    <col min="296" max="296" width="12.28515625" style="19" customWidth="1" outlineLevel="2"/>
    <col min="297" max="297" width="12" style="19" customWidth="1" outlineLevel="2"/>
    <col min="298" max="298" width="9.140625" style="19" customWidth="1" outlineLevel="1"/>
    <col min="299" max="299" width="11.7109375" style="19" customWidth="1" outlineLevel="2"/>
    <col min="300" max="300" width="12.42578125" style="19" customWidth="1" outlineLevel="2"/>
    <col min="301" max="301" width="12.28515625" style="19" customWidth="1" outlineLevel="2"/>
    <col min="302" max="302" width="12" style="19" customWidth="1" outlineLevel="2"/>
    <col min="303" max="303" width="9.140625" style="19" customWidth="1" outlineLevel="1"/>
    <col min="304" max="304" width="11.7109375" style="19" customWidth="1" outlineLevel="2"/>
    <col min="305" max="305" width="12.42578125" style="19" customWidth="1" outlineLevel="2"/>
    <col min="306" max="306" width="12.28515625" style="19" customWidth="1" outlineLevel="2"/>
    <col min="307" max="307" width="12" style="19" customWidth="1" outlineLevel="2"/>
    <col min="308" max="308" width="9.140625" style="19" customWidth="1" outlineLevel="1"/>
    <col min="309" max="309" width="11.7109375" style="19" customWidth="1" outlineLevel="2"/>
    <col min="310" max="310" width="12.42578125" style="19" customWidth="1" outlineLevel="2"/>
    <col min="311" max="311" width="12.28515625" style="19" customWidth="1" outlineLevel="2"/>
    <col min="312" max="312" width="12" style="19" customWidth="1" outlineLevel="2"/>
    <col min="313" max="313" width="10.140625" style="19" customWidth="1" outlineLevel="1"/>
    <col min="314" max="314" width="10.140625" style="19" bestFit="1" customWidth="1"/>
    <col min="315" max="315" width="11.7109375" style="19" customWidth="1"/>
    <col min="316" max="316" width="12.42578125" style="19" customWidth="1"/>
    <col min="317" max="317" width="12.28515625" style="19" customWidth="1"/>
    <col min="318" max="318" width="12" style="19" customWidth="1"/>
    <col min="319" max="319" width="10.140625" style="19" customWidth="1"/>
    <col min="320" max="374" width="9.140625" style="19"/>
    <col min="375" max="375" width="10.140625" style="19" bestFit="1" customWidth="1" collapsed="1"/>
    <col min="376" max="16384" width="9.140625" style="19"/>
  </cols>
  <sheetData>
    <row r="1" spans="1:375" ht="18.75" x14ac:dyDescent="0.25">
      <c r="A1" s="188" t="s">
        <v>124</v>
      </c>
    </row>
    <row r="2" spans="1:375" ht="18.75" x14ac:dyDescent="0.25">
      <c r="A2" s="188"/>
      <c r="ET2" s="809"/>
    </row>
    <row r="3" spans="1:375" s="190" customFormat="1" ht="21" x14ac:dyDescent="0.35">
      <c r="A3" s="189" t="s">
        <v>255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BS3" s="758"/>
      <c r="BT3" s="758"/>
      <c r="BU3" s="758"/>
      <c r="BV3" s="758"/>
      <c r="BW3" s="758"/>
      <c r="BX3" s="758"/>
      <c r="BY3" s="758"/>
      <c r="BZ3" s="758"/>
      <c r="CA3" s="758"/>
      <c r="CB3" s="759"/>
      <c r="CC3" s="759"/>
      <c r="CD3" s="759"/>
      <c r="CE3" s="759"/>
      <c r="CF3" s="758"/>
      <c r="CG3" s="758"/>
      <c r="CH3" s="758"/>
      <c r="CI3" s="758"/>
      <c r="CJ3" s="758"/>
      <c r="CK3" s="758"/>
      <c r="CL3" s="758"/>
      <c r="CM3" s="758"/>
      <c r="CN3" s="758"/>
      <c r="CO3" s="758"/>
      <c r="CP3" s="758"/>
      <c r="CQ3" s="758"/>
      <c r="CR3" s="758"/>
      <c r="CS3" s="758"/>
      <c r="CT3" s="758"/>
      <c r="CU3" s="758"/>
      <c r="CV3" s="758"/>
      <c r="CW3" s="758"/>
      <c r="CX3" s="758"/>
      <c r="CY3" s="758"/>
      <c r="CZ3" s="758"/>
      <c r="DA3" s="758"/>
      <c r="DB3" s="758"/>
      <c r="DC3" s="758"/>
      <c r="DD3" s="758"/>
      <c r="DE3" s="758"/>
      <c r="DF3" s="758"/>
      <c r="DG3" s="758"/>
      <c r="DH3" s="758"/>
      <c r="DI3" s="758"/>
      <c r="DJ3" s="758"/>
      <c r="DK3" s="758"/>
      <c r="DL3" s="758"/>
      <c r="DM3" s="758"/>
      <c r="DN3" s="758"/>
      <c r="DO3" s="758"/>
      <c r="DP3" s="758"/>
      <c r="DQ3" s="758"/>
      <c r="DR3" s="758"/>
      <c r="DS3" s="758"/>
      <c r="DT3" s="758"/>
      <c r="DU3" s="758"/>
      <c r="DV3" s="758"/>
      <c r="DW3" s="758"/>
      <c r="DX3" s="758"/>
      <c r="DY3" s="758"/>
      <c r="EA3" s="758"/>
      <c r="EB3" s="758"/>
      <c r="EC3" s="758"/>
      <c r="ED3" s="758"/>
      <c r="EE3" s="758"/>
      <c r="EF3" s="758"/>
      <c r="EG3" s="758"/>
      <c r="EH3" s="758"/>
      <c r="EI3" s="758"/>
      <c r="EJ3" s="758"/>
      <c r="EK3" s="758"/>
      <c r="EL3" s="758"/>
      <c r="EM3" s="758"/>
      <c r="EN3" s="758"/>
      <c r="EO3" s="758"/>
      <c r="EP3" s="758"/>
      <c r="EQ3" s="758"/>
      <c r="ER3" s="758"/>
      <c r="ES3" s="758"/>
      <c r="ET3" s="758"/>
      <c r="EU3" s="758"/>
      <c r="EV3" s="758"/>
      <c r="EW3" s="758"/>
      <c r="EX3" s="758"/>
      <c r="EY3" s="758"/>
      <c r="EZ3" s="758"/>
      <c r="FA3" s="758"/>
      <c r="FB3" s="758"/>
      <c r="FC3" s="758"/>
      <c r="FD3" s="758"/>
      <c r="FE3" s="758"/>
      <c r="FF3" s="758"/>
      <c r="FG3" s="758"/>
      <c r="FH3" s="758"/>
      <c r="FI3" s="758"/>
      <c r="FJ3" s="758"/>
      <c r="FK3" s="758"/>
      <c r="FL3" s="758"/>
      <c r="FM3" s="758"/>
      <c r="FN3" s="758"/>
      <c r="FO3" s="758"/>
      <c r="FP3" s="758"/>
      <c r="FQ3" s="758"/>
      <c r="FR3" s="758"/>
      <c r="FS3" s="758"/>
      <c r="FT3" s="758"/>
      <c r="FU3" s="758"/>
      <c r="FV3" s="758"/>
      <c r="FW3" s="758"/>
      <c r="FX3" s="758"/>
      <c r="FY3" s="758"/>
      <c r="FZ3" s="758"/>
      <c r="GA3" s="758"/>
      <c r="GB3" s="758"/>
      <c r="GC3" s="758"/>
      <c r="GD3" s="758"/>
      <c r="GE3" s="758"/>
      <c r="GF3" s="758"/>
      <c r="GG3" s="758"/>
      <c r="GH3" s="758"/>
      <c r="GJ3" s="191"/>
      <c r="GK3" s="191"/>
      <c r="GL3" s="191"/>
      <c r="GM3" s="191"/>
      <c r="GN3" s="191"/>
      <c r="GO3" s="191"/>
      <c r="GP3" s="191"/>
      <c r="GQ3" s="191"/>
      <c r="GR3" s="191"/>
      <c r="GS3" s="191"/>
      <c r="GT3" s="191"/>
      <c r="GU3" s="191"/>
      <c r="GV3" s="191"/>
      <c r="GW3" s="191"/>
      <c r="GX3" s="191"/>
      <c r="GY3" s="191"/>
      <c r="GZ3" s="191"/>
      <c r="HA3" s="191"/>
      <c r="HB3" s="191"/>
      <c r="HC3" s="191"/>
      <c r="HD3" s="191"/>
      <c r="HE3" s="191"/>
      <c r="HF3" s="191"/>
      <c r="HG3" s="191"/>
      <c r="HH3" s="191"/>
      <c r="HI3" s="191"/>
      <c r="HJ3" s="191"/>
      <c r="HK3" s="191"/>
      <c r="HL3" s="191"/>
      <c r="HM3" s="191"/>
      <c r="HN3" s="191"/>
      <c r="HO3" s="191"/>
      <c r="HP3" s="191"/>
      <c r="HQ3" s="191"/>
      <c r="HR3" s="191"/>
      <c r="HS3" s="191"/>
      <c r="HT3" s="191"/>
      <c r="HU3" s="191"/>
      <c r="HV3" s="191"/>
      <c r="HW3" s="191"/>
      <c r="HX3" s="191"/>
      <c r="HY3" s="191"/>
      <c r="HZ3" s="191"/>
      <c r="IA3" s="191"/>
      <c r="IB3" s="191"/>
      <c r="IC3" s="191"/>
      <c r="ID3" s="191"/>
      <c r="IE3" s="191"/>
      <c r="IF3" s="191"/>
      <c r="IG3" s="191"/>
      <c r="IH3" s="191"/>
      <c r="II3" s="191"/>
      <c r="IJ3" s="191"/>
      <c r="IK3" s="191"/>
      <c r="IL3" s="191"/>
      <c r="IM3" s="191"/>
      <c r="IN3" s="191"/>
      <c r="IO3" s="191"/>
      <c r="IP3" s="191"/>
      <c r="IQ3" s="191"/>
      <c r="IR3" s="191"/>
      <c r="IT3" s="446"/>
      <c r="KO3" s="19"/>
    </row>
    <row r="4" spans="1:375" s="20" customFormat="1" ht="15.75" x14ac:dyDescent="0.25">
      <c r="A4" s="889"/>
      <c r="B4" s="889"/>
      <c r="C4" s="889"/>
      <c r="D4" s="889"/>
      <c r="E4" s="889"/>
      <c r="F4" s="889"/>
      <c r="G4" s="889"/>
      <c r="H4" s="889"/>
      <c r="I4" s="889"/>
      <c r="J4" s="889"/>
      <c r="K4" s="889"/>
      <c r="L4" s="889"/>
      <c r="M4" s="889"/>
      <c r="N4" s="889"/>
      <c r="O4" s="889"/>
      <c r="P4" s="889"/>
      <c r="Q4" s="889"/>
      <c r="R4" s="889"/>
      <c r="S4" s="889"/>
      <c r="T4" s="889"/>
      <c r="U4" s="889"/>
      <c r="V4" s="889"/>
      <c r="W4" s="889"/>
      <c r="X4" s="889"/>
      <c r="Y4" s="889"/>
      <c r="Z4" s="889"/>
      <c r="AA4" s="889"/>
      <c r="AB4" s="889"/>
      <c r="AC4" s="889"/>
      <c r="AD4" s="889"/>
      <c r="AE4" s="889"/>
      <c r="AF4" s="889"/>
      <c r="AG4" s="889"/>
      <c r="AH4" s="889"/>
      <c r="AI4" s="889"/>
      <c r="AJ4" s="889"/>
      <c r="AK4" s="889"/>
      <c r="AL4" s="889"/>
      <c r="AM4" s="889"/>
      <c r="AN4" s="889"/>
      <c r="AO4" s="889"/>
      <c r="AP4" s="889"/>
      <c r="AQ4" s="889"/>
      <c r="AR4" s="889"/>
      <c r="AS4" s="889"/>
      <c r="AT4" s="889"/>
      <c r="AU4" s="889"/>
      <c r="AV4" s="889"/>
      <c r="AW4" s="889"/>
      <c r="AX4" s="889"/>
      <c r="AY4" s="889"/>
      <c r="AZ4" s="889"/>
      <c r="BA4" s="889"/>
      <c r="BB4" s="889"/>
      <c r="BC4" s="889"/>
      <c r="BD4" s="889"/>
      <c r="BE4" s="889"/>
      <c r="BF4" s="889"/>
      <c r="BG4" s="889"/>
      <c r="BH4" s="889"/>
      <c r="BI4" s="889"/>
      <c r="BJ4" s="889"/>
      <c r="BK4" s="889"/>
      <c r="BL4" s="889"/>
      <c r="BM4" s="889"/>
      <c r="BN4" s="889"/>
      <c r="BO4" s="889"/>
      <c r="BP4" s="889"/>
      <c r="BR4" s="889"/>
      <c r="BS4" s="890"/>
      <c r="BT4" s="890"/>
      <c r="BU4" s="890"/>
      <c r="BV4" s="890"/>
      <c r="BW4" s="890"/>
      <c r="BX4" s="890"/>
      <c r="BY4" s="890"/>
      <c r="BZ4" s="890"/>
      <c r="CA4" s="890"/>
      <c r="CB4" s="890"/>
      <c r="CC4" s="890"/>
      <c r="CD4" s="890"/>
      <c r="CE4" s="890"/>
      <c r="CF4" s="890"/>
      <c r="CG4" s="890"/>
      <c r="CH4" s="890"/>
      <c r="CI4" s="890"/>
      <c r="CJ4" s="890"/>
      <c r="CK4" s="890"/>
      <c r="CL4" s="890"/>
      <c r="CM4" s="890"/>
      <c r="CN4" s="890"/>
      <c r="CO4" s="890"/>
      <c r="CP4" s="890"/>
      <c r="CQ4" s="890"/>
      <c r="CR4" s="890"/>
      <c r="CS4" s="890"/>
      <c r="CT4" s="890"/>
      <c r="CU4" s="890"/>
      <c r="CV4" s="890"/>
      <c r="CW4" s="890"/>
      <c r="CX4" s="890"/>
      <c r="CY4" s="890"/>
      <c r="CZ4" s="890"/>
      <c r="DA4" s="890"/>
      <c r="DB4" s="890"/>
      <c r="DC4" s="890"/>
      <c r="DD4" s="890"/>
      <c r="DE4" s="890"/>
      <c r="DF4" s="890"/>
      <c r="DG4" s="890"/>
      <c r="DH4" s="890"/>
      <c r="DI4" s="890"/>
      <c r="DJ4" s="890"/>
      <c r="DK4" s="890"/>
      <c r="DL4" s="890"/>
      <c r="DM4" s="890"/>
      <c r="DN4" s="890"/>
      <c r="DO4" s="890"/>
      <c r="DP4" s="890"/>
      <c r="DQ4" s="890"/>
      <c r="DR4" s="890"/>
      <c r="DS4" s="890"/>
      <c r="DT4" s="890"/>
      <c r="DU4" s="890"/>
      <c r="DV4" s="890"/>
      <c r="DW4" s="890"/>
      <c r="DX4" s="890"/>
      <c r="DY4" s="890"/>
      <c r="EA4" s="890"/>
      <c r="EB4" s="890"/>
      <c r="EC4" s="890"/>
      <c r="ED4" s="890"/>
      <c r="EE4" s="890"/>
      <c r="EF4" s="890"/>
      <c r="EG4" s="890"/>
      <c r="EH4" s="890"/>
      <c r="EI4" s="890"/>
      <c r="EJ4" s="890"/>
      <c r="EK4" s="890"/>
      <c r="EL4" s="890"/>
      <c r="EM4" s="890"/>
      <c r="EN4" s="890"/>
      <c r="EO4" s="890"/>
      <c r="EP4" s="890"/>
      <c r="EQ4" s="890"/>
      <c r="ER4" s="890"/>
      <c r="ES4" s="890"/>
      <c r="ET4" s="890"/>
      <c r="EU4" s="890"/>
      <c r="EV4" s="890"/>
      <c r="EW4" s="890"/>
      <c r="EX4" s="890"/>
      <c r="EY4" s="890"/>
      <c r="EZ4" s="890"/>
      <c r="FA4" s="890"/>
      <c r="FB4" s="890"/>
      <c r="FC4" s="890"/>
      <c r="FD4" s="890"/>
      <c r="FE4" s="890"/>
      <c r="FF4" s="890"/>
      <c r="FG4" s="890"/>
      <c r="FH4" s="890"/>
      <c r="FI4" s="890"/>
      <c r="FJ4" s="890"/>
      <c r="FK4" s="890"/>
      <c r="FL4" s="890"/>
      <c r="FM4" s="890"/>
      <c r="FN4" s="890"/>
      <c r="FO4" s="890"/>
      <c r="FP4" s="890"/>
      <c r="FQ4" s="890"/>
      <c r="FR4" s="890"/>
      <c r="FS4" s="890"/>
      <c r="FT4" s="890"/>
      <c r="FU4" s="890"/>
      <c r="FV4" s="890"/>
      <c r="FW4" s="890"/>
      <c r="FX4" s="890"/>
      <c r="FY4" s="890"/>
      <c r="FZ4" s="890"/>
      <c r="GA4" s="890"/>
      <c r="GB4" s="890"/>
      <c r="GC4" s="890"/>
      <c r="GD4" s="890"/>
      <c r="GE4" s="890"/>
      <c r="GF4" s="890"/>
      <c r="GG4" s="890"/>
      <c r="GH4" s="890"/>
      <c r="GJ4" s="438"/>
      <c r="GK4" s="438"/>
      <c r="GL4" s="438"/>
      <c r="GM4" s="438"/>
      <c r="GN4" s="438"/>
      <c r="GO4" s="438"/>
      <c r="GP4" s="438"/>
      <c r="GQ4" s="438"/>
      <c r="GR4" s="438"/>
      <c r="GS4" s="438"/>
      <c r="GT4" s="438"/>
      <c r="GU4" s="438"/>
      <c r="GV4" s="438"/>
      <c r="GW4" s="438"/>
      <c r="GX4" s="438"/>
      <c r="GY4" s="438"/>
      <c r="GZ4" s="438"/>
      <c r="HA4" s="438"/>
      <c r="HB4" s="438"/>
      <c r="HC4" s="438"/>
      <c r="HD4" s="438"/>
      <c r="HE4" s="438"/>
      <c r="HF4" s="438"/>
      <c r="HG4" s="438"/>
      <c r="HH4" s="438"/>
      <c r="HI4" s="438"/>
      <c r="HJ4" s="438"/>
      <c r="HK4" s="438"/>
      <c r="HL4" s="438"/>
      <c r="HM4" s="438"/>
      <c r="HN4" s="438"/>
      <c r="HO4" s="438"/>
      <c r="HP4" s="438"/>
      <c r="HQ4" s="438"/>
      <c r="HR4" s="438"/>
      <c r="HS4" s="438"/>
      <c r="HT4" s="438"/>
      <c r="HU4" s="438"/>
      <c r="HV4" s="438"/>
      <c r="HW4" s="438"/>
      <c r="HX4" s="438"/>
      <c r="HY4" s="438"/>
      <c r="HZ4" s="438"/>
      <c r="IA4" s="438"/>
      <c r="IB4" s="438"/>
      <c r="IC4" s="438"/>
      <c r="ID4" s="438"/>
      <c r="IE4" s="438"/>
      <c r="IF4" s="438"/>
      <c r="IG4" s="438"/>
      <c r="IH4" s="438"/>
      <c r="II4" s="438"/>
      <c r="IJ4" s="438"/>
      <c r="IK4" s="438"/>
      <c r="IL4" s="438"/>
      <c r="IM4" s="438"/>
      <c r="IN4" s="438"/>
      <c r="IO4" s="438"/>
      <c r="IP4" s="438"/>
      <c r="IQ4" s="438"/>
      <c r="IR4" s="438"/>
      <c r="IT4" s="891"/>
      <c r="IU4" s="889"/>
      <c r="IV4" s="889"/>
      <c r="IW4" s="889"/>
      <c r="IX4" s="889"/>
      <c r="IY4" s="889"/>
      <c r="IZ4" s="889"/>
      <c r="JA4" s="889"/>
      <c r="JB4" s="889"/>
      <c r="JC4" s="889"/>
      <c r="JD4" s="889"/>
      <c r="JE4" s="889"/>
      <c r="JF4" s="889"/>
      <c r="JG4" s="889"/>
      <c r="JH4" s="889"/>
      <c r="JI4" s="889"/>
      <c r="JJ4" s="889"/>
      <c r="JK4" s="889"/>
      <c r="JL4" s="889"/>
      <c r="JM4" s="889"/>
      <c r="JN4" s="889"/>
      <c r="JO4" s="889"/>
      <c r="JP4" s="889"/>
      <c r="JQ4" s="889"/>
      <c r="JR4" s="889"/>
      <c r="JS4" s="889"/>
      <c r="JT4" s="889"/>
      <c r="JU4" s="889"/>
      <c r="JV4" s="889"/>
      <c r="JW4" s="889"/>
      <c r="JX4" s="889"/>
      <c r="JY4" s="889"/>
      <c r="JZ4" s="889"/>
      <c r="KA4" s="889"/>
      <c r="KB4" s="889"/>
    </row>
    <row r="5" spans="1:375" ht="15.75" thickBot="1" x14ac:dyDescent="0.3"/>
    <row r="6" spans="1:375" ht="27" customHeight="1" thickBot="1" x14ac:dyDescent="0.3">
      <c r="A6" s="192" t="s">
        <v>80</v>
      </c>
      <c r="B6" s="193"/>
      <c r="C6" s="194" t="s">
        <v>20</v>
      </c>
      <c r="D6" s="1039">
        <v>2020</v>
      </c>
      <c r="E6" s="1040"/>
      <c r="F6" s="1040"/>
      <c r="G6" s="1040"/>
      <c r="H6" s="1041"/>
      <c r="I6" s="1032">
        <v>2021</v>
      </c>
      <c r="J6" s="1033"/>
      <c r="K6" s="1033"/>
      <c r="L6" s="1033"/>
      <c r="M6" s="1033"/>
      <c r="N6" s="1033"/>
      <c r="O6" s="1033"/>
      <c r="P6" s="1033"/>
      <c r="Q6" s="1033"/>
      <c r="R6" s="1033"/>
      <c r="S6" s="1033"/>
      <c r="T6" s="1033"/>
      <c r="U6" s="1033"/>
      <c r="V6" s="1033"/>
      <c r="W6" s="1033"/>
      <c r="X6" s="1033"/>
      <c r="Y6" s="1033"/>
      <c r="Z6" s="1033"/>
      <c r="AA6" s="1033"/>
      <c r="AB6" s="1033"/>
      <c r="AC6" s="1033"/>
      <c r="AD6" s="1033"/>
      <c r="AE6" s="1033"/>
      <c r="AF6" s="1033"/>
      <c r="AG6" s="1033"/>
      <c r="AH6" s="1033"/>
      <c r="AI6" s="1033"/>
      <c r="AJ6" s="1033"/>
      <c r="AK6" s="1033"/>
      <c r="AL6" s="1033"/>
      <c r="AM6" s="1033"/>
      <c r="AN6" s="1033"/>
      <c r="AO6" s="1033"/>
      <c r="AP6" s="1033"/>
      <c r="AQ6" s="1033"/>
      <c r="AR6" s="1033"/>
      <c r="AS6" s="1033"/>
      <c r="AT6" s="1033"/>
      <c r="AU6" s="1033"/>
      <c r="AV6" s="1033"/>
      <c r="AW6" s="1033"/>
      <c r="AX6" s="1033"/>
      <c r="AY6" s="1033"/>
      <c r="AZ6" s="1033"/>
      <c r="BA6" s="1033"/>
      <c r="BB6" s="1033"/>
      <c r="BC6" s="1033"/>
      <c r="BD6" s="1033"/>
      <c r="BE6" s="1033"/>
      <c r="BF6" s="1033"/>
      <c r="BG6" s="1033"/>
      <c r="BH6" s="1033"/>
      <c r="BI6" s="1033"/>
      <c r="BJ6" s="1033"/>
      <c r="BK6" s="1033"/>
      <c r="BL6" s="1033"/>
      <c r="BM6" s="1033"/>
      <c r="BN6" s="1033"/>
      <c r="BO6" s="1033"/>
      <c r="BP6" s="1034"/>
      <c r="BQ6" s="19" t="s">
        <v>252</v>
      </c>
      <c r="BR6" s="1032">
        <v>2022</v>
      </c>
      <c r="BS6" s="1033"/>
      <c r="BT6" s="1033"/>
      <c r="BU6" s="1033"/>
      <c r="BV6" s="1033"/>
      <c r="BW6" s="1033"/>
      <c r="BX6" s="1033"/>
      <c r="BY6" s="1033"/>
      <c r="BZ6" s="1033"/>
      <c r="CA6" s="1033"/>
      <c r="CB6" s="1033"/>
      <c r="CC6" s="1033"/>
      <c r="CD6" s="1033"/>
      <c r="CE6" s="1033"/>
      <c r="CF6" s="1033"/>
      <c r="CG6" s="1033"/>
      <c r="CH6" s="1033"/>
      <c r="CI6" s="1033"/>
      <c r="CJ6" s="1033"/>
      <c r="CK6" s="1033"/>
      <c r="CL6" s="1033"/>
      <c r="CM6" s="1033"/>
      <c r="CN6" s="1033"/>
      <c r="CO6" s="1033"/>
      <c r="CP6" s="1033"/>
      <c r="CQ6" s="1033"/>
      <c r="CR6" s="1033"/>
      <c r="CS6" s="1033"/>
      <c r="CT6" s="1033"/>
      <c r="CU6" s="1033"/>
      <c r="CV6" s="1033"/>
      <c r="CW6" s="1033"/>
      <c r="CX6" s="1033"/>
      <c r="CY6" s="1033"/>
      <c r="CZ6" s="1033"/>
      <c r="DA6" s="1033"/>
      <c r="DB6" s="1033"/>
      <c r="DC6" s="1033"/>
      <c r="DD6" s="1033"/>
      <c r="DE6" s="1033"/>
      <c r="DF6" s="1033"/>
      <c r="DG6" s="1033"/>
      <c r="DH6" s="1033"/>
      <c r="DI6" s="1033"/>
      <c r="DJ6" s="1033"/>
      <c r="DK6" s="1033"/>
      <c r="DL6" s="1033"/>
      <c r="DM6" s="1033"/>
      <c r="DN6" s="1033"/>
      <c r="DO6" s="1033"/>
      <c r="DP6" s="1033"/>
      <c r="DQ6" s="1033"/>
      <c r="DR6" s="1033"/>
      <c r="DS6" s="1033"/>
      <c r="DT6" s="1033"/>
      <c r="DU6" s="1033"/>
      <c r="DV6" s="1033"/>
      <c r="DW6" s="1033"/>
      <c r="DX6" s="1033"/>
      <c r="DY6" s="1033"/>
      <c r="DZ6" s="19" t="s">
        <v>253</v>
      </c>
      <c r="EA6" s="1044">
        <v>2023</v>
      </c>
      <c r="EB6" s="1044"/>
      <c r="EC6" s="1044"/>
      <c r="ED6" s="1044"/>
      <c r="EE6" s="1044"/>
      <c r="EF6" s="1044"/>
      <c r="EG6" s="1044"/>
      <c r="EH6" s="1044"/>
      <c r="EI6" s="1044"/>
      <c r="EJ6" s="1044"/>
      <c r="EK6" s="1044"/>
      <c r="EL6" s="1044"/>
      <c r="EM6" s="1044"/>
      <c r="EN6" s="1044"/>
      <c r="EO6" s="1044"/>
      <c r="EP6" s="1044"/>
      <c r="EQ6" s="1044"/>
      <c r="ER6" s="1044"/>
      <c r="ES6" s="1044"/>
      <c r="ET6" s="1044"/>
      <c r="EU6" s="1044"/>
      <c r="EV6" s="1044"/>
      <c r="EW6" s="1044"/>
      <c r="EX6" s="1044"/>
      <c r="EY6" s="1044"/>
      <c r="EZ6" s="1044"/>
      <c r="FA6" s="1044"/>
      <c r="FB6" s="1044"/>
      <c r="FC6" s="1044"/>
      <c r="FD6" s="1044"/>
      <c r="FE6" s="1044"/>
      <c r="FF6" s="1044"/>
      <c r="FG6" s="1044"/>
      <c r="FH6" s="1044"/>
      <c r="FI6" s="1044"/>
      <c r="FJ6" s="1044"/>
      <c r="FK6" s="1044"/>
      <c r="FL6" s="1044"/>
      <c r="FM6" s="1044"/>
      <c r="FN6" s="1044"/>
      <c r="FO6" s="1044"/>
      <c r="FP6" s="1044"/>
      <c r="FQ6" s="1044"/>
      <c r="FR6" s="1044"/>
      <c r="FS6" s="1044"/>
      <c r="FT6" s="1044"/>
      <c r="FU6" s="1044"/>
      <c r="FV6" s="1044"/>
      <c r="FW6" s="1044"/>
      <c r="FX6" s="1044"/>
      <c r="FY6" s="1044"/>
      <c r="FZ6" s="1044"/>
      <c r="GA6" s="1044"/>
      <c r="GB6" s="1044"/>
      <c r="GC6" s="1044"/>
      <c r="GD6" s="1044"/>
      <c r="GE6" s="1044"/>
      <c r="GF6" s="1044"/>
      <c r="GG6" s="1044"/>
      <c r="GH6" s="1045"/>
      <c r="GI6" s="19" t="s">
        <v>254</v>
      </c>
      <c r="GJ6" s="1032">
        <v>2024</v>
      </c>
      <c r="GK6" s="1033"/>
      <c r="GL6" s="1033"/>
      <c r="GM6" s="1033"/>
      <c r="GN6" s="1033"/>
      <c r="GO6" s="1033"/>
      <c r="GP6" s="1033"/>
      <c r="GQ6" s="1033"/>
      <c r="GR6" s="1033"/>
      <c r="GS6" s="1033"/>
      <c r="GT6" s="1033"/>
      <c r="GU6" s="1033"/>
      <c r="GV6" s="1033"/>
      <c r="GW6" s="1033"/>
      <c r="GX6" s="1033"/>
      <c r="GY6" s="1033"/>
      <c r="GZ6" s="1033"/>
      <c r="HA6" s="1033"/>
      <c r="HB6" s="1033"/>
      <c r="HC6" s="1033"/>
      <c r="HD6" s="1033"/>
      <c r="HE6" s="1033"/>
      <c r="HF6" s="1033"/>
      <c r="HG6" s="1033"/>
      <c r="HH6" s="1033"/>
      <c r="HI6" s="1033"/>
      <c r="HJ6" s="1033"/>
      <c r="HK6" s="1033"/>
      <c r="HL6" s="1033"/>
      <c r="HM6" s="1033"/>
      <c r="HN6" s="1033"/>
      <c r="HO6" s="1033"/>
      <c r="HP6" s="1033"/>
      <c r="HQ6" s="1033"/>
      <c r="HR6" s="1033"/>
      <c r="HS6" s="1033"/>
      <c r="HT6" s="1033"/>
      <c r="HU6" s="1033"/>
      <c r="HV6" s="1033"/>
      <c r="HW6" s="1033"/>
      <c r="HX6" s="1033"/>
      <c r="HY6" s="1033"/>
      <c r="HZ6" s="1033"/>
      <c r="IA6" s="1033"/>
      <c r="IB6" s="1033"/>
      <c r="IC6" s="1033"/>
      <c r="ID6" s="1033"/>
      <c r="IE6" s="1033"/>
      <c r="IF6" s="1033"/>
      <c r="IG6" s="1033"/>
      <c r="IH6" s="1033"/>
      <c r="II6" s="1033"/>
      <c r="IJ6" s="1033"/>
      <c r="IK6" s="1033"/>
      <c r="IL6" s="1033"/>
      <c r="IM6" s="1033"/>
      <c r="IN6" s="1033"/>
      <c r="IO6" s="1033"/>
      <c r="IP6" s="1033"/>
      <c r="IQ6" s="1033"/>
      <c r="IR6" s="196"/>
      <c r="IS6" s="19" t="s">
        <v>162</v>
      </c>
      <c r="IT6" s="1032">
        <v>2025</v>
      </c>
      <c r="IU6" s="1033"/>
      <c r="IV6" s="1033"/>
      <c r="IW6" s="1033"/>
      <c r="IX6" s="1033"/>
      <c r="IY6" s="1033"/>
      <c r="IZ6" s="1033"/>
      <c r="JA6" s="1033"/>
      <c r="JB6" s="1033"/>
      <c r="JC6" s="1033"/>
      <c r="JD6" s="1033"/>
      <c r="JE6" s="1033"/>
      <c r="JF6" s="1033"/>
      <c r="JG6" s="1033"/>
      <c r="JH6" s="1033"/>
      <c r="JI6" s="1033"/>
      <c r="JJ6" s="1033"/>
      <c r="JK6" s="1033"/>
      <c r="JL6" s="1033"/>
      <c r="JM6" s="1033"/>
      <c r="JN6" s="1033"/>
      <c r="JO6" s="1033"/>
      <c r="JP6" s="1033"/>
      <c r="JQ6" s="1033"/>
      <c r="JR6" s="1033"/>
      <c r="JS6" s="1033"/>
      <c r="JT6" s="1033"/>
      <c r="JU6" s="1033"/>
      <c r="JV6" s="1033"/>
      <c r="JW6" s="1033"/>
      <c r="JX6" s="1033"/>
      <c r="JY6" s="1033"/>
      <c r="JZ6" s="1033"/>
      <c r="KA6" s="1033"/>
      <c r="KB6" s="1033"/>
      <c r="KC6" s="1033"/>
      <c r="KD6" s="1033"/>
      <c r="KE6" s="1033"/>
      <c r="KF6" s="1033"/>
      <c r="KG6" s="1033"/>
      <c r="KH6" s="1033"/>
      <c r="KI6" s="1033"/>
      <c r="KJ6" s="1033"/>
      <c r="KK6" s="1033"/>
      <c r="KL6" s="1033"/>
      <c r="KM6" s="1033"/>
      <c r="KN6" s="1033"/>
      <c r="KO6" s="1033"/>
      <c r="KP6" s="1033"/>
      <c r="KQ6" s="1033"/>
      <c r="KR6" s="1033"/>
      <c r="KS6" s="1033"/>
      <c r="KT6" s="1033"/>
      <c r="KU6" s="1033"/>
      <c r="KV6" s="1033"/>
      <c r="KW6" s="1033"/>
      <c r="KX6" s="1033"/>
      <c r="KY6" s="1033"/>
      <c r="KZ6" s="1033"/>
      <c r="LA6" s="1034"/>
      <c r="LB6" s="19" t="s">
        <v>160</v>
      </c>
      <c r="LC6" s="1032">
        <v>2025</v>
      </c>
      <c r="LD6" s="1033"/>
      <c r="LE6" s="1033"/>
      <c r="LF6" s="1033"/>
      <c r="LG6" s="1033"/>
      <c r="LH6" s="1033"/>
      <c r="LI6" s="1033"/>
      <c r="LJ6" s="1033"/>
      <c r="LK6" s="1033"/>
      <c r="LL6" s="1033"/>
      <c r="LM6" s="1033"/>
      <c r="LN6" s="1033"/>
      <c r="LO6" s="1033"/>
      <c r="LP6" s="1033"/>
      <c r="LQ6" s="1033"/>
      <c r="LR6" s="1033"/>
      <c r="LS6" s="1033"/>
      <c r="LT6" s="1033"/>
      <c r="LU6" s="1033"/>
      <c r="LV6" s="1033"/>
      <c r="LW6" s="1033"/>
      <c r="LX6" s="1033"/>
      <c r="LY6" s="1033"/>
      <c r="LZ6" s="1033"/>
      <c r="MA6" s="1033"/>
      <c r="MB6" s="1033"/>
      <c r="MC6" s="1033"/>
      <c r="MD6" s="1033"/>
      <c r="ME6" s="1033"/>
      <c r="MF6" s="1033"/>
      <c r="MG6" s="1033"/>
      <c r="MH6" s="1033"/>
      <c r="MI6" s="1033"/>
      <c r="MJ6" s="1033"/>
      <c r="MK6" s="1033"/>
      <c r="ML6" s="1033"/>
      <c r="MM6" s="1033"/>
      <c r="MN6" s="1033"/>
      <c r="MO6" s="1033"/>
      <c r="MP6" s="1033"/>
      <c r="MQ6" s="1033"/>
      <c r="MR6" s="1033"/>
      <c r="MS6" s="1033"/>
      <c r="MT6" s="1033"/>
      <c r="MU6" s="1033"/>
      <c r="MV6" s="1033"/>
      <c r="MW6" s="1033"/>
      <c r="MX6" s="1033"/>
      <c r="MY6" s="1033"/>
      <c r="MZ6" s="1033"/>
      <c r="NA6" s="1033"/>
      <c r="NB6" s="1033"/>
      <c r="NC6" s="1033"/>
      <c r="ND6" s="1033"/>
      <c r="NE6" s="1033"/>
      <c r="NF6" s="1033"/>
      <c r="NG6" s="1033"/>
      <c r="NH6" s="1033"/>
      <c r="NI6" s="1034"/>
      <c r="NK6" s="19" t="s">
        <v>257</v>
      </c>
    </row>
    <row r="7" spans="1:375" s="36" customFormat="1" ht="21.75" customHeight="1" thickBot="1" x14ac:dyDescent="0.3">
      <c r="A7" s="197"/>
      <c r="B7" s="198"/>
      <c r="C7" s="199"/>
      <c r="D7" s="200" t="s">
        <v>123</v>
      </c>
      <c r="E7" s="201"/>
      <c r="F7" s="201"/>
      <c r="G7" s="202"/>
      <c r="H7" s="194" t="s">
        <v>62</v>
      </c>
      <c r="I7" s="203" t="s">
        <v>114</v>
      </c>
      <c r="J7" s="195"/>
      <c r="K7" s="195"/>
      <c r="L7" s="195"/>
      <c r="M7" s="194" t="s">
        <v>62</v>
      </c>
      <c r="N7" s="192" t="s">
        <v>115</v>
      </c>
      <c r="O7" s="204"/>
      <c r="P7" s="204"/>
      <c r="Q7" s="204"/>
      <c r="R7" s="194" t="s">
        <v>62</v>
      </c>
      <c r="S7" s="205" t="s">
        <v>116</v>
      </c>
      <c r="T7" s="206"/>
      <c r="U7" s="206"/>
      <c r="V7" s="206"/>
      <c r="W7" s="207" t="s">
        <v>62</v>
      </c>
      <c r="X7" s="205" t="s">
        <v>125</v>
      </c>
      <c r="Y7" s="206"/>
      <c r="Z7" s="206"/>
      <c r="AA7" s="206"/>
      <c r="AB7" s="207" t="s">
        <v>62</v>
      </c>
      <c r="AC7" s="208" t="s">
        <v>117</v>
      </c>
      <c r="AD7" s="209"/>
      <c r="AE7" s="209"/>
      <c r="AF7" s="209"/>
      <c r="AG7" s="210" t="s">
        <v>62</v>
      </c>
      <c r="AH7" s="208" t="s">
        <v>118</v>
      </c>
      <c r="AI7" s="209"/>
      <c r="AJ7" s="209"/>
      <c r="AK7" s="209"/>
      <c r="AL7" s="210" t="s">
        <v>62</v>
      </c>
      <c r="AM7" s="208" t="s">
        <v>77</v>
      </c>
      <c r="AN7" s="209"/>
      <c r="AO7" s="209"/>
      <c r="AP7" s="209"/>
      <c r="AQ7" s="210" t="s">
        <v>62</v>
      </c>
      <c r="AR7" s="208" t="s">
        <v>119</v>
      </c>
      <c r="AS7" s="209"/>
      <c r="AT7" s="209"/>
      <c r="AU7" s="209"/>
      <c r="AV7" s="210" t="s">
        <v>62</v>
      </c>
      <c r="AW7" s="208" t="s">
        <v>120</v>
      </c>
      <c r="AX7" s="209"/>
      <c r="AY7" s="209"/>
      <c r="AZ7" s="209"/>
      <c r="BA7" s="210" t="s">
        <v>62</v>
      </c>
      <c r="BB7" s="208" t="s">
        <v>121</v>
      </c>
      <c r="BC7" s="209"/>
      <c r="BD7" s="209"/>
      <c r="BE7" s="209"/>
      <c r="BF7" s="210" t="s">
        <v>62</v>
      </c>
      <c r="BG7" s="208" t="s">
        <v>122</v>
      </c>
      <c r="BH7" s="209"/>
      <c r="BI7" s="209"/>
      <c r="BJ7" s="209"/>
      <c r="BK7" s="210" t="s">
        <v>62</v>
      </c>
      <c r="BL7" s="208" t="s">
        <v>123</v>
      </c>
      <c r="BM7" s="209"/>
      <c r="BN7" s="209"/>
      <c r="BO7" s="209"/>
      <c r="BP7" s="211" t="s">
        <v>62</v>
      </c>
      <c r="BR7" s="212" t="s">
        <v>114</v>
      </c>
      <c r="BS7" s="760"/>
      <c r="BT7" s="760"/>
      <c r="BU7" s="761"/>
      <c r="BV7" s="762" t="s">
        <v>62</v>
      </c>
      <c r="BW7" s="763" t="s">
        <v>115</v>
      </c>
      <c r="BX7" s="760"/>
      <c r="BY7" s="760"/>
      <c r="BZ7" s="761"/>
      <c r="CA7" s="762" t="s">
        <v>62</v>
      </c>
      <c r="CB7" s="763" t="s">
        <v>116</v>
      </c>
      <c r="CC7" s="760"/>
      <c r="CD7" s="760"/>
      <c r="CE7" s="761"/>
      <c r="CF7" s="762" t="s">
        <v>62</v>
      </c>
      <c r="CG7" s="763" t="s">
        <v>125</v>
      </c>
      <c r="CH7" s="760"/>
      <c r="CI7" s="760"/>
      <c r="CJ7" s="761"/>
      <c r="CK7" s="762" t="s">
        <v>62</v>
      </c>
      <c r="CL7" s="763" t="s">
        <v>117</v>
      </c>
      <c r="CM7" s="760"/>
      <c r="CN7" s="760"/>
      <c r="CO7" s="761"/>
      <c r="CP7" s="762" t="s">
        <v>62</v>
      </c>
      <c r="CQ7" s="763" t="s">
        <v>118</v>
      </c>
      <c r="CR7" s="760"/>
      <c r="CS7" s="760"/>
      <c r="CT7" s="761"/>
      <c r="CU7" s="764" t="s">
        <v>62</v>
      </c>
      <c r="CV7" s="763" t="s">
        <v>77</v>
      </c>
      <c r="CW7" s="760"/>
      <c r="CX7" s="760"/>
      <c r="CY7" s="761"/>
      <c r="CZ7" s="762" t="s">
        <v>62</v>
      </c>
      <c r="DA7" s="763" t="s">
        <v>119</v>
      </c>
      <c r="DB7" s="760"/>
      <c r="DC7" s="760"/>
      <c r="DD7" s="761"/>
      <c r="DE7" s="762" t="s">
        <v>62</v>
      </c>
      <c r="DF7" s="763" t="s">
        <v>120</v>
      </c>
      <c r="DG7" s="760"/>
      <c r="DH7" s="760"/>
      <c r="DI7" s="761"/>
      <c r="DJ7" s="762" t="s">
        <v>62</v>
      </c>
      <c r="DK7" s="763" t="s">
        <v>121</v>
      </c>
      <c r="DL7" s="760"/>
      <c r="DM7" s="760"/>
      <c r="DN7" s="761"/>
      <c r="DO7" s="762" t="s">
        <v>62</v>
      </c>
      <c r="DP7" s="763" t="s">
        <v>122</v>
      </c>
      <c r="DQ7" s="760"/>
      <c r="DR7" s="760"/>
      <c r="DS7" s="761"/>
      <c r="DT7" s="762" t="s">
        <v>62</v>
      </c>
      <c r="DU7" s="763" t="s">
        <v>123</v>
      </c>
      <c r="DV7" s="760"/>
      <c r="DW7" s="760"/>
      <c r="DX7" s="761"/>
      <c r="DY7" s="762" t="s">
        <v>62</v>
      </c>
      <c r="EA7" s="763" t="s">
        <v>114</v>
      </c>
      <c r="EB7" s="760"/>
      <c r="EC7" s="760"/>
      <c r="ED7" s="761"/>
      <c r="EE7" s="762" t="s">
        <v>62</v>
      </c>
      <c r="EF7" s="763" t="s">
        <v>115</v>
      </c>
      <c r="EG7" s="760"/>
      <c r="EH7" s="760"/>
      <c r="EI7" s="761"/>
      <c r="EJ7" s="762" t="s">
        <v>62</v>
      </c>
      <c r="EK7" s="763" t="s">
        <v>116</v>
      </c>
      <c r="EL7" s="760"/>
      <c r="EM7" s="760"/>
      <c r="EN7" s="761"/>
      <c r="EO7" s="762" t="s">
        <v>62</v>
      </c>
      <c r="EP7" s="763" t="s">
        <v>125</v>
      </c>
      <c r="EQ7" s="760"/>
      <c r="ER7" s="760"/>
      <c r="ES7" s="761"/>
      <c r="ET7" s="762" t="s">
        <v>62</v>
      </c>
      <c r="EU7" s="763" t="s">
        <v>117</v>
      </c>
      <c r="EV7" s="760"/>
      <c r="EW7" s="760"/>
      <c r="EX7" s="761"/>
      <c r="EY7" s="762" t="s">
        <v>62</v>
      </c>
      <c r="EZ7" s="763" t="s">
        <v>118</v>
      </c>
      <c r="FA7" s="760"/>
      <c r="FB7" s="760"/>
      <c r="FC7" s="761"/>
      <c r="FD7" s="762" t="s">
        <v>62</v>
      </c>
      <c r="FE7" s="763" t="s">
        <v>77</v>
      </c>
      <c r="FF7" s="760"/>
      <c r="FG7" s="760"/>
      <c r="FH7" s="761"/>
      <c r="FI7" s="762" t="s">
        <v>62</v>
      </c>
      <c r="FJ7" s="763" t="s">
        <v>119</v>
      </c>
      <c r="FK7" s="760"/>
      <c r="FL7" s="760"/>
      <c r="FM7" s="761"/>
      <c r="FN7" s="762" t="s">
        <v>62</v>
      </c>
      <c r="FO7" s="763" t="s">
        <v>120</v>
      </c>
      <c r="FP7" s="760"/>
      <c r="FQ7" s="760"/>
      <c r="FR7" s="761"/>
      <c r="FS7" s="762" t="s">
        <v>62</v>
      </c>
      <c r="FT7" s="763" t="s">
        <v>121</v>
      </c>
      <c r="FU7" s="760"/>
      <c r="FV7" s="760"/>
      <c r="FW7" s="761"/>
      <c r="FX7" s="762" t="s">
        <v>62</v>
      </c>
      <c r="FY7" s="763" t="s">
        <v>122</v>
      </c>
      <c r="FZ7" s="760"/>
      <c r="GA7" s="760"/>
      <c r="GB7" s="761"/>
      <c r="GC7" s="762" t="s">
        <v>62</v>
      </c>
      <c r="GD7" s="763" t="s">
        <v>123</v>
      </c>
      <c r="GE7" s="760"/>
      <c r="GF7" s="760"/>
      <c r="GG7" s="761"/>
      <c r="GH7" s="762" t="s">
        <v>62</v>
      </c>
      <c r="GJ7" s="1042" t="s">
        <v>114</v>
      </c>
      <c r="GK7" s="1043"/>
      <c r="GL7" s="1043"/>
      <c r="GM7" s="1046"/>
      <c r="GN7" s="213" t="s">
        <v>206</v>
      </c>
      <c r="GO7" s="1042" t="s">
        <v>115</v>
      </c>
      <c r="GP7" s="1043"/>
      <c r="GQ7" s="1043"/>
      <c r="GR7" s="1046"/>
      <c r="GS7" s="213" t="s">
        <v>207</v>
      </c>
      <c r="GT7" s="1042" t="s">
        <v>116</v>
      </c>
      <c r="GU7" s="1043"/>
      <c r="GV7" s="1043"/>
      <c r="GW7" s="1046"/>
      <c r="GX7" s="213" t="s">
        <v>208</v>
      </c>
      <c r="GY7" s="1042" t="s">
        <v>125</v>
      </c>
      <c r="GZ7" s="1043"/>
      <c r="HA7" s="1043"/>
      <c r="HB7" s="1046"/>
      <c r="HC7" s="213" t="s">
        <v>209</v>
      </c>
      <c r="HD7" s="1042" t="s">
        <v>117</v>
      </c>
      <c r="HE7" s="1043"/>
      <c r="HF7" s="1043"/>
      <c r="HG7" s="1046"/>
      <c r="HH7" s="213" t="s">
        <v>210</v>
      </c>
      <c r="HI7" s="1042" t="s">
        <v>118</v>
      </c>
      <c r="HJ7" s="1043"/>
      <c r="HK7" s="1043"/>
      <c r="HL7" s="1046"/>
      <c r="HM7" s="213" t="s">
        <v>211</v>
      </c>
      <c r="HN7" s="1042" t="s">
        <v>77</v>
      </c>
      <c r="HO7" s="1043"/>
      <c r="HP7" s="1043"/>
      <c r="HQ7" s="1046"/>
      <c r="HR7" s="213" t="s">
        <v>212</v>
      </c>
      <c r="HS7" s="1042" t="s">
        <v>119</v>
      </c>
      <c r="HT7" s="1043"/>
      <c r="HU7" s="1043"/>
      <c r="HV7" s="1046"/>
      <c r="HW7" s="213" t="s">
        <v>213</v>
      </c>
      <c r="HX7" s="1042" t="s">
        <v>120</v>
      </c>
      <c r="HY7" s="1043"/>
      <c r="HZ7" s="1043"/>
      <c r="IA7" s="1046"/>
      <c r="IB7" s="213" t="s">
        <v>214</v>
      </c>
      <c r="IC7" s="1042" t="s">
        <v>121</v>
      </c>
      <c r="ID7" s="1043"/>
      <c r="IE7" s="1043"/>
      <c r="IF7" s="1046"/>
      <c r="IG7" s="213" t="s">
        <v>215</v>
      </c>
      <c r="IH7" s="1042" t="s">
        <v>122</v>
      </c>
      <c r="II7" s="1043"/>
      <c r="IJ7" s="1043"/>
      <c r="IK7" s="1046"/>
      <c r="IL7" s="213" t="s">
        <v>216</v>
      </c>
      <c r="IM7" s="1042" t="s">
        <v>123</v>
      </c>
      <c r="IN7" s="1043"/>
      <c r="IO7" s="1043"/>
      <c r="IP7" s="1043"/>
      <c r="IQ7" s="439" t="s">
        <v>217</v>
      </c>
      <c r="IR7" s="467"/>
      <c r="IT7" s="1035" t="s">
        <v>114</v>
      </c>
      <c r="IU7" s="1033"/>
      <c r="IV7" s="1033"/>
      <c r="IW7" s="1034"/>
      <c r="IX7" s="214" t="s">
        <v>62</v>
      </c>
      <c r="IY7" s="1035" t="s">
        <v>115</v>
      </c>
      <c r="IZ7" s="1033"/>
      <c r="JA7" s="1033"/>
      <c r="JB7" s="1034"/>
      <c r="JC7" s="214" t="s">
        <v>62</v>
      </c>
      <c r="JD7" s="1035" t="s">
        <v>116</v>
      </c>
      <c r="JE7" s="1033"/>
      <c r="JF7" s="1033"/>
      <c r="JG7" s="1034"/>
      <c r="JH7" s="214" t="s">
        <v>62</v>
      </c>
      <c r="JI7" s="1035" t="s">
        <v>125</v>
      </c>
      <c r="JJ7" s="1033"/>
      <c r="JK7" s="1033"/>
      <c r="JL7" s="1034"/>
      <c r="JM7" s="214" t="s">
        <v>62</v>
      </c>
      <c r="JN7" s="1035" t="s">
        <v>117</v>
      </c>
      <c r="JO7" s="1033"/>
      <c r="JP7" s="1033"/>
      <c r="JQ7" s="1034"/>
      <c r="JR7" s="214" t="s">
        <v>62</v>
      </c>
      <c r="JS7" s="1035" t="s">
        <v>118</v>
      </c>
      <c r="JT7" s="1033"/>
      <c r="JU7" s="1033"/>
      <c r="JV7" s="1034"/>
      <c r="JW7" s="214" t="s">
        <v>62</v>
      </c>
      <c r="JX7" s="1035" t="s">
        <v>77</v>
      </c>
      <c r="JY7" s="1033"/>
      <c r="JZ7" s="1033"/>
      <c r="KA7" s="1034"/>
      <c r="KB7" s="214" t="s">
        <v>62</v>
      </c>
      <c r="KC7" s="1036" t="s">
        <v>119</v>
      </c>
      <c r="KD7" s="1037"/>
      <c r="KE7" s="1037"/>
      <c r="KF7" s="1038"/>
      <c r="KG7" s="1030" t="s">
        <v>62</v>
      </c>
      <c r="KH7" s="1036" t="s">
        <v>156</v>
      </c>
      <c r="KI7" s="1037"/>
      <c r="KJ7" s="1037"/>
      <c r="KK7" s="1038"/>
      <c r="KL7" s="1030" t="s">
        <v>62</v>
      </c>
      <c r="KM7" s="1036" t="s">
        <v>157</v>
      </c>
      <c r="KN7" s="1037"/>
      <c r="KO7" s="1037"/>
      <c r="KP7" s="1038"/>
      <c r="KQ7" s="1030" t="s">
        <v>62</v>
      </c>
      <c r="KR7" s="1036" t="s">
        <v>158</v>
      </c>
      <c r="KS7" s="1037"/>
      <c r="KT7" s="1037"/>
      <c r="KU7" s="1038"/>
      <c r="KV7" s="1030" t="s">
        <v>62</v>
      </c>
      <c r="KW7" s="1036" t="s">
        <v>159</v>
      </c>
      <c r="KX7" s="1037"/>
      <c r="KY7" s="1037"/>
      <c r="KZ7" s="1038"/>
      <c r="LA7" s="1030" t="s">
        <v>62</v>
      </c>
      <c r="LC7" s="1036" t="s">
        <v>256</v>
      </c>
      <c r="LD7" s="1037"/>
      <c r="LE7" s="1037"/>
      <c r="LF7" s="1038"/>
      <c r="LG7" s="1030" t="s">
        <v>62</v>
      </c>
      <c r="LH7" s="1035" t="s">
        <v>115</v>
      </c>
      <c r="LI7" s="1033"/>
      <c r="LJ7" s="1033"/>
      <c r="LK7" s="1034"/>
      <c r="LL7" s="214" t="s">
        <v>62</v>
      </c>
      <c r="LM7" s="1035" t="s">
        <v>116</v>
      </c>
      <c r="LN7" s="1033"/>
      <c r="LO7" s="1033"/>
      <c r="LP7" s="1034"/>
      <c r="LQ7" s="214" t="s">
        <v>62</v>
      </c>
      <c r="LR7" s="1035" t="s">
        <v>125</v>
      </c>
      <c r="LS7" s="1033"/>
      <c r="LT7" s="1033"/>
      <c r="LU7" s="1034"/>
      <c r="LV7" s="214" t="s">
        <v>62</v>
      </c>
      <c r="LW7" s="1035" t="s">
        <v>117</v>
      </c>
      <c r="LX7" s="1033"/>
      <c r="LY7" s="1033"/>
      <c r="LZ7" s="1034"/>
      <c r="MA7" s="214" t="s">
        <v>62</v>
      </c>
      <c r="MB7" s="1035" t="s">
        <v>118</v>
      </c>
      <c r="MC7" s="1033"/>
      <c r="MD7" s="1033"/>
      <c r="ME7" s="1034"/>
      <c r="MF7" s="214" t="s">
        <v>62</v>
      </c>
      <c r="MG7" s="1035" t="s">
        <v>77</v>
      </c>
      <c r="MH7" s="1033"/>
      <c r="MI7" s="1033"/>
      <c r="MJ7" s="1034"/>
      <c r="MK7" s="214" t="s">
        <v>62</v>
      </c>
      <c r="ML7" s="1036" t="s">
        <v>119</v>
      </c>
      <c r="MM7" s="1037"/>
      <c r="MN7" s="1037"/>
      <c r="MO7" s="1038"/>
      <c r="MP7" s="1030" t="s">
        <v>62</v>
      </c>
      <c r="MQ7" s="1036" t="s">
        <v>156</v>
      </c>
      <c r="MR7" s="1037"/>
      <c r="MS7" s="1037"/>
      <c r="MT7" s="1038"/>
      <c r="MU7" s="1030" t="s">
        <v>62</v>
      </c>
      <c r="MV7" s="1036" t="s">
        <v>157</v>
      </c>
      <c r="MW7" s="1037"/>
      <c r="MX7" s="1037"/>
      <c r="MY7" s="1038"/>
      <c r="MZ7" s="1030" t="s">
        <v>62</v>
      </c>
      <c r="NA7" s="1036" t="s">
        <v>158</v>
      </c>
      <c r="NB7" s="1037"/>
      <c r="NC7" s="1037"/>
      <c r="ND7" s="1038"/>
      <c r="NE7" s="1030" t="s">
        <v>62</v>
      </c>
      <c r="NF7" s="1036" t="s">
        <v>159</v>
      </c>
      <c r="NG7" s="1037"/>
      <c r="NH7" s="1037"/>
      <c r="NI7" s="1038"/>
      <c r="NJ7" s="1030" t="s">
        <v>62</v>
      </c>
    </row>
    <row r="8" spans="1:375" ht="16.5" thickBot="1" x14ac:dyDescent="0.3">
      <c r="A8" s="215"/>
      <c r="B8" s="216"/>
      <c r="C8" s="217"/>
      <c r="D8" s="218" t="s">
        <v>58</v>
      </c>
      <c r="E8" s="219" t="s">
        <v>59</v>
      </c>
      <c r="F8" s="220" t="s">
        <v>60</v>
      </c>
      <c r="G8" s="221" t="s">
        <v>61</v>
      </c>
      <c r="H8" s="217"/>
      <c r="I8" s="218" t="s">
        <v>58</v>
      </c>
      <c r="J8" s="219" t="s">
        <v>59</v>
      </c>
      <c r="K8" s="220" t="s">
        <v>60</v>
      </c>
      <c r="L8" s="221" t="s">
        <v>61</v>
      </c>
      <c r="M8" s="217"/>
      <c r="N8" s="222" t="s">
        <v>58</v>
      </c>
      <c r="O8" s="219" t="s">
        <v>59</v>
      </c>
      <c r="P8" s="220" t="s">
        <v>60</v>
      </c>
      <c r="Q8" s="221" t="s">
        <v>61</v>
      </c>
      <c r="R8" s="217"/>
      <c r="S8" s="222" t="s">
        <v>58</v>
      </c>
      <c r="T8" s="219" t="s">
        <v>59</v>
      </c>
      <c r="U8" s="220" t="s">
        <v>60</v>
      </c>
      <c r="V8" s="221" t="s">
        <v>61</v>
      </c>
      <c r="W8" s="223"/>
      <c r="X8" s="222" t="s">
        <v>58</v>
      </c>
      <c r="Y8" s="219" t="s">
        <v>59</v>
      </c>
      <c r="Z8" s="220" t="s">
        <v>60</v>
      </c>
      <c r="AA8" s="221" t="s">
        <v>61</v>
      </c>
      <c r="AB8" s="223"/>
      <c r="AC8" s="224" t="s">
        <v>58</v>
      </c>
      <c r="AD8" s="225" t="s">
        <v>59</v>
      </c>
      <c r="AE8" s="226" t="s">
        <v>60</v>
      </c>
      <c r="AF8" s="227" t="s">
        <v>61</v>
      </c>
      <c r="AG8" s="228"/>
      <c r="AH8" s="224" t="s">
        <v>58</v>
      </c>
      <c r="AI8" s="225" t="s">
        <v>59</v>
      </c>
      <c r="AJ8" s="226" t="s">
        <v>60</v>
      </c>
      <c r="AK8" s="227" t="s">
        <v>61</v>
      </c>
      <c r="AL8" s="228"/>
      <c r="AM8" s="224" t="s">
        <v>58</v>
      </c>
      <c r="AN8" s="225" t="s">
        <v>59</v>
      </c>
      <c r="AO8" s="226" t="s">
        <v>60</v>
      </c>
      <c r="AP8" s="227" t="s">
        <v>61</v>
      </c>
      <c r="AQ8" s="228"/>
      <c r="AR8" s="229" t="s">
        <v>58</v>
      </c>
      <c r="AS8" s="230" t="s">
        <v>59</v>
      </c>
      <c r="AT8" s="231" t="s">
        <v>60</v>
      </c>
      <c r="AU8" s="232" t="s">
        <v>61</v>
      </c>
      <c r="AV8" s="233"/>
      <c r="AW8" s="229" t="s">
        <v>58</v>
      </c>
      <c r="AX8" s="230" t="s">
        <v>59</v>
      </c>
      <c r="AY8" s="231" t="s">
        <v>60</v>
      </c>
      <c r="AZ8" s="232" t="s">
        <v>61</v>
      </c>
      <c r="BA8" s="233"/>
      <c r="BB8" s="229" t="s">
        <v>58</v>
      </c>
      <c r="BC8" s="230" t="s">
        <v>59</v>
      </c>
      <c r="BD8" s="231" t="s">
        <v>60</v>
      </c>
      <c r="BE8" s="232" t="s">
        <v>61</v>
      </c>
      <c r="BF8" s="233"/>
      <c r="BG8" s="224" t="s">
        <v>58</v>
      </c>
      <c r="BH8" s="225" t="s">
        <v>59</v>
      </c>
      <c r="BI8" s="226" t="s">
        <v>60</v>
      </c>
      <c r="BJ8" s="234" t="s">
        <v>61</v>
      </c>
      <c r="BK8" s="235"/>
      <c r="BL8" s="224" t="s">
        <v>58</v>
      </c>
      <c r="BM8" s="225" t="s">
        <v>59</v>
      </c>
      <c r="BN8" s="226" t="s">
        <v>60</v>
      </c>
      <c r="BO8" s="234" t="s">
        <v>61</v>
      </c>
      <c r="BP8" s="236"/>
      <c r="BR8" s="224" t="s">
        <v>58</v>
      </c>
      <c r="BS8" s="225" t="s">
        <v>59</v>
      </c>
      <c r="BT8" s="226" t="s">
        <v>60</v>
      </c>
      <c r="BU8" s="234" t="s">
        <v>61</v>
      </c>
      <c r="BV8" s="765"/>
      <c r="BW8" s="224" t="s">
        <v>58</v>
      </c>
      <c r="BX8" s="225" t="s">
        <v>59</v>
      </c>
      <c r="BY8" s="226" t="s">
        <v>60</v>
      </c>
      <c r="BZ8" s="234" t="s">
        <v>61</v>
      </c>
      <c r="CA8" s="765"/>
      <c r="CB8" s="229" t="s">
        <v>58</v>
      </c>
      <c r="CC8" s="230" t="s">
        <v>59</v>
      </c>
      <c r="CD8" s="231" t="s">
        <v>60</v>
      </c>
      <c r="CE8" s="242" t="s">
        <v>61</v>
      </c>
      <c r="CF8" s="766"/>
      <c r="CG8" s="229" t="s">
        <v>58</v>
      </c>
      <c r="CH8" s="230" t="s">
        <v>59</v>
      </c>
      <c r="CI8" s="231" t="s">
        <v>60</v>
      </c>
      <c r="CJ8" s="242" t="s">
        <v>61</v>
      </c>
      <c r="CK8" s="766"/>
      <c r="CL8" s="229" t="s">
        <v>58</v>
      </c>
      <c r="CM8" s="230" t="s">
        <v>59</v>
      </c>
      <c r="CN8" s="231" t="s">
        <v>60</v>
      </c>
      <c r="CO8" s="242" t="s">
        <v>61</v>
      </c>
      <c r="CP8" s="766"/>
      <c r="CQ8" s="229" t="s">
        <v>58</v>
      </c>
      <c r="CR8" s="230" t="s">
        <v>59</v>
      </c>
      <c r="CS8" s="231" t="s">
        <v>60</v>
      </c>
      <c r="CT8" s="242" t="s">
        <v>61</v>
      </c>
      <c r="CU8" s="767"/>
      <c r="CV8" s="229" t="s">
        <v>58</v>
      </c>
      <c r="CW8" s="230" t="s">
        <v>59</v>
      </c>
      <c r="CX8" s="231" t="s">
        <v>60</v>
      </c>
      <c r="CY8" s="242" t="s">
        <v>61</v>
      </c>
      <c r="CZ8" s="765"/>
      <c r="DA8" s="229" t="s">
        <v>58</v>
      </c>
      <c r="DB8" s="230" t="s">
        <v>59</v>
      </c>
      <c r="DC8" s="231" t="s">
        <v>60</v>
      </c>
      <c r="DD8" s="242" t="s">
        <v>61</v>
      </c>
      <c r="DE8" s="765"/>
      <c r="DF8" s="229" t="s">
        <v>58</v>
      </c>
      <c r="DG8" s="230" t="s">
        <v>59</v>
      </c>
      <c r="DH8" s="231" t="s">
        <v>60</v>
      </c>
      <c r="DI8" s="242" t="s">
        <v>61</v>
      </c>
      <c r="DJ8" s="765"/>
      <c r="DK8" s="229" t="s">
        <v>58</v>
      </c>
      <c r="DL8" s="230" t="s">
        <v>59</v>
      </c>
      <c r="DM8" s="231" t="s">
        <v>60</v>
      </c>
      <c r="DN8" s="242" t="s">
        <v>61</v>
      </c>
      <c r="DO8" s="765"/>
      <c r="DP8" s="229" t="s">
        <v>58</v>
      </c>
      <c r="DQ8" s="230" t="s">
        <v>59</v>
      </c>
      <c r="DR8" s="231" t="s">
        <v>60</v>
      </c>
      <c r="DS8" s="242" t="s">
        <v>61</v>
      </c>
      <c r="DT8" s="765"/>
      <c r="DU8" s="229" t="s">
        <v>58</v>
      </c>
      <c r="DV8" s="230" t="s">
        <v>59</v>
      </c>
      <c r="DW8" s="231" t="s">
        <v>60</v>
      </c>
      <c r="DX8" s="242" t="s">
        <v>61</v>
      </c>
      <c r="DY8" s="765"/>
      <c r="EA8" s="229" t="s">
        <v>58</v>
      </c>
      <c r="EB8" s="230" t="s">
        <v>59</v>
      </c>
      <c r="EC8" s="231" t="s">
        <v>60</v>
      </c>
      <c r="ED8" s="242" t="s">
        <v>61</v>
      </c>
      <c r="EE8" s="765"/>
      <c r="EF8" s="229" t="s">
        <v>58</v>
      </c>
      <c r="EG8" s="230" t="s">
        <v>59</v>
      </c>
      <c r="EH8" s="231" t="s">
        <v>60</v>
      </c>
      <c r="EI8" s="242" t="s">
        <v>61</v>
      </c>
      <c r="EJ8" s="765"/>
      <c r="EK8" s="229" t="s">
        <v>58</v>
      </c>
      <c r="EL8" s="230" t="s">
        <v>59</v>
      </c>
      <c r="EM8" s="231" t="s">
        <v>60</v>
      </c>
      <c r="EN8" s="242" t="s">
        <v>61</v>
      </c>
      <c r="EO8" s="765"/>
      <c r="EP8" s="229" t="s">
        <v>58</v>
      </c>
      <c r="EQ8" s="230" t="s">
        <v>59</v>
      </c>
      <c r="ER8" s="231" t="s">
        <v>60</v>
      </c>
      <c r="ES8" s="242" t="s">
        <v>61</v>
      </c>
      <c r="ET8" s="765"/>
      <c r="EU8" s="229" t="s">
        <v>58</v>
      </c>
      <c r="EV8" s="230" t="s">
        <v>59</v>
      </c>
      <c r="EW8" s="231" t="s">
        <v>60</v>
      </c>
      <c r="EX8" s="242" t="s">
        <v>61</v>
      </c>
      <c r="EY8" s="765"/>
      <c r="EZ8" s="229" t="s">
        <v>58</v>
      </c>
      <c r="FA8" s="230" t="s">
        <v>59</v>
      </c>
      <c r="FB8" s="231" t="s">
        <v>60</v>
      </c>
      <c r="FC8" s="242" t="s">
        <v>61</v>
      </c>
      <c r="FD8" s="765"/>
      <c r="FE8" s="229" t="s">
        <v>58</v>
      </c>
      <c r="FF8" s="230" t="s">
        <v>59</v>
      </c>
      <c r="FG8" s="231" t="s">
        <v>60</v>
      </c>
      <c r="FH8" s="242" t="s">
        <v>61</v>
      </c>
      <c r="FI8" s="765"/>
      <c r="FJ8" s="229" t="s">
        <v>58</v>
      </c>
      <c r="FK8" s="230" t="s">
        <v>59</v>
      </c>
      <c r="FL8" s="231" t="s">
        <v>60</v>
      </c>
      <c r="FM8" s="242" t="s">
        <v>61</v>
      </c>
      <c r="FN8" s="765"/>
      <c r="FO8" s="229" t="s">
        <v>58</v>
      </c>
      <c r="FP8" s="230" t="s">
        <v>59</v>
      </c>
      <c r="FQ8" s="231" t="s">
        <v>60</v>
      </c>
      <c r="FR8" s="242" t="s">
        <v>61</v>
      </c>
      <c r="FS8" s="765"/>
      <c r="FT8" s="229" t="s">
        <v>58</v>
      </c>
      <c r="FU8" s="230" t="s">
        <v>59</v>
      </c>
      <c r="FV8" s="231" t="s">
        <v>60</v>
      </c>
      <c r="FW8" s="242" t="s">
        <v>61</v>
      </c>
      <c r="FX8" s="765"/>
      <c r="FY8" s="229" t="s">
        <v>58</v>
      </c>
      <c r="FZ8" s="230" t="s">
        <v>59</v>
      </c>
      <c r="GA8" s="231" t="s">
        <v>60</v>
      </c>
      <c r="GB8" s="242" t="s">
        <v>61</v>
      </c>
      <c r="GC8" s="765"/>
      <c r="GD8" s="229" t="s">
        <v>58</v>
      </c>
      <c r="GE8" s="230" t="s">
        <v>59</v>
      </c>
      <c r="GF8" s="231" t="s">
        <v>60</v>
      </c>
      <c r="GG8" s="242" t="s">
        <v>61</v>
      </c>
      <c r="GH8" s="765"/>
      <c r="GJ8" s="238" t="s">
        <v>58</v>
      </c>
      <c r="GK8" s="239" t="s">
        <v>59</v>
      </c>
      <c r="GL8" s="240" t="s">
        <v>60</v>
      </c>
      <c r="GM8" s="241" t="s">
        <v>61</v>
      </c>
      <c r="GN8" s="237"/>
      <c r="GO8" s="238" t="s">
        <v>58</v>
      </c>
      <c r="GP8" s="239" t="s">
        <v>59</v>
      </c>
      <c r="GQ8" s="240" t="s">
        <v>60</v>
      </c>
      <c r="GR8" s="241" t="s">
        <v>61</v>
      </c>
      <c r="GS8" s="237"/>
      <c r="GT8" s="238" t="s">
        <v>58</v>
      </c>
      <c r="GU8" s="239" t="s">
        <v>59</v>
      </c>
      <c r="GV8" s="240" t="s">
        <v>60</v>
      </c>
      <c r="GW8" s="241" t="s">
        <v>61</v>
      </c>
      <c r="GX8" s="237"/>
      <c r="GY8" s="238" t="s">
        <v>58</v>
      </c>
      <c r="GZ8" s="239" t="s">
        <v>59</v>
      </c>
      <c r="HA8" s="240" t="s">
        <v>60</v>
      </c>
      <c r="HB8" s="241" t="s">
        <v>61</v>
      </c>
      <c r="HC8" s="237"/>
      <c r="HD8" s="238" t="s">
        <v>58</v>
      </c>
      <c r="HE8" s="239" t="s">
        <v>59</v>
      </c>
      <c r="HF8" s="240" t="s">
        <v>60</v>
      </c>
      <c r="HG8" s="241" t="s">
        <v>61</v>
      </c>
      <c r="HH8" s="237"/>
      <c r="HI8" s="238" t="s">
        <v>58</v>
      </c>
      <c r="HJ8" s="239" t="s">
        <v>59</v>
      </c>
      <c r="HK8" s="240" t="s">
        <v>60</v>
      </c>
      <c r="HL8" s="241" t="s">
        <v>61</v>
      </c>
      <c r="HM8" s="237"/>
      <c r="HN8" s="238" t="s">
        <v>58</v>
      </c>
      <c r="HO8" s="239" t="s">
        <v>59</v>
      </c>
      <c r="HP8" s="240" t="s">
        <v>60</v>
      </c>
      <c r="HQ8" s="241" t="s">
        <v>61</v>
      </c>
      <c r="HR8" s="237"/>
      <c r="HS8" s="238" t="s">
        <v>58</v>
      </c>
      <c r="HT8" s="243" t="s">
        <v>59</v>
      </c>
      <c r="HU8" s="240" t="s">
        <v>60</v>
      </c>
      <c r="HV8" s="241" t="s">
        <v>61</v>
      </c>
      <c r="HW8" s="237"/>
      <c r="HX8" s="238" t="s">
        <v>58</v>
      </c>
      <c r="HY8" s="243" t="s">
        <v>59</v>
      </c>
      <c r="HZ8" s="240" t="s">
        <v>60</v>
      </c>
      <c r="IA8" s="241" t="s">
        <v>61</v>
      </c>
      <c r="IB8" s="237"/>
      <c r="IC8" s="238" t="s">
        <v>58</v>
      </c>
      <c r="ID8" s="243" t="s">
        <v>59</v>
      </c>
      <c r="IE8" s="240" t="s">
        <v>60</v>
      </c>
      <c r="IF8" s="241" t="s">
        <v>61</v>
      </c>
      <c r="IG8" s="237"/>
      <c r="IH8" s="238" t="s">
        <v>58</v>
      </c>
      <c r="II8" s="243" t="s">
        <v>59</v>
      </c>
      <c r="IJ8" s="240" t="s">
        <v>60</v>
      </c>
      <c r="IK8" s="241" t="s">
        <v>61</v>
      </c>
      <c r="IL8" s="237"/>
      <c r="IM8" s="238" t="s">
        <v>58</v>
      </c>
      <c r="IN8" s="243" t="s">
        <v>59</v>
      </c>
      <c r="IO8" s="436" t="s">
        <v>60</v>
      </c>
      <c r="IP8" s="242" t="s">
        <v>61</v>
      </c>
      <c r="IQ8" s="440"/>
      <c r="IR8" s="438"/>
      <c r="IT8" s="447" t="s">
        <v>58</v>
      </c>
      <c r="IU8" s="244" t="s">
        <v>59</v>
      </c>
      <c r="IV8" s="231" t="s">
        <v>60</v>
      </c>
      <c r="IW8" s="242" t="s">
        <v>61</v>
      </c>
      <c r="IX8" s="245"/>
      <c r="IY8" s="229" t="s">
        <v>58</v>
      </c>
      <c r="IZ8" s="244" t="s">
        <v>59</v>
      </c>
      <c r="JA8" s="231" t="s">
        <v>60</v>
      </c>
      <c r="JB8" s="242" t="s">
        <v>61</v>
      </c>
      <c r="JC8" s="245"/>
      <c r="JD8" s="229" t="s">
        <v>58</v>
      </c>
      <c r="JE8" s="244" t="s">
        <v>59</v>
      </c>
      <c r="JF8" s="231" t="s">
        <v>60</v>
      </c>
      <c r="JG8" s="242" t="s">
        <v>61</v>
      </c>
      <c r="JH8" s="245"/>
      <c r="JI8" s="229" t="s">
        <v>58</v>
      </c>
      <c r="JJ8" s="244" t="s">
        <v>59</v>
      </c>
      <c r="JK8" s="231" t="s">
        <v>60</v>
      </c>
      <c r="JL8" s="242" t="s">
        <v>61</v>
      </c>
      <c r="JM8" s="245"/>
      <c r="JN8" s="229" t="s">
        <v>58</v>
      </c>
      <c r="JO8" s="244" t="s">
        <v>59</v>
      </c>
      <c r="JP8" s="231" t="s">
        <v>60</v>
      </c>
      <c r="JQ8" s="242" t="s">
        <v>61</v>
      </c>
      <c r="JR8" s="245"/>
      <c r="JS8" s="229" t="s">
        <v>58</v>
      </c>
      <c r="JT8" s="244" t="s">
        <v>59</v>
      </c>
      <c r="JU8" s="231" t="s">
        <v>60</v>
      </c>
      <c r="JV8" s="242" t="s">
        <v>61</v>
      </c>
      <c r="JW8" s="245"/>
      <c r="JX8" s="229" t="s">
        <v>58</v>
      </c>
      <c r="JY8" s="244" t="s">
        <v>59</v>
      </c>
      <c r="JZ8" s="231" t="s">
        <v>60</v>
      </c>
      <c r="KA8" s="242" t="s">
        <v>61</v>
      </c>
      <c r="KB8" s="245"/>
      <c r="KC8" s="229" t="s">
        <v>58</v>
      </c>
      <c r="KD8" s="244" t="s">
        <v>59</v>
      </c>
      <c r="KE8" s="231" t="s">
        <v>60</v>
      </c>
      <c r="KF8" s="242" t="s">
        <v>61</v>
      </c>
      <c r="KG8" s="1031"/>
      <c r="KH8" s="229" t="s">
        <v>58</v>
      </c>
      <c r="KI8" s="244" t="s">
        <v>59</v>
      </c>
      <c r="KJ8" s="231" t="s">
        <v>60</v>
      </c>
      <c r="KK8" s="242" t="s">
        <v>61</v>
      </c>
      <c r="KL8" s="1031"/>
      <c r="KM8" s="229" t="s">
        <v>58</v>
      </c>
      <c r="KN8" s="244" t="s">
        <v>59</v>
      </c>
      <c r="KO8" s="231" t="s">
        <v>60</v>
      </c>
      <c r="KP8" s="242" t="s">
        <v>61</v>
      </c>
      <c r="KQ8" s="1031"/>
      <c r="KR8" s="229" t="s">
        <v>58</v>
      </c>
      <c r="KS8" s="244" t="s">
        <v>59</v>
      </c>
      <c r="KT8" s="231" t="s">
        <v>60</v>
      </c>
      <c r="KU8" s="242" t="s">
        <v>61</v>
      </c>
      <c r="KV8" s="1031"/>
      <c r="KW8" s="229" t="s">
        <v>58</v>
      </c>
      <c r="KX8" s="244" t="s">
        <v>59</v>
      </c>
      <c r="KY8" s="231" t="s">
        <v>60</v>
      </c>
      <c r="KZ8" s="242" t="s">
        <v>61</v>
      </c>
      <c r="LA8" s="1031"/>
      <c r="LC8" s="229" t="s">
        <v>58</v>
      </c>
      <c r="LD8" s="244" t="s">
        <v>59</v>
      </c>
      <c r="LE8" s="231" t="s">
        <v>60</v>
      </c>
      <c r="LF8" s="242" t="s">
        <v>61</v>
      </c>
      <c r="LG8" s="1031"/>
      <c r="LH8" s="229" t="s">
        <v>58</v>
      </c>
      <c r="LI8" s="244" t="s">
        <v>59</v>
      </c>
      <c r="LJ8" s="231" t="s">
        <v>60</v>
      </c>
      <c r="LK8" s="242" t="s">
        <v>61</v>
      </c>
      <c r="LL8" s="245"/>
      <c r="LM8" s="229" t="s">
        <v>58</v>
      </c>
      <c r="LN8" s="244" t="s">
        <v>59</v>
      </c>
      <c r="LO8" s="231" t="s">
        <v>60</v>
      </c>
      <c r="LP8" s="242" t="s">
        <v>61</v>
      </c>
      <c r="LQ8" s="245"/>
      <c r="LR8" s="229" t="s">
        <v>58</v>
      </c>
      <c r="LS8" s="244" t="s">
        <v>59</v>
      </c>
      <c r="LT8" s="231" t="s">
        <v>60</v>
      </c>
      <c r="LU8" s="242" t="s">
        <v>61</v>
      </c>
      <c r="LV8" s="245"/>
      <c r="LW8" s="229" t="s">
        <v>58</v>
      </c>
      <c r="LX8" s="244" t="s">
        <v>59</v>
      </c>
      <c r="LY8" s="231" t="s">
        <v>60</v>
      </c>
      <c r="LZ8" s="242" t="s">
        <v>61</v>
      </c>
      <c r="MA8" s="245"/>
      <c r="MB8" s="229" t="s">
        <v>58</v>
      </c>
      <c r="MC8" s="244" t="s">
        <v>59</v>
      </c>
      <c r="MD8" s="231" t="s">
        <v>60</v>
      </c>
      <c r="ME8" s="242" t="s">
        <v>61</v>
      </c>
      <c r="MF8" s="245"/>
      <c r="MG8" s="229" t="s">
        <v>58</v>
      </c>
      <c r="MH8" s="244" t="s">
        <v>59</v>
      </c>
      <c r="MI8" s="231" t="s">
        <v>60</v>
      </c>
      <c r="MJ8" s="242" t="s">
        <v>61</v>
      </c>
      <c r="MK8" s="245"/>
      <c r="ML8" s="229" t="s">
        <v>58</v>
      </c>
      <c r="MM8" s="244" t="s">
        <v>59</v>
      </c>
      <c r="MN8" s="231" t="s">
        <v>60</v>
      </c>
      <c r="MO8" s="242" t="s">
        <v>61</v>
      </c>
      <c r="MP8" s="1031"/>
      <c r="MQ8" s="229" t="s">
        <v>58</v>
      </c>
      <c r="MR8" s="244" t="s">
        <v>59</v>
      </c>
      <c r="MS8" s="231" t="s">
        <v>60</v>
      </c>
      <c r="MT8" s="242" t="s">
        <v>61</v>
      </c>
      <c r="MU8" s="1031"/>
      <c r="MV8" s="229" t="s">
        <v>58</v>
      </c>
      <c r="MW8" s="244" t="s">
        <v>59</v>
      </c>
      <c r="MX8" s="231" t="s">
        <v>60</v>
      </c>
      <c r="MY8" s="242" t="s">
        <v>61</v>
      </c>
      <c r="MZ8" s="1031"/>
      <c r="NA8" s="229" t="s">
        <v>58</v>
      </c>
      <c r="NB8" s="244" t="s">
        <v>59</v>
      </c>
      <c r="NC8" s="231" t="s">
        <v>60</v>
      </c>
      <c r="ND8" s="242" t="s">
        <v>61</v>
      </c>
      <c r="NE8" s="1031"/>
      <c r="NF8" s="229" t="s">
        <v>58</v>
      </c>
      <c r="NG8" s="244" t="s">
        <v>59</v>
      </c>
      <c r="NH8" s="231" t="s">
        <v>60</v>
      </c>
      <c r="NI8" s="242" t="s">
        <v>61</v>
      </c>
      <c r="NJ8" s="1031"/>
    </row>
    <row r="9" spans="1:375" ht="15.75" x14ac:dyDescent="0.25">
      <c r="A9" s="246" t="s">
        <v>34</v>
      </c>
      <c r="B9" s="247">
        <v>1</v>
      </c>
      <c r="C9" s="248">
        <v>53.2</v>
      </c>
      <c r="D9" s="249">
        <v>53.66</v>
      </c>
      <c r="E9" s="250">
        <v>46.92</v>
      </c>
      <c r="F9" s="251"/>
      <c r="G9" s="252"/>
      <c r="H9" s="253">
        <f>D9+E9+F9+G9</f>
        <v>100.58</v>
      </c>
      <c r="I9" s="254">
        <v>50.85</v>
      </c>
      <c r="J9" s="187"/>
      <c r="K9" s="187"/>
      <c r="L9" s="255"/>
      <c r="M9" s="256">
        <f>SUM(I9:L9)</f>
        <v>50.85</v>
      </c>
      <c r="N9" s="254">
        <v>7.73</v>
      </c>
      <c r="O9" s="187"/>
      <c r="P9" s="187"/>
      <c r="Q9" s="255"/>
      <c r="R9" s="256">
        <f t="shared" ref="R9:R37" si="0">SUM(N9:Q9)</f>
        <v>7.73</v>
      </c>
      <c r="S9" s="254">
        <v>68.930000000000007</v>
      </c>
      <c r="T9" s="187">
        <v>43.32</v>
      </c>
      <c r="U9" s="187"/>
      <c r="V9" s="255"/>
      <c r="W9" s="256">
        <f t="shared" ref="W9:W37" si="1">SUM(S9:V9)</f>
        <v>112.25</v>
      </c>
      <c r="X9" s="254">
        <v>33.43</v>
      </c>
      <c r="Y9" s="187"/>
      <c r="Z9" s="187"/>
      <c r="AA9" s="255"/>
      <c r="AB9" s="256">
        <f>SUM(X9:AA9)</f>
        <v>33.43</v>
      </c>
      <c r="AC9" s="257">
        <v>46.94</v>
      </c>
      <c r="AD9" s="258"/>
      <c r="AE9" s="258"/>
      <c r="AF9" s="259"/>
      <c r="AG9" s="260">
        <f>SUM(AC9:AF9)</f>
        <v>46.94</v>
      </c>
      <c r="AH9" s="257">
        <v>64.41</v>
      </c>
      <c r="AI9" s="261">
        <v>38.43</v>
      </c>
      <c r="AJ9" s="258"/>
      <c r="AK9" s="259"/>
      <c r="AL9" s="262">
        <f>SUM(AH9:AK9)</f>
        <v>102.84</v>
      </c>
      <c r="AM9" s="263">
        <v>37.4</v>
      </c>
      <c r="AN9" s="264">
        <v>26.225000000000001</v>
      </c>
      <c r="AO9" s="264"/>
      <c r="AP9" s="265"/>
      <c r="AQ9" s="266">
        <f>SUM(AM9:AP9)</f>
        <v>63.625</v>
      </c>
      <c r="AR9" s="263">
        <v>55.44</v>
      </c>
      <c r="AS9" s="264">
        <v>30.84</v>
      </c>
      <c r="AT9" s="264"/>
      <c r="AU9" s="267"/>
      <c r="AV9" s="268">
        <f>SUM(AR9:AU9)</f>
        <v>86.28</v>
      </c>
      <c r="AW9" s="263">
        <v>63.43</v>
      </c>
      <c r="AX9" s="264"/>
      <c r="AY9" s="264"/>
      <c r="AZ9" s="267"/>
      <c r="BA9" s="268">
        <f>SUM(AW9:AZ9)</f>
        <v>63.43</v>
      </c>
      <c r="BB9" s="263">
        <f>82.13+2</f>
        <v>84.13</v>
      </c>
      <c r="BC9" s="264">
        <f>40.7+0.73</f>
        <v>41.43</v>
      </c>
      <c r="BD9" s="264"/>
      <c r="BE9" s="267"/>
      <c r="BF9" s="268">
        <f>SUM(BB9:BE9)</f>
        <v>125.56</v>
      </c>
      <c r="BG9" s="263">
        <f>34.91+2.44</f>
        <v>37.349999999999994</v>
      </c>
      <c r="BH9" s="264">
        <f>39.43+1.84</f>
        <v>41.27</v>
      </c>
      <c r="BI9" s="264"/>
      <c r="BJ9" s="269"/>
      <c r="BK9" s="270">
        <f>SUM(BG9:BJ9)</f>
        <v>78.62</v>
      </c>
      <c r="BL9" s="263">
        <f>62.91+6.19</f>
        <v>69.099999999999994</v>
      </c>
      <c r="BM9" s="264">
        <v>12.88</v>
      </c>
      <c r="BN9" s="264"/>
      <c r="BO9" s="269"/>
      <c r="BP9" s="271">
        <f>SUM(BL9:BO9)</f>
        <v>81.97999999999999</v>
      </c>
      <c r="BQ9" s="455">
        <f t="shared" ref="BQ9:BQ49" si="2">M9+R9+W9+AB9+AG9+AL9+AQ9+AV9+BA9+BF9+BK9+BP9</f>
        <v>853.53499999999997</v>
      </c>
      <c r="BR9" s="272">
        <v>25.48</v>
      </c>
      <c r="BS9" s="768">
        <f>32.62+3.99</f>
        <v>36.61</v>
      </c>
      <c r="BT9" s="768"/>
      <c r="BU9" s="769"/>
      <c r="BV9" s="770">
        <f>SUM(BR9:BU9)</f>
        <v>62.09</v>
      </c>
      <c r="BW9" s="771">
        <v>36.17</v>
      </c>
      <c r="BX9" s="768">
        <v>19.55</v>
      </c>
      <c r="BY9" s="768"/>
      <c r="BZ9" s="769"/>
      <c r="CA9" s="772">
        <f>SUM(BW9:BZ9)</f>
        <v>55.72</v>
      </c>
      <c r="CB9" s="773">
        <v>43.06</v>
      </c>
      <c r="CC9" s="774"/>
      <c r="CD9" s="774"/>
      <c r="CE9" s="775"/>
      <c r="CF9" s="776">
        <f>SUM(CB9:CE9)</f>
        <v>43.06</v>
      </c>
      <c r="CG9" s="773">
        <v>40.049999999999997</v>
      </c>
      <c r="CH9" s="774">
        <v>47.32</v>
      </c>
      <c r="CI9" s="774"/>
      <c r="CJ9" s="775"/>
      <c r="CK9" s="776">
        <f>SUM(CG9:CJ9)</f>
        <v>87.37</v>
      </c>
      <c r="CL9" s="773">
        <v>52.38</v>
      </c>
      <c r="CM9" s="774"/>
      <c r="CN9" s="774"/>
      <c r="CO9" s="775"/>
      <c r="CP9" s="776">
        <f>SUM(CL9:CO9)</f>
        <v>52.38</v>
      </c>
      <c r="CQ9" s="777">
        <v>31.88</v>
      </c>
      <c r="CR9" s="778">
        <v>23.01</v>
      </c>
      <c r="CS9" s="778"/>
      <c r="CT9" s="779"/>
      <c r="CU9" s="780">
        <v>54.89</v>
      </c>
      <c r="CV9" s="777">
        <v>25.75</v>
      </c>
      <c r="CW9" s="778">
        <v>41.85</v>
      </c>
      <c r="CX9" s="778"/>
      <c r="CY9" s="779"/>
      <c r="CZ9" s="780">
        <f t="shared" ref="CZ9:CZ32" si="3">SUM(CV9:CY9)</f>
        <v>67.599999999999994</v>
      </c>
      <c r="DA9" s="777">
        <v>45.84</v>
      </c>
      <c r="DB9" s="778"/>
      <c r="DC9" s="778"/>
      <c r="DD9" s="779"/>
      <c r="DE9" s="780">
        <f t="shared" ref="DE9:DE32" si="4">SUM(DA9:DD9)</f>
        <v>45.84</v>
      </c>
      <c r="DF9" s="777">
        <v>70.95</v>
      </c>
      <c r="DG9" s="778"/>
      <c r="DH9" s="778"/>
      <c r="DI9" s="779"/>
      <c r="DJ9" s="780">
        <f t="shared" ref="DJ9:DJ32" si="5">SUM(DF9:DI9)</f>
        <v>70.95</v>
      </c>
      <c r="DK9" s="777">
        <v>62.57</v>
      </c>
      <c r="DL9" s="778">
        <v>9.1</v>
      </c>
      <c r="DM9" s="778"/>
      <c r="DN9" s="779"/>
      <c r="DO9" s="780">
        <f>SUM(DK9:DN9)</f>
        <v>71.67</v>
      </c>
      <c r="DP9" s="777">
        <v>65.84</v>
      </c>
      <c r="DQ9" s="778"/>
      <c r="DR9" s="778"/>
      <c r="DS9" s="779"/>
      <c r="DT9" s="780">
        <f>SUM(DP9:DS9)</f>
        <v>65.84</v>
      </c>
      <c r="DU9" s="777">
        <v>88.84</v>
      </c>
      <c r="DV9" s="778">
        <v>9.32</v>
      </c>
      <c r="DW9" s="778"/>
      <c r="DX9" s="779"/>
      <c r="DY9" s="780">
        <f>SUM(DU9:DX9)</f>
        <v>98.16</v>
      </c>
      <c r="DZ9" s="455">
        <f t="shared" ref="DZ9:DZ49" si="6">BV9+CA9+CF9+CK9+CP9+CU9+CZ9+DE9+DJ9+DO9+DT9+DY9</f>
        <v>775.57</v>
      </c>
      <c r="EA9" s="777">
        <v>57.64</v>
      </c>
      <c r="EB9" s="778">
        <v>35.53</v>
      </c>
      <c r="EC9" s="778"/>
      <c r="ED9" s="779"/>
      <c r="EE9" s="780">
        <f>SUM(EA9:ED9)</f>
        <v>93.17</v>
      </c>
      <c r="EF9" s="777">
        <v>16.05</v>
      </c>
      <c r="EG9" s="778">
        <v>40.229999999999997</v>
      </c>
      <c r="EH9" s="778"/>
      <c r="EI9" s="779"/>
      <c r="EJ9" s="780">
        <f>SUM(EF9:EI9)</f>
        <v>56.28</v>
      </c>
      <c r="EK9" s="777">
        <v>31.12</v>
      </c>
      <c r="EL9" s="778"/>
      <c r="EM9" s="778"/>
      <c r="EN9" s="779"/>
      <c r="EO9" s="780">
        <f>SUM(EK9:EN9)</f>
        <v>31.12</v>
      </c>
      <c r="EP9" s="777">
        <v>26.91</v>
      </c>
      <c r="EQ9" s="778">
        <v>9.16</v>
      </c>
      <c r="ER9" s="778"/>
      <c r="ES9" s="779"/>
      <c r="ET9" s="780">
        <f>SUM(EP9:ES9)</f>
        <v>36.07</v>
      </c>
      <c r="EU9" s="777">
        <v>41.81</v>
      </c>
      <c r="EV9" s="778">
        <v>8.7100000000000009</v>
      </c>
      <c r="EW9" s="778"/>
      <c r="EX9" s="779"/>
      <c r="EY9" s="780">
        <f>SUM(EU9:EX9)</f>
        <v>50.52</v>
      </c>
      <c r="EZ9" s="777">
        <v>29.16</v>
      </c>
      <c r="FA9" s="778">
        <v>26.2</v>
      </c>
      <c r="FB9" s="778"/>
      <c r="FC9" s="779"/>
      <c r="FD9" s="780">
        <f>SUM(EZ9:FC9)</f>
        <v>55.36</v>
      </c>
      <c r="FE9" s="777">
        <v>23.18</v>
      </c>
      <c r="FF9" s="778">
        <v>23.61</v>
      </c>
      <c r="FG9" s="778"/>
      <c r="FH9" s="779"/>
      <c r="FI9" s="780">
        <f>SUM(FE9:FH9)</f>
        <v>46.79</v>
      </c>
      <c r="FJ9" s="777">
        <v>34.08</v>
      </c>
      <c r="FK9" s="778">
        <v>20.62</v>
      </c>
      <c r="FL9" s="778"/>
      <c r="FM9" s="779"/>
      <c r="FN9" s="780">
        <f>SUM(FJ9:FM9)</f>
        <v>54.7</v>
      </c>
      <c r="FO9" s="777">
        <v>36.590000000000003</v>
      </c>
      <c r="FP9" s="778">
        <v>29.91</v>
      </c>
      <c r="FQ9" s="778"/>
      <c r="FR9" s="779"/>
      <c r="FS9" s="780">
        <f>SUM(FO9:FR9)</f>
        <v>66.5</v>
      </c>
      <c r="FT9" s="777">
        <v>16.72</v>
      </c>
      <c r="FU9" s="778">
        <v>57.33</v>
      </c>
      <c r="FV9" s="778"/>
      <c r="FW9" s="779"/>
      <c r="FX9" s="780">
        <f>SUM(FT9:FW9)</f>
        <v>74.05</v>
      </c>
      <c r="FY9" s="777">
        <v>39.32</v>
      </c>
      <c r="FZ9" s="778">
        <v>44.45</v>
      </c>
      <c r="GA9" s="778"/>
      <c r="GB9" s="779"/>
      <c r="GC9" s="780">
        <f>SUM(FY9:GB9)</f>
        <v>83.77000000000001</v>
      </c>
      <c r="GD9" s="777">
        <v>31.67</v>
      </c>
      <c r="GE9" s="778">
        <v>25.34</v>
      </c>
      <c r="GF9" s="778"/>
      <c r="GG9" s="779"/>
      <c r="GH9" s="780">
        <f>SUM(GD9:GG9)</f>
        <v>57.010000000000005</v>
      </c>
      <c r="GI9" s="455">
        <f t="shared" ref="GI9:GI49" si="7">EE9+EJ9+EO9+ET9+EY9+FD9+FI9+FN9+FS9+FX9+GC9+GH9</f>
        <v>705.33999999999992</v>
      </c>
      <c r="GJ9" s="274">
        <v>9.77</v>
      </c>
      <c r="GK9" s="275">
        <v>27.17</v>
      </c>
      <c r="GL9" s="275"/>
      <c r="GM9" s="276"/>
      <c r="GN9" s="277">
        <f>SUM(GJ9:GM9)</f>
        <v>36.94</v>
      </c>
      <c r="GO9" s="274">
        <v>15.36</v>
      </c>
      <c r="GP9" s="275">
        <v>24.08</v>
      </c>
      <c r="GQ9" s="275"/>
      <c r="GR9" s="276"/>
      <c r="GS9" s="277">
        <f>SUM(GO9:GR9)</f>
        <v>39.44</v>
      </c>
      <c r="GT9" s="274">
        <v>15.14</v>
      </c>
      <c r="GU9" s="275">
        <v>7.87</v>
      </c>
      <c r="GV9" s="275">
        <v>4.54</v>
      </c>
      <c r="GW9" s="276"/>
      <c r="GX9" s="277">
        <f>SUM(GT9:GW9)</f>
        <v>27.55</v>
      </c>
      <c r="GY9" s="274">
        <v>20.25</v>
      </c>
      <c r="GZ9" s="275">
        <v>13.88</v>
      </c>
      <c r="HA9" s="275"/>
      <c r="HB9" s="276"/>
      <c r="HC9" s="277">
        <f>SUM(GY9:HB9)</f>
        <v>34.130000000000003</v>
      </c>
      <c r="HD9" s="274">
        <v>45.97</v>
      </c>
      <c r="HE9" s="275">
        <v>12.94</v>
      </c>
      <c r="HF9" s="275"/>
      <c r="HG9" s="276"/>
      <c r="HH9" s="277">
        <f>SUM(HD9:HG9)</f>
        <v>58.91</v>
      </c>
      <c r="HI9" s="274">
        <v>40.75</v>
      </c>
      <c r="HJ9" s="275">
        <v>13.29</v>
      </c>
      <c r="HK9" s="275"/>
      <c r="HL9" s="276"/>
      <c r="HM9" s="277">
        <f>SUM(HI9:HL9)</f>
        <v>54.04</v>
      </c>
      <c r="HN9" s="274">
        <v>28.57</v>
      </c>
      <c r="HO9" s="275">
        <v>16.23</v>
      </c>
      <c r="HP9" s="275"/>
      <c r="HQ9" s="276"/>
      <c r="HR9" s="277">
        <f>SUM(HN9:HQ9)</f>
        <v>44.8</v>
      </c>
      <c r="HS9" s="274">
        <v>33.31</v>
      </c>
      <c r="HT9" s="275">
        <v>32.630000000000003</v>
      </c>
      <c r="HU9" s="275"/>
      <c r="HV9" s="276"/>
      <c r="HW9" s="277">
        <f>SUM(HS9:HV9)</f>
        <v>65.94</v>
      </c>
      <c r="HX9" s="274">
        <v>24.71</v>
      </c>
      <c r="HY9" s="275">
        <v>26.41</v>
      </c>
      <c r="HZ9" s="275"/>
      <c r="IA9" s="276"/>
      <c r="IB9" s="277">
        <f>SUM(HX9:IA9)</f>
        <v>51.120000000000005</v>
      </c>
      <c r="IC9" s="274">
        <v>68.66</v>
      </c>
      <c r="ID9" s="275">
        <v>39.69</v>
      </c>
      <c r="IE9" s="275"/>
      <c r="IF9" s="276"/>
      <c r="IG9" s="277">
        <f>SUM(IC9:IF9)</f>
        <v>108.35</v>
      </c>
      <c r="IH9" s="278">
        <v>40.619999999999997</v>
      </c>
      <c r="II9" s="279">
        <v>9.34</v>
      </c>
      <c r="IJ9" s="279">
        <f>50.41+3.48</f>
        <v>53.889999999999993</v>
      </c>
      <c r="IK9" s="280"/>
      <c r="IL9" s="273">
        <f>SUM(IH9:IK9)</f>
        <v>103.85</v>
      </c>
      <c r="IM9" s="278">
        <v>65.930000000000007</v>
      </c>
      <c r="IN9" s="279">
        <v>16.14</v>
      </c>
      <c r="IO9" s="280"/>
      <c r="IP9" s="267"/>
      <c r="IQ9" s="441">
        <f>SUM(IM9:IP9)</f>
        <v>82.070000000000007</v>
      </c>
      <c r="IR9" s="441"/>
      <c r="IS9" s="455">
        <f>GN9+GS9+GX9+HC9+HH9+HM9+HR9+HW9+IB9+IG9+IL9+IQ9</f>
        <v>707.1400000000001</v>
      </c>
      <c r="IT9" s="448">
        <v>48.17</v>
      </c>
      <c r="IU9" s="264">
        <v>21.25</v>
      </c>
      <c r="IV9" s="264"/>
      <c r="IW9" s="267"/>
      <c r="IX9" s="268">
        <f>SUM(IT9:IW9)</f>
        <v>69.42</v>
      </c>
      <c r="IY9" s="263">
        <v>19.239999999999998</v>
      </c>
      <c r="IZ9" s="264">
        <v>23.96</v>
      </c>
      <c r="JA9" s="264"/>
      <c r="JB9" s="267"/>
      <c r="JC9" s="268">
        <f>SUM(IY9:JB9)</f>
        <v>43.2</v>
      </c>
      <c r="JD9" s="263">
        <v>31.79</v>
      </c>
      <c r="JE9" s="264">
        <v>22.9</v>
      </c>
      <c r="JF9" s="264">
        <v>17.21</v>
      </c>
      <c r="JG9" s="267"/>
      <c r="JH9" s="268">
        <f>SUM(JD9:JG9)</f>
        <v>71.900000000000006</v>
      </c>
      <c r="JI9" s="263">
        <v>42.9</v>
      </c>
      <c r="JJ9" s="264">
        <v>39.590000000000003</v>
      </c>
      <c r="JK9" s="264"/>
      <c r="JL9" s="267"/>
      <c r="JM9" s="268">
        <f>SUM(JI9:JL9)</f>
        <v>82.490000000000009</v>
      </c>
      <c r="JN9" s="263">
        <v>34.11</v>
      </c>
      <c r="JO9" s="264">
        <v>50.02</v>
      </c>
      <c r="JP9" s="264"/>
      <c r="JQ9" s="267"/>
      <c r="JR9" s="268">
        <f>SUM(JN9:JQ9)</f>
        <v>84.13</v>
      </c>
      <c r="JS9" s="263">
        <v>13.38</v>
      </c>
      <c r="JT9" s="264">
        <v>39.14</v>
      </c>
      <c r="JU9" s="264"/>
      <c r="JV9" s="267"/>
      <c r="JW9" s="268">
        <f>SUM(JS9:JV9)</f>
        <v>52.52</v>
      </c>
      <c r="JX9" s="263">
        <v>20.11</v>
      </c>
      <c r="JY9" s="264">
        <v>25.43</v>
      </c>
      <c r="JZ9" s="264"/>
      <c r="KA9" s="267"/>
      <c r="KB9" s="268">
        <f>SUM(JX9:KA9)</f>
        <v>45.54</v>
      </c>
      <c r="KC9" s="263">
        <v>35.979999999999997</v>
      </c>
      <c r="KD9" s="264">
        <v>29</v>
      </c>
      <c r="KE9" s="264"/>
      <c r="KF9" s="267"/>
      <c r="KG9" s="268">
        <f>SUM(KC9:KF9)</f>
        <v>64.97999999999999</v>
      </c>
      <c r="KH9" s="263">
        <v>42.379999999999995</v>
      </c>
      <c r="KI9" s="264">
        <v>33.93</v>
      </c>
      <c r="KJ9" s="264">
        <v>0</v>
      </c>
      <c r="KK9" s="267">
        <v>0</v>
      </c>
      <c r="KL9" s="268">
        <f>SUM(KH9:KK9)</f>
        <v>76.31</v>
      </c>
      <c r="KM9" s="263">
        <v>71.429999999999993</v>
      </c>
      <c r="KN9" s="264">
        <v>17.89</v>
      </c>
      <c r="KO9" s="264">
        <v>0</v>
      </c>
      <c r="KP9" s="267">
        <v>0</v>
      </c>
      <c r="KQ9" s="268">
        <f>SUM(KM9:KP9)</f>
        <v>89.32</v>
      </c>
      <c r="KR9" s="263">
        <v>56.32</v>
      </c>
      <c r="KS9" s="264">
        <v>67.010000000000005</v>
      </c>
      <c r="KT9" s="264">
        <v>0</v>
      </c>
      <c r="KU9" s="267">
        <v>0</v>
      </c>
      <c r="KV9" s="268">
        <f>SUM(KR9:KU9)</f>
        <v>123.33000000000001</v>
      </c>
      <c r="KW9" s="263">
        <v>45.47</v>
      </c>
      <c r="KX9" s="264">
        <v>61.180000000000007</v>
      </c>
      <c r="KY9" s="264">
        <v>0</v>
      </c>
      <c r="KZ9" s="267">
        <v>0</v>
      </c>
      <c r="LA9" s="268">
        <f t="shared" ref="LA9:LA49" si="8">SUM(KW9:KZ9)</f>
        <v>106.65</v>
      </c>
      <c r="LB9" s="455">
        <f>IX9+JC9+JH9+JM9+JR9+JW9+KB9+KG9+KL9+KQ9+KV9+LA9</f>
        <v>909.79</v>
      </c>
      <c r="LC9" s="263">
        <f t="shared" ref="LC9:LC49" si="9">IFERROR(VLOOKUP(B9,harvestinground,5,FALSE),"")</f>
        <v>44.13</v>
      </c>
      <c r="LD9" s="264">
        <f t="shared" ref="LD9:LD49" si="10">IFERROR(VLOOKUP(B9,harvestinground,6,FALSE),"")</f>
        <v>20.149999999999999</v>
      </c>
      <c r="LE9" s="264">
        <f t="shared" ref="LE9:LE49" si="11">IFERROR(VLOOKUP(B9,harvestinground,7,FALSE),"")</f>
        <v>0</v>
      </c>
      <c r="LF9" s="267">
        <f t="shared" ref="LF9:LF49" si="12">IFERROR(VLOOKUP(B9,harvestinground,8,FALSE),"")</f>
        <v>0</v>
      </c>
      <c r="LG9" s="268">
        <f t="shared" ref="LG9:LG49" si="13">SUM(LC9:LF9)</f>
        <v>64.28</v>
      </c>
      <c r="LH9" s="263"/>
      <c r="LI9" s="264"/>
      <c r="LJ9" s="264"/>
      <c r="LK9" s="267"/>
      <c r="LL9" s="268">
        <f>SUM(LH9:LK9)</f>
        <v>0</v>
      </c>
      <c r="LM9" s="263"/>
      <c r="LN9" s="264"/>
      <c r="LO9" s="264"/>
      <c r="LP9" s="267"/>
      <c r="LQ9" s="268">
        <f>SUM(LM9:LP9)</f>
        <v>0</v>
      </c>
      <c r="LR9" s="263"/>
      <c r="LS9" s="264"/>
      <c r="LT9" s="264"/>
      <c r="LU9" s="267"/>
      <c r="LV9" s="268">
        <f>SUM(LR9:LU9)</f>
        <v>0</v>
      </c>
      <c r="LW9" s="263"/>
      <c r="LX9" s="264"/>
      <c r="LY9" s="264"/>
      <c r="LZ9" s="267"/>
      <c r="MA9" s="268">
        <f>SUM(LW9:LZ9)</f>
        <v>0</v>
      </c>
      <c r="MB9" s="263"/>
      <c r="MC9" s="264"/>
      <c r="MD9" s="264"/>
      <c r="ME9" s="267"/>
      <c r="MF9" s="268">
        <f>SUM(MB9:ME9)</f>
        <v>0</v>
      </c>
      <c r="MG9" s="263"/>
      <c r="MH9" s="264"/>
      <c r="MI9" s="264"/>
      <c r="MJ9" s="267"/>
      <c r="MK9" s="268">
        <f>SUM(MG9:MJ9)</f>
        <v>0</v>
      </c>
      <c r="ML9" s="263"/>
      <c r="MM9" s="264"/>
      <c r="MN9" s="264"/>
      <c r="MO9" s="267"/>
      <c r="MP9" s="268">
        <f>SUM(ML9:MO9)</f>
        <v>0</v>
      </c>
      <c r="MQ9" s="263"/>
      <c r="MR9" s="264"/>
      <c r="MS9" s="264"/>
      <c r="MT9" s="267"/>
      <c r="MU9" s="268">
        <f>SUM(MQ9:MT9)</f>
        <v>0</v>
      </c>
      <c r="MV9" s="263"/>
      <c r="MW9" s="264"/>
      <c r="MX9" s="264"/>
      <c r="MY9" s="267"/>
      <c r="MZ9" s="268">
        <f>SUM(MV9:MY9)</f>
        <v>0</v>
      </c>
      <c r="NA9" s="263"/>
      <c r="NB9" s="264"/>
      <c r="NC9" s="264"/>
      <c r="ND9" s="267"/>
      <c r="NE9" s="268">
        <f>SUM(NA9:ND9)</f>
        <v>0</v>
      </c>
      <c r="NF9" s="263"/>
      <c r="NG9" s="264"/>
      <c r="NH9" s="264"/>
      <c r="NI9" s="267"/>
      <c r="NJ9" s="268">
        <f t="shared" ref="NJ9:NJ49" si="14">SUM(NF9:NI9)</f>
        <v>0</v>
      </c>
      <c r="NK9" s="455">
        <f>LG9+LL9+LQ9+LV9+MA9+MF9+MK9+MP9+MU9+MZ9+NE9+NJ9</f>
        <v>64.28</v>
      </c>
    </row>
    <row r="10" spans="1:375" ht="15.75" x14ac:dyDescent="0.25">
      <c r="A10" s="281"/>
      <c r="B10" s="282">
        <v>2</v>
      </c>
      <c r="C10" s="283">
        <v>60.4</v>
      </c>
      <c r="D10" s="284">
        <v>78.739999999999995</v>
      </c>
      <c r="E10" s="285"/>
      <c r="F10" s="286"/>
      <c r="G10" s="287"/>
      <c r="H10" s="288">
        <f t="shared" ref="H10:H37" si="15">D10+E10+F10+G10</f>
        <v>78.739999999999995</v>
      </c>
      <c r="I10" s="289">
        <v>50.07</v>
      </c>
      <c r="J10" s="290"/>
      <c r="K10" s="290"/>
      <c r="L10" s="291"/>
      <c r="M10" s="256">
        <f t="shared" ref="M10:M37" si="16">SUM(I10:L10)</f>
        <v>50.07</v>
      </c>
      <c r="N10" s="289">
        <v>26.08</v>
      </c>
      <c r="O10" s="290">
        <v>2.71</v>
      </c>
      <c r="P10" s="290"/>
      <c r="Q10" s="291"/>
      <c r="R10" s="256">
        <f t="shared" si="0"/>
        <v>28.79</v>
      </c>
      <c r="S10" s="289">
        <v>25.91</v>
      </c>
      <c r="T10" s="290">
        <v>40.549999999999997</v>
      </c>
      <c r="U10" s="290"/>
      <c r="V10" s="291"/>
      <c r="W10" s="256">
        <f t="shared" si="1"/>
        <v>66.459999999999994</v>
      </c>
      <c r="X10" s="289">
        <v>12.75</v>
      </c>
      <c r="Y10" s="290">
        <v>45.59</v>
      </c>
      <c r="Z10" s="290"/>
      <c r="AA10" s="291"/>
      <c r="AB10" s="256">
        <f t="shared" ref="AB10:AB37" si="17">SUM(X10:AA10)</f>
        <v>58.34</v>
      </c>
      <c r="AC10" s="292">
        <v>35.31</v>
      </c>
      <c r="AD10" s="293">
        <v>6.71</v>
      </c>
      <c r="AE10" s="293"/>
      <c r="AF10" s="294"/>
      <c r="AG10" s="260">
        <f t="shared" ref="AG10:AG32" si="18">SUM(AC10:AF10)</f>
        <v>42.02</v>
      </c>
      <c r="AH10" s="292">
        <v>52.27</v>
      </c>
      <c r="AI10" s="293"/>
      <c r="AJ10" s="293"/>
      <c r="AK10" s="294"/>
      <c r="AL10" s="295">
        <f>SUM(AH10:AK10)</f>
        <v>52.27</v>
      </c>
      <c r="AM10" s="32">
        <v>50.41</v>
      </c>
      <c r="AN10" s="33"/>
      <c r="AO10" s="33"/>
      <c r="AP10" s="296"/>
      <c r="AQ10" s="297">
        <f>SUM(AM10:AP10)</f>
        <v>50.41</v>
      </c>
      <c r="AR10" s="32">
        <v>37.552</v>
      </c>
      <c r="AS10" s="33">
        <v>46.25</v>
      </c>
      <c r="AT10" s="33"/>
      <c r="AU10" s="296"/>
      <c r="AV10" s="298">
        <f>SUM(AR10:AU10)</f>
        <v>83.801999999999992</v>
      </c>
      <c r="AW10" s="32">
        <v>57.12</v>
      </c>
      <c r="AX10" s="33"/>
      <c r="AY10" s="33"/>
      <c r="AZ10" s="296"/>
      <c r="BA10" s="298">
        <f>SUM(AW10:AZ10)</f>
        <v>57.12</v>
      </c>
      <c r="BB10" s="32">
        <f>89.54+2.14</f>
        <v>91.68</v>
      </c>
      <c r="BC10" s="33">
        <v>74.52</v>
      </c>
      <c r="BD10" s="33"/>
      <c r="BE10" s="296"/>
      <c r="BF10" s="298">
        <f>SUM(BB10:BE10)</f>
        <v>166.2</v>
      </c>
      <c r="BG10" s="32">
        <v>62.85</v>
      </c>
      <c r="BH10" s="33">
        <v>46.69</v>
      </c>
      <c r="BI10" s="33"/>
      <c r="BJ10" s="299"/>
      <c r="BK10" s="298">
        <f>SUM(BG10:BJ10)</f>
        <v>109.53999999999999</v>
      </c>
      <c r="BL10" s="32">
        <v>47.52</v>
      </c>
      <c r="BM10" s="33">
        <v>33.24</v>
      </c>
      <c r="BN10" s="33"/>
      <c r="BO10" s="299"/>
      <c r="BP10" s="297">
        <f>SUM(BL10:BO10)</f>
        <v>80.760000000000005</v>
      </c>
      <c r="BQ10" s="455">
        <f t="shared" si="2"/>
        <v>845.78199999999993</v>
      </c>
      <c r="BR10" s="32">
        <v>26.97</v>
      </c>
      <c r="BS10" s="43">
        <v>25.02</v>
      </c>
      <c r="BT10" s="43"/>
      <c r="BU10" s="781"/>
      <c r="BV10" s="782">
        <f t="shared" ref="BV10:BV47" si="19">SUM(BR10:BU10)</f>
        <v>51.989999999999995</v>
      </c>
      <c r="BW10" s="783">
        <v>19.309999999999999</v>
      </c>
      <c r="BX10" s="43">
        <v>24.49</v>
      </c>
      <c r="BY10" s="43"/>
      <c r="BZ10" s="781"/>
      <c r="CA10" s="784">
        <f t="shared" ref="CA10:CA47" si="20">SUM(BW10:BZ10)</f>
        <v>43.8</v>
      </c>
      <c r="CB10" s="785">
        <v>25.72</v>
      </c>
      <c r="CC10" s="786">
        <v>19.440000000000001</v>
      </c>
      <c r="CD10" s="786">
        <v>20.149999999999999</v>
      </c>
      <c r="CE10" s="787"/>
      <c r="CF10" s="788">
        <f>SUM(CB10:CE10)</f>
        <v>65.31</v>
      </c>
      <c r="CG10" s="785">
        <v>28.48</v>
      </c>
      <c r="CH10" s="786">
        <v>23.09</v>
      </c>
      <c r="CI10" s="786"/>
      <c r="CJ10" s="787"/>
      <c r="CK10" s="788">
        <f>SUM(CG10:CJ10)</f>
        <v>51.57</v>
      </c>
      <c r="CL10" s="785">
        <v>34.07</v>
      </c>
      <c r="CM10" s="786">
        <v>10.93</v>
      </c>
      <c r="CN10" s="786"/>
      <c r="CO10" s="787"/>
      <c r="CP10" s="788">
        <f>SUM(CL10:CO10)</f>
        <v>45</v>
      </c>
      <c r="CQ10" s="789">
        <v>18.86</v>
      </c>
      <c r="CR10" s="367">
        <v>14.12</v>
      </c>
      <c r="CS10" s="367">
        <v>16.920000000000002</v>
      </c>
      <c r="CT10" s="790"/>
      <c r="CU10" s="791">
        <v>49.9</v>
      </c>
      <c r="CV10" s="789">
        <v>20.86</v>
      </c>
      <c r="CW10" s="367">
        <v>19.309999999999999</v>
      </c>
      <c r="CX10" s="367"/>
      <c r="CY10" s="790"/>
      <c r="CZ10" s="791">
        <f t="shared" si="3"/>
        <v>40.17</v>
      </c>
      <c r="DA10" s="789">
        <v>32.299999999999997</v>
      </c>
      <c r="DB10" s="367">
        <v>25.31</v>
      </c>
      <c r="DC10" s="367"/>
      <c r="DD10" s="790"/>
      <c r="DE10" s="791">
        <f t="shared" si="4"/>
        <v>57.61</v>
      </c>
      <c r="DF10" s="789">
        <v>21.84</v>
      </c>
      <c r="DG10" s="367">
        <v>23.63</v>
      </c>
      <c r="DH10" s="367"/>
      <c r="DI10" s="790"/>
      <c r="DJ10" s="791">
        <f t="shared" si="5"/>
        <v>45.47</v>
      </c>
      <c r="DK10" s="789">
        <v>44.7</v>
      </c>
      <c r="DL10" s="367">
        <v>40.97</v>
      </c>
      <c r="DM10" s="367"/>
      <c r="DN10" s="790"/>
      <c r="DO10" s="791">
        <f t="shared" ref="DO10:DO32" si="21">SUM(DK10:DN10)</f>
        <v>85.67</v>
      </c>
      <c r="DP10" s="789">
        <v>33.86</v>
      </c>
      <c r="DQ10" s="367">
        <v>25.93</v>
      </c>
      <c r="DR10" s="367"/>
      <c r="DS10" s="790"/>
      <c r="DT10" s="791">
        <f t="shared" ref="DT10:DT32" si="22">SUM(DP10:DS10)</f>
        <v>59.79</v>
      </c>
      <c r="DU10" s="789">
        <v>32.770000000000003</v>
      </c>
      <c r="DV10" s="367">
        <v>34.25</v>
      </c>
      <c r="DW10" s="367"/>
      <c r="DX10" s="790"/>
      <c r="DY10" s="791">
        <f t="shared" ref="DY10:DY32" si="23">SUM(DU10:DX10)</f>
        <v>67.02000000000001</v>
      </c>
      <c r="DZ10" s="455">
        <f t="shared" si="6"/>
        <v>663.29999999999984</v>
      </c>
      <c r="EA10" s="789">
        <v>32.68</v>
      </c>
      <c r="EB10" s="367">
        <v>28.27</v>
      </c>
      <c r="EC10" s="367"/>
      <c r="ED10" s="790"/>
      <c r="EE10" s="791">
        <f t="shared" ref="EE10:EE32" si="24">SUM(EA10:ED10)</f>
        <v>60.95</v>
      </c>
      <c r="EF10" s="789">
        <v>36.5</v>
      </c>
      <c r="EG10" s="367">
        <v>28.35</v>
      </c>
      <c r="EH10" s="367"/>
      <c r="EI10" s="790"/>
      <c r="EJ10" s="791">
        <f t="shared" ref="EJ10:EJ32" si="25">SUM(EF10:EI10)</f>
        <v>64.849999999999994</v>
      </c>
      <c r="EK10" s="789">
        <v>29.41</v>
      </c>
      <c r="EL10" s="367">
        <v>29.28</v>
      </c>
      <c r="EM10" s="367"/>
      <c r="EN10" s="790"/>
      <c r="EO10" s="791">
        <f t="shared" ref="EO10:EO32" si="26">SUM(EK10:EN10)</f>
        <v>58.69</v>
      </c>
      <c r="EP10" s="789">
        <v>19.989999999999998</v>
      </c>
      <c r="EQ10" s="367">
        <v>20.73</v>
      </c>
      <c r="ER10" s="367"/>
      <c r="ES10" s="790"/>
      <c r="ET10" s="791">
        <f t="shared" ref="ET10:ET32" si="27">SUM(EP10:ES10)</f>
        <v>40.72</v>
      </c>
      <c r="EU10" s="789">
        <v>24.25</v>
      </c>
      <c r="EV10" s="367">
        <v>20.2</v>
      </c>
      <c r="EW10" s="367"/>
      <c r="EX10" s="790"/>
      <c r="EY10" s="791">
        <f t="shared" ref="EY10:EY32" si="28">SUM(EU10:EX10)</f>
        <v>44.45</v>
      </c>
      <c r="EZ10" s="789">
        <v>18.02</v>
      </c>
      <c r="FA10" s="367">
        <v>19.93</v>
      </c>
      <c r="FB10" s="367"/>
      <c r="FC10" s="790"/>
      <c r="FD10" s="791">
        <f t="shared" ref="FD10:FD32" si="29">SUM(EZ10:FC10)</f>
        <v>37.950000000000003</v>
      </c>
      <c r="FE10" s="789">
        <v>20.76</v>
      </c>
      <c r="FF10" s="367">
        <v>26.08</v>
      </c>
      <c r="FG10" s="367"/>
      <c r="FH10" s="790"/>
      <c r="FI10" s="791">
        <f t="shared" ref="FI10:FI32" si="30">SUM(FE10:FH10)</f>
        <v>46.84</v>
      </c>
      <c r="FJ10" s="789">
        <v>23.41</v>
      </c>
      <c r="FK10" s="367">
        <v>29.48</v>
      </c>
      <c r="FL10" s="367"/>
      <c r="FM10" s="790"/>
      <c r="FN10" s="791">
        <f t="shared" ref="FN10:FN32" si="31">SUM(FJ10:FM10)</f>
        <v>52.89</v>
      </c>
      <c r="FO10" s="789">
        <v>32.32</v>
      </c>
      <c r="FP10" s="367">
        <v>31.6</v>
      </c>
      <c r="FQ10" s="367"/>
      <c r="FR10" s="790"/>
      <c r="FS10" s="791">
        <f t="shared" ref="FS10:FS32" si="32">SUM(FO10:FR10)</f>
        <v>63.92</v>
      </c>
      <c r="FT10" s="789">
        <v>35.909999999999997</v>
      </c>
      <c r="FU10" s="367">
        <v>31.67</v>
      </c>
      <c r="FV10" s="367"/>
      <c r="FW10" s="790"/>
      <c r="FX10" s="791">
        <f t="shared" ref="FX10:FX32" si="33">SUM(FT10:FW10)</f>
        <v>67.58</v>
      </c>
      <c r="FY10" s="789">
        <v>39.83</v>
      </c>
      <c r="FZ10" s="367">
        <v>33.97</v>
      </c>
      <c r="GA10" s="367"/>
      <c r="GB10" s="790"/>
      <c r="GC10" s="791">
        <f t="shared" ref="GC10:GC32" si="34">SUM(FY10:GB10)</f>
        <v>73.8</v>
      </c>
      <c r="GD10" s="789">
        <v>51.75</v>
      </c>
      <c r="GE10" s="367">
        <v>37.47</v>
      </c>
      <c r="GF10" s="367"/>
      <c r="GG10" s="790"/>
      <c r="GH10" s="791">
        <f t="shared" ref="GH10:GH32" si="35">SUM(GD10:GG10)</f>
        <v>89.22</v>
      </c>
      <c r="GI10" s="455">
        <f t="shared" si="7"/>
        <v>701.86</v>
      </c>
      <c r="GJ10" s="302">
        <v>38.19</v>
      </c>
      <c r="GK10" s="303">
        <v>34.75</v>
      </c>
      <c r="GL10" s="303"/>
      <c r="GM10" s="304"/>
      <c r="GN10" s="305">
        <f t="shared" ref="GN10:GN32" si="36">SUM(GJ10:GM10)</f>
        <v>72.94</v>
      </c>
      <c r="GO10" s="302">
        <v>25.49</v>
      </c>
      <c r="GP10" s="303">
        <v>10.77</v>
      </c>
      <c r="GQ10" s="303"/>
      <c r="GR10" s="304"/>
      <c r="GS10" s="305">
        <f t="shared" ref="GS10:GS32" si="37">SUM(GO10:GR10)</f>
        <v>36.26</v>
      </c>
      <c r="GT10" s="302">
        <v>8.17</v>
      </c>
      <c r="GU10" s="303">
        <v>17.47</v>
      </c>
      <c r="GV10" s="303">
        <v>13.67</v>
      </c>
      <c r="GW10" s="304"/>
      <c r="GX10" s="305">
        <f t="shared" ref="GX10:GX32" si="38">SUM(GT10:GW10)</f>
        <v>39.31</v>
      </c>
      <c r="GY10" s="302">
        <v>31.68</v>
      </c>
      <c r="GZ10" s="303">
        <v>24.06</v>
      </c>
      <c r="HA10" s="303"/>
      <c r="HB10" s="304"/>
      <c r="HC10" s="305">
        <f t="shared" ref="HC10:HC32" si="39">SUM(GY10:HB10)</f>
        <v>55.739999999999995</v>
      </c>
      <c r="HD10" s="302">
        <v>42.84</v>
      </c>
      <c r="HE10" s="303">
        <v>22.4</v>
      </c>
      <c r="HF10" s="303">
        <v>10.51</v>
      </c>
      <c r="HG10" s="304"/>
      <c r="HH10" s="305">
        <f t="shared" ref="HH10:HH32" si="40">SUM(HD10:HG10)</f>
        <v>75.750000000000014</v>
      </c>
      <c r="HI10" s="302">
        <v>31.64</v>
      </c>
      <c r="HJ10" s="303">
        <v>32.270000000000003</v>
      </c>
      <c r="HK10" s="303"/>
      <c r="HL10" s="304"/>
      <c r="HM10" s="305">
        <f t="shared" ref="HM10:HM32" si="41">SUM(HI10:HL10)</f>
        <v>63.910000000000004</v>
      </c>
      <c r="HN10" s="302">
        <v>30.86</v>
      </c>
      <c r="HO10" s="303">
        <v>20.6</v>
      </c>
      <c r="HP10" s="303"/>
      <c r="HQ10" s="304"/>
      <c r="HR10" s="305">
        <f t="shared" ref="HR10:HR32" si="42">SUM(HN10:HQ10)</f>
        <v>51.46</v>
      </c>
      <c r="HS10" s="302">
        <v>40.74</v>
      </c>
      <c r="HT10" s="303">
        <v>66.56</v>
      </c>
      <c r="HU10" s="303"/>
      <c r="HV10" s="304"/>
      <c r="HW10" s="305">
        <f t="shared" ref="HW10:HW32" si="43">SUM(HS10:HV10)</f>
        <v>107.30000000000001</v>
      </c>
      <c r="HX10" s="302">
        <v>75.03</v>
      </c>
      <c r="HY10" s="308"/>
      <c r="HZ10" s="303"/>
      <c r="IA10" s="304"/>
      <c r="IB10" s="305">
        <f t="shared" ref="IB10:IB32" si="44">SUM(HX10:IA10)</f>
        <v>75.03</v>
      </c>
      <c r="IC10" s="302">
        <f>52.94+2.07</f>
        <v>55.01</v>
      </c>
      <c r="ID10" s="303">
        <v>29.3</v>
      </c>
      <c r="IE10" s="303"/>
      <c r="IF10" s="304"/>
      <c r="IG10" s="305">
        <f t="shared" ref="IG10:IG32" si="45">SUM(IC10:IF10)</f>
        <v>84.31</v>
      </c>
      <c r="IH10" s="61">
        <f>55.54+3.834</f>
        <v>59.374000000000002</v>
      </c>
      <c r="II10" s="62">
        <v>36.340000000000003</v>
      </c>
      <c r="IJ10" s="62"/>
      <c r="IK10" s="301"/>
      <c r="IL10" s="300">
        <f t="shared" ref="IL10:IL32" si="46">SUM(IH10:IK10)</f>
        <v>95.713999999999999</v>
      </c>
      <c r="IM10" s="61">
        <v>62.25</v>
      </c>
      <c r="IN10" s="62">
        <v>8.74</v>
      </c>
      <c r="IO10" s="301"/>
      <c r="IP10" s="296"/>
      <c r="IQ10" s="442">
        <f t="shared" ref="IQ10:IQ32" si="47">SUM(IM10:IP10)</f>
        <v>70.989999999999995</v>
      </c>
      <c r="IR10" s="442"/>
      <c r="IS10" s="455">
        <f t="shared" ref="IS10:IS49" si="48">GN10+GS10+GX10+HC10+HH10+HM10+HR10+HW10+IB10+IG10+IL10+IQ10</f>
        <v>828.71399999999994</v>
      </c>
      <c r="IT10" s="449">
        <v>26.95</v>
      </c>
      <c r="IU10" s="33">
        <v>37.409999999999997</v>
      </c>
      <c r="IV10" s="33"/>
      <c r="IW10" s="296"/>
      <c r="IX10" s="298">
        <f t="shared" ref="IX10:IX32" si="49">SUM(IT10:IW10)</f>
        <v>64.36</v>
      </c>
      <c r="IY10" s="32">
        <v>48.71</v>
      </c>
      <c r="IZ10" s="33">
        <v>31.2</v>
      </c>
      <c r="JA10" s="33"/>
      <c r="JB10" s="296"/>
      <c r="JC10" s="298">
        <f t="shared" ref="JC10:JC32" si="50">SUM(IY10:JB10)</f>
        <v>79.91</v>
      </c>
      <c r="JD10" s="32">
        <v>33.68</v>
      </c>
      <c r="JE10" s="33">
        <v>57.36</v>
      </c>
      <c r="JF10" s="33"/>
      <c r="JG10" s="296"/>
      <c r="JH10" s="298">
        <f t="shared" ref="JH10:JH32" si="51">SUM(JD10:JG10)</f>
        <v>91.039999999999992</v>
      </c>
      <c r="JI10" s="32">
        <v>74.37</v>
      </c>
      <c r="JJ10" s="309"/>
      <c r="JK10" s="33"/>
      <c r="JL10" s="296"/>
      <c r="JM10" s="298">
        <f t="shared" ref="JM10:JM32" si="52">SUM(JI10:JL10)</f>
        <v>74.37</v>
      </c>
      <c r="JN10" s="32">
        <v>17.75</v>
      </c>
      <c r="JO10" s="33">
        <v>40.67</v>
      </c>
      <c r="JP10" s="33">
        <v>34.630000000000003</v>
      </c>
      <c r="JQ10" s="296"/>
      <c r="JR10" s="298">
        <f t="shared" ref="JR10:JR32" si="53">SUM(JN10:JQ10)</f>
        <v>93.050000000000011</v>
      </c>
      <c r="JS10" s="32">
        <v>27.43</v>
      </c>
      <c r="JT10" s="33">
        <v>12.13</v>
      </c>
      <c r="JU10" s="33"/>
      <c r="JV10" s="296"/>
      <c r="JW10" s="298">
        <f t="shared" ref="JW10:JW32" si="54">SUM(JS10:JV10)</f>
        <v>39.56</v>
      </c>
      <c r="JX10" s="32">
        <v>32.85</v>
      </c>
      <c r="JY10" s="33">
        <v>12.23</v>
      </c>
      <c r="JZ10" s="33">
        <v>12.76</v>
      </c>
      <c r="KA10" s="296"/>
      <c r="KB10" s="298">
        <f t="shared" ref="KB10:KB32" si="55">SUM(JX10:KA10)</f>
        <v>57.839999999999996</v>
      </c>
      <c r="KC10" s="32">
        <v>25.4</v>
      </c>
      <c r="KD10" s="33">
        <v>25.76</v>
      </c>
      <c r="KE10" s="33"/>
      <c r="KF10" s="296"/>
      <c r="KG10" s="298">
        <f t="shared" ref="KG10:KG49" si="56">SUM(KC10:KF10)</f>
        <v>51.16</v>
      </c>
      <c r="KH10" s="32">
        <v>26.669999999999995</v>
      </c>
      <c r="KI10" s="33">
        <v>31.799999999999997</v>
      </c>
      <c r="KJ10" s="33">
        <v>17.78</v>
      </c>
      <c r="KK10" s="296">
        <v>0</v>
      </c>
      <c r="KL10" s="298">
        <f t="shared" ref="KL10:KL49" si="57">SUM(KH10:KK10)</f>
        <v>76.25</v>
      </c>
      <c r="KM10" s="32">
        <v>63.76</v>
      </c>
      <c r="KN10" s="33">
        <v>16.78</v>
      </c>
      <c r="KO10" s="33">
        <v>0</v>
      </c>
      <c r="KP10" s="296">
        <v>0</v>
      </c>
      <c r="KQ10" s="298">
        <f t="shared" ref="KQ10:KQ49" si="58">SUM(KM10:KP10)</f>
        <v>80.539999999999992</v>
      </c>
      <c r="KR10" s="32">
        <v>52.18</v>
      </c>
      <c r="KS10" s="33">
        <v>72</v>
      </c>
      <c r="KT10" s="33">
        <v>0</v>
      </c>
      <c r="KU10" s="296">
        <v>0</v>
      </c>
      <c r="KV10" s="298">
        <f t="shared" ref="KV10:KV49" si="59">SUM(KR10:KU10)</f>
        <v>124.18</v>
      </c>
      <c r="KW10" s="32">
        <v>57.309999999999995</v>
      </c>
      <c r="KX10" s="33">
        <v>0</v>
      </c>
      <c r="KY10" s="33">
        <v>0</v>
      </c>
      <c r="KZ10" s="296">
        <v>0</v>
      </c>
      <c r="LA10" s="298">
        <f t="shared" si="8"/>
        <v>57.309999999999995</v>
      </c>
      <c r="LB10" s="455">
        <f t="shared" ref="LB10:LB49" si="60">IX10+JC10+JH10+JM10+JR10+JW10+KB10+KG10+KL10+KQ10+KV10+LA10</f>
        <v>889.56999999999994</v>
      </c>
      <c r="LC10" s="32">
        <f t="shared" si="9"/>
        <v>3.25</v>
      </c>
      <c r="LD10" s="33">
        <f t="shared" si="10"/>
        <v>86.719999999999985</v>
      </c>
      <c r="LE10" s="33">
        <f t="shared" si="11"/>
        <v>0</v>
      </c>
      <c r="LF10" s="296">
        <f t="shared" si="12"/>
        <v>0</v>
      </c>
      <c r="LG10" s="298">
        <f t="shared" si="13"/>
        <v>89.969999999999985</v>
      </c>
      <c r="LH10" s="32"/>
      <c r="LI10" s="33"/>
      <c r="LJ10" s="33"/>
      <c r="LK10" s="296"/>
      <c r="LL10" s="298">
        <f t="shared" ref="LL10:LL32" si="61">SUM(LH10:LK10)</f>
        <v>0</v>
      </c>
      <c r="LM10" s="32"/>
      <c r="LN10" s="33"/>
      <c r="LO10" s="33"/>
      <c r="LP10" s="296"/>
      <c r="LQ10" s="298">
        <f t="shared" ref="LQ10:LQ32" si="62">SUM(LM10:LP10)</f>
        <v>0</v>
      </c>
      <c r="LR10" s="32"/>
      <c r="LS10" s="33"/>
      <c r="LT10" s="33"/>
      <c r="LU10" s="296"/>
      <c r="LV10" s="298">
        <f t="shared" ref="LV10:LV32" si="63">SUM(LR10:LU10)</f>
        <v>0</v>
      </c>
      <c r="LW10" s="32"/>
      <c r="LX10" s="33"/>
      <c r="LY10" s="33"/>
      <c r="LZ10" s="296"/>
      <c r="MA10" s="298">
        <f t="shared" ref="MA10:MA32" si="64">SUM(LW10:LZ10)</f>
        <v>0</v>
      </c>
      <c r="MB10" s="32"/>
      <c r="MC10" s="33"/>
      <c r="MD10" s="33"/>
      <c r="ME10" s="296"/>
      <c r="MF10" s="298">
        <f t="shared" ref="MF10:MF32" si="65">SUM(MB10:ME10)</f>
        <v>0</v>
      </c>
      <c r="MG10" s="32"/>
      <c r="MH10" s="33"/>
      <c r="MI10" s="33"/>
      <c r="MJ10" s="296"/>
      <c r="MK10" s="298">
        <f t="shared" ref="MK10:MK32" si="66">SUM(MG10:MJ10)</f>
        <v>0</v>
      </c>
      <c r="ML10" s="32"/>
      <c r="MM10" s="33"/>
      <c r="MN10" s="33"/>
      <c r="MO10" s="296"/>
      <c r="MP10" s="298">
        <f t="shared" ref="MP10:MP49" si="67">SUM(ML10:MO10)</f>
        <v>0</v>
      </c>
      <c r="MQ10" s="32"/>
      <c r="MR10" s="33"/>
      <c r="MS10" s="33"/>
      <c r="MT10" s="296"/>
      <c r="MU10" s="298">
        <f t="shared" ref="MU10:MU49" si="68">SUM(MQ10:MT10)</f>
        <v>0</v>
      </c>
      <c r="MV10" s="32"/>
      <c r="MW10" s="33"/>
      <c r="MX10" s="33"/>
      <c r="MY10" s="296"/>
      <c r="MZ10" s="298">
        <f t="shared" ref="MZ10:MZ49" si="69">SUM(MV10:MY10)</f>
        <v>0</v>
      </c>
      <c r="NA10" s="32"/>
      <c r="NB10" s="33"/>
      <c r="NC10" s="33"/>
      <c r="ND10" s="296"/>
      <c r="NE10" s="298">
        <f t="shared" ref="NE10:NE49" si="70">SUM(NA10:ND10)</f>
        <v>0</v>
      </c>
      <c r="NF10" s="32"/>
      <c r="NG10" s="33"/>
      <c r="NH10" s="33"/>
      <c r="NI10" s="296"/>
      <c r="NJ10" s="298">
        <f t="shared" si="14"/>
        <v>0</v>
      </c>
      <c r="NK10" s="455">
        <f t="shared" ref="NK10:NK49" si="71">LG10+LL10+LQ10+LV10+MA10+MF10+MK10+MP10+MU10+MZ10+NE10+NJ10</f>
        <v>89.969999999999985</v>
      </c>
    </row>
    <row r="11" spans="1:375" ht="15.75" x14ac:dyDescent="0.25">
      <c r="A11" s="281"/>
      <c r="B11" s="282">
        <v>3</v>
      </c>
      <c r="C11" s="283">
        <v>69.2</v>
      </c>
      <c r="D11" s="284">
        <v>19.86</v>
      </c>
      <c r="E11" s="285">
        <v>58.7</v>
      </c>
      <c r="F11" s="286"/>
      <c r="G11" s="287"/>
      <c r="H11" s="288">
        <f t="shared" si="15"/>
        <v>78.56</v>
      </c>
      <c r="I11" s="289">
        <v>18.22</v>
      </c>
      <c r="J11" s="290">
        <v>46.94</v>
      </c>
      <c r="K11" s="290"/>
      <c r="L11" s="291"/>
      <c r="M11" s="256">
        <f t="shared" si="16"/>
        <v>65.16</v>
      </c>
      <c r="N11" s="289">
        <v>73.16</v>
      </c>
      <c r="O11" s="290"/>
      <c r="P11" s="290"/>
      <c r="Q11" s="291"/>
      <c r="R11" s="256">
        <f t="shared" si="0"/>
        <v>73.16</v>
      </c>
      <c r="S11" s="289">
        <v>36.97</v>
      </c>
      <c r="T11" s="290">
        <v>34.78</v>
      </c>
      <c r="U11" s="290"/>
      <c r="V11" s="291"/>
      <c r="W11" s="256">
        <f t="shared" si="1"/>
        <v>71.75</v>
      </c>
      <c r="X11" s="289">
        <v>59.15</v>
      </c>
      <c r="Y11" s="290">
        <v>42.75</v>
      </c>
      <c r="Z11" s="290"/>
      <c r="AA11" s="291"/>
      <c r="AB11" s="256">
        <f t="shared" si="17"/>
        <v>101.9</v>
      </c>
      <c r="AC11" s="292">
        <v>23.12</v>
      </c>
      <c r="AD11" s="293">
        <v>66.27</v>
      </c>
      <c r="AE11" s="293"/>
      <c r="AF11" s="294"/>
      <c r="AG11" s="260">
        <f t="shared" si="18"/>
        <v>89.39</v>
      </c>
      <c r="AH11" s="292">
        <v>59.51</v>
      </c>
      <c r="AI11" s="293"/>
      <c r="AJ11" s="293"/>
      <c r="AK11" s="294"/>
      <c r="AL11" s="295">
        <f t="shared" ref="AL11:AL32" si="72">SUM(AH11:AK11)</f>
        <v>59.51</v>
      </c>
      <c r="AM11" s="32">
        <v>48.94</v>
      </c>
      <c r="AN11" s="33">
        <v>27.100999999999999</v>
      </c>
      <c r="AO11" s="33">
        <v>5.12</v>
      </c>
      <c r="AP11" s="296"/>
      <c r="AQ11" s="297">
        <f t="shared" ref="AQ11:AQ37" si="73">SUM(AM11:AP11)</f>
        <v>81.161000000000001</v>
      </c>
      <c r="AR11" s="32">
        <v>85.59</v>
      </c>
      <c r="AS11" s="33"/>
      <c r="AT11" s="33"/>
      <c r="AU11" s="296"/>
      <c r="AV11" s="298">
        <f t="shared" ref="AV11:AV37" si="74">SUM(AR11:AU11)</f>
        <v>85.59</v>
      </c>
      <c r="AW11" s="32">
        <v>81.739999999999995</v>
      </c>
      <c r="AX11" s="33">
        <v>68.459999999999994</v>
      </c>
      <c r="AY11" s="33"/>
      <c r="AZ11" s="296"/>
      <c r="BA11" s="298">
        <f t="shared" ref="BA11:BA37" si="75">SUM(AW11:AZ11)</f>
        <v>150.19999999999999</v>
      </c>
      <c r="BB11" s="32">
        <f>23.01+2.32</f>
        <v>25.330000000000002</v>
      </c>
      <c r="BC11" s="33">
        <f>68.52+1.16</f>
        <v>69.679999999999993</v>
      </c>
      <c r="BD11" s="33">
        <v>24.97</v>
      </c>
      <c r="BE11" s="296"/>
      <c r="BF11" s="298">
        <f>SUM(BB11:BE11)</f>
        <v>119.97999999999999</v>
      </c>
      <c r="BG11" s="32">
        <f>93.57+4.76</f>
        <v>98.33</v>
      </c>
      <c r="BH11" s="33"/>
      <c r="BI11" s="33"/>
      <c r="BJ11" s="299"/>
      <c r="BK11" s="298">
        <f t="shared" ref="BK11:BK48" si="76">SUM(BG11:BJ11)</f>
        <v>98.33</v>
      </c>
      <c r="BL11" s="32">
        <f>39.95+0.6</f>
        <v>40.550000000000004</v>
      </c>
      <c r="BM11" s="33">
        <f>63.62+1.74</f>
        <v>65.36</v>
      </c>
      <c r="BN11" s="33"/>
      <c r="BO11" s="299"/>
      <c r="BP11" s="297">
        <f t="shared" ref="BP11:BP48" si="77">SUM(BL11:BO11)</f>
        <v>105.91</v>
      </c>
      <c r="BQ11" s="455">
        <f t="shared" si="2"/>
        <v>1102.0409999999999</v>
      </c>
      <c r="BR11" s="32">
        <f>46.33+1.27</f>
        <v>47.6</v>
      </c>
      <c r="BS11" s="43"/>
      <c r="BT11" s="43"/>
      <c r="BU11" s="781"/>
      <c r="BV11" s="782">
        <f t="shared" si="19"/>
        <v>47.6</v>
      </c>
      <c r="BW11" s="783">
        <v>24.87</v>
      </c>
      <c r="BX11" s="43">
        <v>15.33</v>
      </c>
      <c r="BY11" s="43"/>
      <c r="BZ11" s="781"/>
      <c r="CA11" s="784">
        <f t="shared" si="20"/>
        <v>40.200000000000003</v>
      </c>
      <c r="CB11" s="785">
        <v>35.93</v>
      </c>
      <c r="CC11" s="786">
        <v>40.61</v>
      </c>
      <c r="CD11" s="786"/>
      <c r="CE11" s="787"/>
      <c r="CF11" s="788">
        <f t="shared" ref="CF11:CF49" si="78">SUM(CB11:CE11)</f>
        <v>76.539999999999992</v>
      </c>
      <c r="CG11" s="785">
        <v>52.65</v>
      </c>
      <c r="CH11" s="786"/>
      <c r="CI11" s="786"/>
      <c r="CJ11" s="787"/>
      <c r="CK11" s="788">
        <f t="shared" ref="CK11:CK49" si="79">SUM(CG11:CJ11)</f>
        <v>52.65</v>
      </c>
      <c r="CL11" s="785">
        <v>57.81</v>
      </c>
      <c r="CM11" s="786">
        <v>23.47</v>
      </c>
      <c r="CN11" s="786"/>
      <c r="CO11" s="787"/>
      <c r="CP11" s="788">
        <f t="shared" ref="CP11:CP49" si="80">SUM(CL11:CO11)</f>
        <v>81.28</v>
      </c>
      <c r="CQ11" s="789">
        <v>23.1</v>
      </c>
      <c r="CR11" s="367">
        <v>21.13</v>
      </c>
      <c r="CS11" s="367">
        <v>18.72</v>
      </c>
      <c r="CT11" s="790"/>
      <c r="CU11" s="791">
        <v>62.95</v>
      </c>
      <c r="CV11" s="789">
        <v>48.72</v>
      </c>
      <c r="CW11" s="367">
        <v>7.52</v>
      </c>
      <c r="CX11" s="367"/>
      <c r="CY11" s="790"/>
      <c r="CZ11" s="791">
        <f t="shared" si="3"/>
        <v>56.239999999999995</v>
      </c>
      <c r="DA11" s="789">
        <v>42.24</v>
      </c>
      <c r="DB11" s="367">
        <v>53.28</v>
      </c>
      <c r="DC11" s="367"/>
      <c r="DD11" s="790"/>
      <c r="DE11" s="791">
        <f t="shared" si="4"/>
        <v>95.52000000000001</v>
      </c>
      <c r="DF11" s="789">
        <v>31.88</v>
      </c>
      <c r="DG11" s="367">
        <v>87.68</v>
      </c>
      <c r="DH11" s="367"/>
      <c r="DI11" s="790"/>
      <c r="DJ11" s="791">
        <f t="shared" si="5"/>
        <v>119.56</v>
      </c>
      <c r="DK11" s="789">
        <v>43.2</v>
      </c>
      <c r="DL11" s="367">
        <v>123.5</v>
      </c>
      <c r="DM11" s="367"/>
      <c r="DN11" s="790"/>
      <c r="DO11" s="791">
        <f t="shared" si="21"/>
        <v>166.7</v>
      </c>
      <c r="DP11" s="789">
        <v>83.02</v>
      </c>
      <c r="DQ11" s="367"/>
      <c r="DR11" s="367"/>
      <c r="DS11" s="790"/>
      <c r="DT11" s="791">
        <f t="shared" si="22"/>
        <v>83.02</v>
      </c>
      <c r="DU11" s="789">
        <v>106.95</v>
      </c>
      <c r="DV11" s="367"/>
      <c r="DW11" s="367"/>
      <c r="DX11" s="790"/>
      <c r="DY11" s="791">
        <f t="shared" si="23"/>
        <v>106.95</v>
      </c>
      <c r="DZ11" s="455">
        <f t="shared" si="6"/>
        <v>989.21</v>
      </c>
      <c r="EA11" s="789">
        <v>58.34</v>
      </c>
      <c r="EB11" s="367"/>
      <c r="EC11" s="367"/>
      <c r="ED11" s="790"/>
      <c r="EE11" s="791">
        <f t="shared" si="24"/>
        <v>58.34</v>
      </c>
      <c r="EF11" s="789">
        <v>61.71</v>
      </c>
      <c r="EG11" s="367"/>
      <c r="EH11" s="367"/>
      <c r="EI11" s="790"/>
      <c r="EJ11" s="791">
        <f t="shared" si="25"/>
        <v>61.71</v>
      </c>
      <c r="EK11" s="789">
        <v>41.08</v>
      </c>
      <c r="EL11" s="367">
        <v>38.770000000000003</v>
      </c>
      <c r="EM11" s="367"/>
      <c r="EN11" s="790"/>
      <c r="EO11" s="791">
        <f t="shared" si="26"/>
        <v>79.849999999999994</v>
      </c>
      <c r="EP11" s="789">
        <v>26.12</v>
      </c>
      <c r="EQ11" s="367">
        <v>6.86</v>
      </c>
      <c r="ER11" s="367"/>
      <c r="ES11" s="790"/>
      <c r="ET11" s="791">
        <f t="shared" si="27"/>
        <v>32.980000000000004</v>
      </c>
      <c r="EU11" s="789">
        <v>52.55</v>
      </c>
      <c r="EV11" s="367">
        <v>7.46</v>
      </c>
      <c r="EW11" s="367"/>
      <c r="EX11" s="790"/>
      <c r="EY11" s="791">
        <f t="shared" si="28"/>
        <v>60.01</v>
      </c>
      <c r="EZ11" s="789">
        <v>52.89</v>
      </c>
      <c r="FA11" s="367">
        <v>4.59</v>
      </c>
      <c r="FB11" s="367"/>
      <c r="FC11" s="790"/>
      <c r="FD11" s="791">
        <f t="shared" si="29"/>
        <v>57.480000000000004</v>
      </c>
      <c r="FE11" s="789">
        <v>42.44</v>
      </c>
      <c r="FF11" s="367">
        <v>34.299999999999997</v>
      </c>
      <c r="FG11" s="367"/>
      <c r="FH11" s="790"/>
      <c r="FI11" s="791">
        <f t="shared" si="30"/>
        <v>76.739999999999995</v>
      </c>
      <c r="FJ11" s="789">
        <v>60.32</v>
      </c>
      <c r="FK11" s="367">
        <v>13.51</v>
      </c>
      <c r="FL11" s="367"/>
      <c r="FM11" s="790"/>
      <c r="FN11" s="791">
        <f t="shared" si="31"/>
        <v>73.83</v>
      </c>
      <c r="FO11" s="789">
        <v>95.18</v>
      </c>
      <c r="FP11" s="367">
        <f>13.35+0.9</f>
        <v>14.25</v>
      </c>
      <c r="FQ11" s="367"/>
      <c r="FR11" s="790"/>
      <c r="FS11" s="791">
        <f t="shared" si="32"/>
        <v>109.43</v>
      </c>
      <c r="FT11" s="789">
        <v>55.11</v>
      </c>
      <c r="FU11" s="367">
        <v>58.79</v>
      </c>
      <c r="FV11" s="367"/>
      <c r="FW11" s="790"/>
      <c r="FX11" s="791">
        <f t="shared" si="33"/>
        <v>113.9</v>
      </c>
      <c r="FY11" s="789">
        <v>55.6</v>
      </c>
      <c r="FZ11" s="367">
        <v>16.32</v>
      </c>
      <c r="GA11" s="367"/>
      <c r="GB11" s="790"/>
      <c r="GC11" s="791">
        <f t="shared" si="34"/>
        <v>71.92</v>
      </c>
      <c r="GD11" s="789">
        <v>31.92</v>
      </c>
      <c r="GE11" s="367">
        <v>21.08</v>
      </c>
      <c r="GF11" s="367"/>
      <c r="GG11" s="790"/>
      <c r="GH11" s="791">
        <f t="shared" si="35"/>
        <v>53</v>
      </c>
      <c r="GI11" s="455">
        <f t="shared" si="7"/>
        <v>849.18999999999994</v>
      </c>
      <c r="GJ11" s="302">
        <v>51.04</v>
      </c>
      <c r="GK11" s="303">
        <v>20.2</v>
      </c>
      <c r="GL11" s="303"/>
      <c r="GM11" s="304"/>
      <c r="GN11" s="305">
        <f t="shared" si="36"/>
        <v>71.239999999999995</v>
      </c>
      <c r="GO11" s="302">
        <v>14.17</v>
      </c>
      <c r="GP11" s="303">
        <v>24.44</v>
      </c>
      <c r="GQ11" s="303"/>
      <c r="GR11" s="304"/>
      <c r="GS11" s="305">
        <f t="shared" si="37"/>
        <v>38.61</v>
      </c>
      <c r="GT11" s="302">
        <v>12.73</v>
      </c>
      <c r="GU11" s="303">
        <v>2.87</v>
      </c>
      <c r="GV11" s="303"/>
      <c r="GW11" s="304"/>
      <c r="GX11" s="305">
        <f t="shared" si="38"/>
        <v>15.600000000000001</v>
      </c>
      <c r="GY11" s="302">
        <v>34.22</v>
      </c>
      <c r="GZ11" s="303">
        <v>15.52</v>
      </c>
      <c r="HA11" s="303"/>
      <c r="HB11" s="304"/>
      <c r="HC11" s="305">
        <f t="shared" si="39"/>
        <v>49.739999999999995</v>
      </c>
      <c r="HD11" s="302">
        <v>49.54</v>
      </c>
      <c r="HE11" s="303">
        <v>11.01</v>
      </c>
      <c r="HF11" s="303"/>
      <c r="HG11" s="304"/>
      <c r="HH11" s="305">
        <f t="shared" si="40"/>
        <v>60.55</v>
      </c>
      <c r="HI11" s="302">
        <v>47.06</v>
      </c>
      <c r="HJ11" s="303">
        <v>10.6</v>
      </c>
      <c r="HK11" s="303"/>
      <c r="HL11" s="304"/>
      <c r="HM11" s="305">
        <f t="shared" si="41"/>
        <v>57.660000000000004</v>
      </c>
      <c r="HN11" s="302">
        <v>49.22</v>
      </c>
      <c r="HO11" s="303">
        <v>16.170000000000002</v>
      </c>
      <c r="HP11" s="303"/>
      <c r="HQ11" s="304"/>
      <c r="HR11" s="305">
        <f t="shared" si="42"/>
        <v>65.39</v>
      </c>
      <c r="HS11" s="302">
        <v>82.38</v>
      </c>
      <c r="HT11" s="303">
        <v>31.87</v>
      </c>
      <c r="HU11" s="303"/>
      <c r="HV11" s="304"/>
      <c r="HW11" s="305">
        <f t="shared" si="43"/>
        <v>114.25</v>
      </c>
      <c r="HX11" s="302">
        <v>53.67</v>
      </c>
      <c r="HY11" s="303">
        <v>40.25</v>
      </c>
      <c r="HZ11" s="303"/>
      <c r="IA11" s="304"/>
      <c r="IB11" s="305">
        <f t="shared" si="44"/>
        <v>93.92</v>
      </c>
      <c r="IC11" s="302">
        <f>121.01+9.7</f>
        <v>130.71</v>
      </c>
      <c r="ID11" s="303">
        <v>16.11</v>
      </c>
      <c r="IE11" s="303"/>
      <c r="IF11" s="304"/>
      <c r="IG11" s="305">
        <f t="shared" si="45"/>
        <v>146.82</v>
      </c>
      <c r="IH11" s="61">
        <v>23.8</v>
      </c>
      <c r="II11" s="62">
        <v>37.81</v>
      </c>
      <c r="IJ11" s="62"/>
      <c r="IK11" s="301"/>
      <c r="IL11" s="300">
        <f t="shared" si="46"/>
        <v>61.61</v>
      </c>
      <c r="IM11" s="61">
        <v>111.05</v>
      </c>
      <c r="IN11" s="62">
        <v>40.630000000000003</v>
      </c>
      <c r="IO11" s="301"/>
      <c r="IP11" s="296"/>
      <c r="IQ11" s="442">
        <f t="shared" si="47"/>
        <v>151.68</v>
      </c>
      <c r="IR11" s="442"/>
      <c r="IS11" s="455">
        <f t="shared" si="48"/>
        <v>927.06999999999994</v>
      </c>
      <c r="IT11" s="449">
        <v>38.020000000000003</v>
      </c>
      <c r="IU11" s="33">
        <v>15.83</v>
      </c>
      <c r="IV11" s="33"/>
      <c r="IW11" s="296"/>
      <c r="IX11" s="298">
        <f t="shared" si="49"/>
        <v>53.85</v>
      </c>
      <c r="IY11" s="32">
        <v>64.25</v>
      </c>
      <c r="IZ11" s="33">
        <v>14.98</v>
      </c>
      <c r="JA11" s="33"/>
      <c r="JB11" s="296"/>
      <c r="JC11" s="298">
        <f t="shared" si="50"/>
        <v>79.23</v>
      </c>
      <c r="JD11" s="32">
        <v>44.27</v>
      </c>
      <c r="JE11" s="33">
        <v>14.88</v>
      </c>
      <c r="JF11" s="33"/>
      <c r="JG11" s="296"/>
      <c r="JH11" s="298">
        <f t="shared" si="51"/>
        <v>59.150000000000006</v>
      </c>
      <c r="JI11" s="32">
        <v>80.72</v>
      </c>
      <c r="JJ11" s="33">
        <v>24.15</v>
      </c>
      <c r="JK11" s="33"/>
      <c r="JL11" s="296"/>
      <c r="JM11" s="298">
        <f t="shared" si="52"/>
        <v>104.87</v>
      </c>
      <c r="JN11" s="32">
        <v>56.42</v>
      </c>
      <c r="JO11" s="33">
        <v>17.350000000000001</v>
      </c>
      <c r="JP11" s="33"/>
      <c r="JQ11" s="296"/>
      <c r="JR11" s="298">
        <f t="shared" si="53"/>
        <v>73.77000000000001</v>
      </c>
      <c r="JS11" s="32">
        <v>43.87</v>
      </c>
      <c r="JT11" s="33">
        <v>19.059999999999999</v>
      </c>
      <c r="JU11" s="33">
        <v>2.64</v>
      </c>
      <c r="JV11" s="296"/>
      <c r="JW11" s="298">
        <f t="shared" si="54"/>
        <v>65.569999999999993</v>
      </c>
      <c r="JX11" s="32">
        <v>57.23</v>
      </c>
      <c r="JY11" s="33">
        <v>18.57</v>
      </c>
      <c r="JZ11" s="33"/>
      <c r="KA11" s="296"/>
      <c r="KB11" s="298">
        <f t="shared" si="55"/>
        <v>75.8</v>
      </c>
      <c r="KC11" s="32">
        <v>66.540000000000006</v>
      </c>
      <c r="KD11" s="33">
        <v>25.79</v>
      </c>
      <c r="KE11" s="33"/>
      <c r="KF11" s="296"/>
      <c r="KG11" s="298">
        <f t="shared" si="56"/>
        <v>92.330000000000013</v>
      </c>
      <c r="KH11" s="32">
        <v>64.740000000000009</v>
      </c>
      <c r="KI11" s="33">
        <v>27.73</v>
      </c>
      <c r="KJ11" s="33">
        <v>0</v>
      </c>
      <c r="KK11" s="296">
        <v>0</v>
      </c>
      <c r="KL11" s="298">
        <f t="shared" si="57"/>
        <v>92.470000000000013</v>
      </c>
      <c r="KM11" s="32">
        <v>91.86999999999999</v>
      </c>
      <c r="KN11" s="33">
        <v>94.730000000000018</v>
      </c>
      <c r="KO11" s="33">
        <v>0</v>
      </c>
      <c r="KP11" s="296">
        <v>0</v>
      </c>
      <c r="KQ11" s="298">
        <f t="shared" si="58"/>
        <v>186.60000000000002</v>
      </c>
      <c r="KR11" s="32">
        <v>77.78</v>
      </c>
      <c r="KS11" s="33">
        <v>44.32</v>
      </c>
      <c r="KT11" s="33">
        <v>0</v>
      </c>
      <c r="KU11" s="296">
        <v>0</v>
      </c>
      <c r="KV11" s="298">
        <f t="shared" si="59"/>
        <v>122.1</v>
      </c>
      <c r="KW11" s="32">
        <v>15.21</v>
      </c>
      <c r="KX11" s="33">
        <v>64.8</v>
      </c>
      <c r="KY11" s="33">
        <v>0</v>
      </c>
      <c r="KZ11" s="296">
        <v>0</v>
      </c>
      <c r="LA11" s="298">
        <f t="shared" si="8"/>
        <v>80.009999999999991</v>
      </c>
      <c r="LB11" s="455">
        <f t="shared" si="60"/>
        <v>1085.75</v>
      </c>
      <c r="LC11" s="32">
        <f t="shared" si="9"/>
        <v>60.980000000000004</v>
      </c>
      <c r="LD11" s="33">
        <f t="shared" si="10"/>
        <v>25.28</v>
      </c>
      <c r="LE11" s="33">
        <f t="shared" si="11"/>
        <v>0</v>
      </c>
      <c r="LF11" s="296">
        <f t="shared" si="12"/>
        <v>0</v>
      </c>
      <c r="LG11" s="298">
        <f t="shared" si="13"/>
        <v>86.26</v>
      </c>
      <c r="LH11" s="32"/>
      <c r="LI11" s="33"/>
      <c r="LJ11" s="33"/>
      <c r="LK11" s="296"/>
      <c r="LL11" s="298">
        <f t="shared" si="61"/>
        <v>0</v>
      </c>
      <c r="LM11" s="32"/>
      <c r="LN11" s="33"/>
      <c r="LO11" s="33"/>
      <c r="LP11" s="296"/>
      <c r="LQ11" s="298">
        <f t="shared" si="62"/>
        <v>0</v>
      </c>
      <c r="LR11" s="32"/>
      <c r="LS11" s="33"/>
      <c r="LT11" s="33"/>
      <c r="LU11" s="296"/>
      <c r="LV11" s="298">
        <f t="shared" si="63"/>
        <v>0</v>
      </c>
      <c r="LW11" s="32"/>
      <c r="LX11" s="33"/>
      <c r="LY11" s="33"/>
      <c r="LZ11" s="296"/>
      <c r="MA11" s="298">
        <f t="shared" si="64"/>
        <v>0</v>
      </c>
      <c r="MB11" s="32"/>
      <c r="MC11" s="33"/>
      <c r="MD11" s="33"/>
      <c r="ME11" s="296"/>
      <c r="MF11" s="298">
        <f t="shared" si="65"/>
        <v>0</v>
      </c>
      <c r="MG11" s="32"/>
      <c r="MH11" s="33"/>
      <c r="MI11" s="33"/>
      <c r="MJ11" s="296"/>
      <c r="MK11" s="298">
        <f t="shared" si="66"/>
        <v>0</v>
      </c>
      <c r="ML11" s="32"/>
      <c r="MM11" s="33"/>
      <c r="MN11" s="33"/>
      <c r="MO11" s="296"/>
      <c r="MP11" s="298">
        <f t="shared" si="67"/>
        <v>0</v>
      </c>
      <c r="MQ11" s="32"/>
      <c r="MR11" s="33"/>
      <c r="MS11" s="33"/>
      <c r="MT11" s="296"/>
      <c r="MU11" s="298">
        <f t="shared" si="68"/>
        <v>0</v>
      </c>
      <c r="MV11" s="32"/>
      <c r="MW11" s="33"/>
      <c r="MX11" s="33"/>
      <c r="MY11" s="296"/>
      <c r="MZ11" s="298">
        <f t="shared" si="69"/>
        <v>0</v>
      </c>
      <c r="NA11" s="32"/>
      <c r="NB11" s="33"/>
      <c r="NC11" s="33"/>
      <c r="ND11" s="296"/>
      <c r="NE11" s="298">
        <f t="shared" si="70"/>
        <v>0</v>
      </c>
      <c r="NF11" s="32"/>
      <c r="NG11" s="33"/>
      <c r="NH11" s="33"/>
      <c r="NI11" s="296"/>
      <c r="NJ11" s="298">
        <f t="shared" si="14"/>
        <v>0</v>
      </c>
      <c r="NK11" s="455">
        <f t="shared" si="71"/>
        <v>86.26</v>
      </c>
    </row>
    <row r="12" spans="1:375" ht="15.75" x14ac:dyDescent="0.25">
      <c r="A12" s="281"/>
      <c r="B12" s="282">
        <v>4</v>
      </c>
      <c r="C12" s="283">
        <v>70.599999999999994</v>
      </c>
      <c r="D12" s="284">
        <v>75.28</v>
      </c>
      <c r="E12" s="285"/>
      <c r="F12" s="286"/>
      <c r="G12" s="287"/>
      <c r="H12" s="288">
        <f t="shared" si="15"/>
        <v>75.28</v>
      </c>
      <c r="I12" s="289">
        <v>76.510000000000005</v>
      </c>
      <c r="J12" s="290"/>
      <c r="K12" s="290"/>
      <c r="L12" s="291"/>
      <c r="M12" s="256">
        <f t="shared" si="16"/>
        <v>76.510000000000005</v>
      </c>
      <c r="N12" s="289">
        <v>45.87</v>
      </c>
      <c r="O12" s="290">
        <v>36.99</v>
      </c>
      <c r="P12" s="290"/>
      <c r="Q12" s="291"/>
      <c r="R12" s="256">
        <f t="shared" si="0"/>
        <v>82.86</v>
      </c>
      <c r="S12" s="289">
        <v>45.71</v>
      </c>
      <c r="T12" s="290">
        <v>47.76</v>
      </c>
      <c r="U12" s="290"/>
      <c r="V12" s="291"/>
      <c r="W12" s="256">
        <f t="shared" si="1"/>
        <v>93.47</v>
      </c>
      <c r="X12" s="289">
        <v>52.55</v>
      </c>
      <c r="Y12" s="290"/>
      <c r="Z12" s="290"/>
      <c r="AA12" s="291"/>
      <c r="AB12" s="256">
        <f t="shared" si="17"/>
        <v>52.55</v>
      </c>
      <c r="AC12" s="292">
        <v>69.510000000000005</v>
      </c>
      <c r="AD12" s="293">
        <v>48.24</v>
      </c>
      <c r="AE12" s="293"/>
      <c r="AF12" s="294"/>
      <c r="AG12" s="260">
        <f t="shared" si="18"/>
        <v>117.75</v>
      </c>
      <c r="AH12" s="292">
        <v>39.92</v>
      </c>
      <c r="AI12" s="293">
        <v>35.380000000000003</v>
      </c>
      <c r="AJ12" s="293"/>
      <c r="AK12" s="294"/>
      <c r="AL12" s="295">
        <f t="shared" si="72"/>
        <v>75.300000000000011</v>
      </c>
      <c r="AM12" s="32">
        <v>18.440000000000001</v>
      </c>
      <c r="AN12" s="33">
        <v>59.09</v>
      </c>
      <c r="AO12" s="33"/>
      <c r="AP12" s="296"/>
      <c r="AQ12" s="297">
        <f t="shared" si="73"/>
        <v>77.53</v>
      </c>
      <c r="AR12" s="32">
        <v>83.54</v>
      </c>
      <c r="AS12" s="33">
        <v>35.880000000000003</v>
      </c>
      <c r="AT12" s="33"/>
      <c r="AU12" s="296"/>
      <c r="AV12" s="298">
        <f t="shared" si="74"/>
        <v>119.42000000000002</v>
      </c>
      <c r="AW12" s="32">
        <v>84.63</v>
      </c>
      <c r="AX12" s="33"/>
      <c r="AY12" s="33"/>
      <c r="AZ12" s="296"/>
      <c r="BA12" s="298">
        <f t="shared" si="75"/>
        <v>84.63</v>
      </c>
      <c r="BB12" s="32">
        <f>82.56+0.89</f>
        <v>83.45</v>
      </c>
      <c r="BC12" s="33">
        <v>44.73</v>
      </c>
      <c r="BD12" s="33"/>
      <c r="BE12" s="296"/>
      <c r="BF12" s="298">
        <f>SUM(BB12:BE12)</f>
        <v>128.18</v>
      </c>
      <c r="BG12" s="32">
        <f>76.16+8.04</f>
        <v>84.199999999999989</v>
      </c>
      <c r="BH12" s="33">
        <v>59.52</v>
      </c>
      <c r="BI12" s="33"/>
      <c r="BJ12" s="299"/>
      <c r="BK12" s="298">
        <f t="shared" si="76"/>
        <v>143.72</v>
      </c>
      <c r="BL12" s="32">
        <f>64.48+6.7</f>
        <v>71.180000000000007</v>
      </c>
      <c r="BM12" s="33">
        <f>67.14+1.07</f>
        <v>68.209999999999994</v>
      </c>
      <c r="BN12" s="33"/>
      <c r="BO12" s="299"/>
      <c r="BP12" s="297">
        <f t="shared" si="77"/>
        <v>139.38999999999999</v>
      </c>
      <c r="BQ12" s="455">
        <f t="shared" si="2"/>
        <v>1191.31</v>
      </c>
      <c r="BR12" s="32">
        <f>27.79+8.17</f>
        <v>35.96</v>
      </c>
      <c r="BS12" s="43">
        <f>52.86+3.87</f>
        <v>56.73</v>
      </c>
      <c r="BT12" s="43"/>
      <c r="BU12" s="781"/>
      <c r="BV12" s="782">
        <f t="shared" si="19"/>
        <v>92.69</v>
      </c>
      <c r="BW12" s="783">
        <v>29.54</v>
      </c>
      <c r="BX12" s="43">
        <v>15.56</v>
      </c>
      <c r="BY12" s="43">
        <v>8.82</v>
      </c>
      <c r="BZ12" s="781"/>
      <c r="CA12" s="784">
        <f t="shared" si="20"/>
        <v>53.92</v>
      </c>
      <c r="CB12" s="785">
        <v>22.67</v>
      </c>
      <c r="CC12" s="786">
        <v>41.21</v>
      </c>
      <c r="CD12" s="786"/>
      <c r="CE12" s="787"/>
      <c r="CF12" s="788">
        <f t="shared" si="78"/>
        <v>63.88</v>
      </c>
      <c r="CG12" s="785">
        <v>48.08</v>
      </c>
      <c r="CH12" s="786">
        <v>55.16</v>
      </c>
      <c r="CI12" s="786"/>
      <c r="CJ12" s="787"/>
      <c r="CK12" s="788">
        <f t="shared" si="79"/>
        <v>103.24</v>
      </c>
      <c r="CL12" s="785">
        <v>45.69</v>
      </c>
      <c r="CM12" s="786">
        <v>35.74</v>
      </c>
      <c r="CN12" s="786"/>
      <c r="CO12" s="787"/>
      <c r="CP12" s="788">
        <f t="shared" si="80"/>
        <v>81.430000000000007</v>
      </c>
      <c r="CQ12" s="789">
        <v>31.2</v>
      </c>
      <c r="CR12" s="367">
        <v>25.5</v>
      </c>
      <c r="CS12" s="367"/>
      <c r="CT12" s="790"/>
      <c r="CU12" s="791">
        <v>56.7</v>
      </c>
      <c r="CV12" s="789">
        <v>25.47</v>
      </c>
      <c r="CW12" s="367">
        <v>34.14</v>
      </c>
      <c r="CX12" s="367">
        <v>11.42</v>
      </c>
      <c r="CY12" s="790"/>
      <c r="CZ12" s="791">
        <f t="shared" si="3"/>
        <v>71.03</v>
      </c>
      <c r="DA12" s="789">
        <v>71.13</v>
      </c>
      <c r="DB12" s="367">
        <v>6.96</v>
      </c>
      <c r="DC12" s="367"/>
      <c r="DD12" s="790"/>
      <c r="DE12" s="791">
        <f t="shared" si="4"/>
        <v>78.089999999999989</v>
      </c>
      <c r="DF12" s="789">
        <v>79.38</v>
      </c>
      <c r="DG12" s="367">
        <v>92.71</v>
      </c>
      <c r="DH12" s="367"/>
      <c r="DI12" s="790"/>
      <c r="DJ12" s="791">
        <f t="shared" si="5"/>
        <v>172.08999999999997</v>
      </c>
      <c r="DK12" s="789">
        <v>115.32</v>
      </c>
      <c r="DL12" s="367"/>
      <c r="DM12" s="367"/>
      <c r="DN12" s="790"/>
      <c r="DO12" s="791">
        <f t="shared" si="21"/>
        <v>115.32</v>
      </c>
      <c r="DP12" s="789">
        <v>109.25</v>
      </c>
      <c r="DQ12" s="367"/>
      <c r="DR12" s="367"/>
      <c r="DS12" s="790"/>
      <c r="DT12" s="791">
        <f t="shared" si="22"/>
        <v>109.25</v>
      </c>
      <c r="DU12" s="789">
        <v>82.56</v>
      </c>
      <c r="DV12" s="367"/>
      <c r="DW12" s="367"/>
      <c r="DX12" s="790"/>
      <c r="DY12" s="791">
        <f t="shared" si="23"/>
        <v>82.56</v>
      </c>
      <c r="DZ12" s="455">
        <f t="shared" si="6"/>
        <v>1080.1999999999998</v>
      </c>
      <c r="EA12" s="789">
        <v>115.94</v>
      </c>
      <c r="EB12" s="367"/>
      <c r="EC12" s="367"/>
      <c r="ED12" s="790"/>
      <c r="EE12" s="791">
        <f t="shared" si="24"/>
        <v>115.94</v>
      </c>
      <c r="EF12" s="789">
        <v>57.12</v>
      </c>
      <c r="EG12" s="367"/>
      <c r="EH12" s="367"/>
      <c r="EI12" s="790"/>
      <c r="EJ12" s="791">
        <f t="shared" si="25"/>
        <v>57.12</v>
      </c>
      <c r="EK12" s="789">
        <v>67.13</v>
      </c>
      <c r="EL12" s="367"/>
      <c r="EM12" s="367"/>
      <c r="EN12" s="790"/>
      <c r="EO12" s="791">
        <f t="shared" si="26"/>
        <v>67.13</v>
      </c>
      <c r="EP12" s="789">
        <v>46.25</v>
      </c>
      <c r="EQ12" s="367">
        <v>47.43</v>
      </c>
      <c r="ER12" s="367"/>
      <c r="ES12" s="790"/>
      <c r="ET12" s="791">
        <f t="shared" si="27"/>
        <v>93.68</v>
      </c>
      <c r="EU12" s="789">
        <v>34.99</v>
      </c>
      <c r="EV12" s="367">
        <v>16.38</v>
      </c>
      <c r="EW12" s="367"/>
      <c r="EX12" s="790"/>
      <c r="EY12" s="791">
        <f t="shared" si="28"/>
        <v>51.370000000000005</v>
      </c>
      <c r="EZ12" s="789">
        <v>54.17</v>
      </c>
      <c r="FA12" s="367">
        <v>4.0599999999999996</v>
      </c>
      <c r="FB12" s="367"/>
      <c r="FC12" s="790"/>
      <c r="FD12" s="791">
        <f t="shared" si="29"/>
        <v>58.230000000000004</v>
      </c>
      <c r="FE12" s="789">
        <v>18.57</v>
      </c>
      <c r="FF12" s="367">
        <v>39.270000000000003</v>
      </c>
      <c r="FG12" s="367">
        <v>10.11</v>
      </c>
      <c r="FH12" s="790"/>
      <c r="FI12" s="791">
        <f t="shared" si="30"/>
        <v>67.95</v>
      </c>
      <c r="FJ12" s="789">
        <v>26.83</v>
      </c>
      <c r="FK12" s="367">
        <v>45.68</v>
      </c>
      <c r="FL12" s="367"/>
      <c r="FM12" s="790"/>
      <c r="FN12" s="791">
        <f t="shared" si="31"/>
        <v>72.509999999999991</v>
      </c>
      <c r="FO12" s="789">
        <v>42.95</v>
      </c>
      <c r="FP12" s="367">
        <f>36.16+0.64</f>
        <v>36.799999999999997</v>
      </c>
      <c r="FQ12" s="367"/>
      <c r="FR12" s="790"/>
      <c r="FS12" s="791">
        <f t="shared" si="32"/>
        <v>79.75</v>
      </c>
      <c r="FT12" s="789">
        <v>47.65</v>
      </c>
      <c r="FU12" s="367">
        <v>41.7</v>
      </c>
      <c r="FV12" s="367"/>
      <c r="FW12" s="790"/>
      <c r="FX12" s="791">
        <f t="shared" si="33"/>
        <v>89.35</v>
      </c>
      <c r="FY12" s="789">
        <v>50</v>
      </c>
      <c r="FZ12" s="367">
        <v>41.68</v>
      </c>
      <c r="GA12" s="367"/>
      <c r="GB12" s="790"/>
      <c r="GC12" s="791">
        <f t="shared" si="34"/>
        <v>91.68</v>
      </c>
      <c r="GD12" s="789">
        <v>60.49</v>
      </c>
      <c r="GE12" s="810"/>
      <c r="GF12" s="367"/>
      <c r="GG12" s="790"/>
      <c r="GH12" s="791">
        <f t="shared" si="35"/>
        <v>60.49</v>
      </c>
      <c r="GI12" s="455">
        <f t="shared" si="7"/>
        <v>905.2</v>
      </c>
      <c r="GJ12" s="302">
        <v>72.989999999999995</v>
      </c>
      <c r="GK12" s="303">
        <v>3.85</v>
      </c>
      <c r="GL12" s="303"/>
      <c r="GM12" s="304"/>
      <c r="GN12" s="305">
        <f t="shared" si="36"/>
        <v>76.839999999999989</v>
      </c>
      <c r="GO12" s="302">
        <v>29.59</v>
      </c>
      <c r="GP12" s="303">
        <v>20.75</v>
      </c>
      <c r="GQ12" s="303">
        <v>5.37</v>
      </c>
      <c r="GR12" s="304"/>
      <c r="GS12" s="305">
        <f t="shared" si="37"/>
        <v>55.71</v>
      </c>
      <c r="GT12" s="302">
        <v>16.07</v>
      </c>
      <c r="GU12" s="303">
        <v>4.2300000000000004</v>
      </c>
      <c r="GV12" s="303"/>
      <c r="GW12" s="304"/>
      <c r="GX12" s="305">
        <f t="shared" si="38"/>
        <v>20.3</v>
      </c>
      <c r="GY12" s="302">
        <v>27.87</v>
      </c>
      <c r="GZ12" s="303">
        <v>27.01</v>
      </c>
      <c r="HA12" s="303"/>
      <c r="HB12" s="304"/>
      <c r="HC12" s="305">
        <f t="shared" si="39"/>
        <v>54.88</v>
      </c>
      <c r="HD12" s="302">
        <v>58.79</v>
      </c>
      <c r="HE12" s="303">
        <v>18.04</v>
      </c>
      <c r="HF12" s="303"/>
      <c r="HG12" s="304"/>
      <c r="HH12" s="305">
        <f t="shared" si="40"/>
        <v>76.83</v>
      </c>
      <c r="HI12" s="302">
        <v>33.64</v>
      </c>
      <c r="HJ12" s="303">
        <v>31.44</v>
      </c>
      <c r="HK12" s="303"/>
      <c r="HL12" s="304"/>
      <c r="HM12" s="305">
        <f t="shared" si="41"/>
        <v>65.08</v>
      </c>
      <c r="HN12" s="302">
        <v>71.55</v>
      </c>
      <c r="HO12" s="303">
        <v>31.87</v>
      </c>
      <c r="HP12" s="303"/>
      <c r="HQ12" s="304"/>
      <c r="HR12" s="305">
        <f t="shared" si="42"/>
        <v>103.42</v>
      </c>
      <c r="HS12" s="302">
        <v>21.19</v>
      </c>
      <c r="HT12" s="303">
        <v>73.38</v>
      </c>
      <c r="HU12" s="303"/>
      <c r="HV12" s="304"/>
      <c r="HW12" s="305">
        <f t="shared" si="43"/>
        <v>94.57</v>
      </c>
      <c r="HX12" s="302">
        <v>104.9</v>
      </c>
      <c r="HY12" s="303">
        <v>22.65</v>
      </c>
      <c r="HZ12" s="303"/>
      <c r="IA12" s="304"/>
      <c r="IB12" s="305">
        <f t="shared" si="44"/>
        <v>127.55000000000001</v>
      </c>
      <c r="IC12" s="302">
        <v>66.59</v>
      </c>
      <c r="ID12" s="303">
        <v>77.31</v>
      </c>
      <c r="IE12" s="303"/>
      <c r="IF12" s="304"/>
      <c r="IG12" s="305">
        <f t="shared" si="45"/>
        <v>143.9</v>
      </c>
      <c r="IH12" s="61">
        <f>63.4+3.116</f>
        <v>66.516000000000005</v>
      </c>
      <c r="II12" s="62">
        <f>69.12+2.187</f>
        <v>71.307000000000002</v>
      </c>
      <c r="IJ12" s="62"/>
      <c r="IK12" s="301"/>
      <c r="IL12" s="300">
        <f t="shared" si="46"/>
        <v>137.82300000000001</v>
      </c>
      <c r="IM12" s="61">
        <v>70.53</v>
      </c>
      <c r="IN12" s="311"/>
      <c r="IO12" s="301"/>
      <c r="IP12" s="296"/>
      <c r="IQ12" s="442">
        <f t="shared" si="47"/>
        <v>70.53</v>
      </c>
      <c r="IR12" s="442"/>
      <c r="IS12" s="455">
        <f t="shared" si="48"/>
        <v>1027.433</v>
      </c>
      <c r="IT12" s="449">
        <v>68.61</v>
      </c>
      <c r="IU12" s="33">
        <v>37.5</v>
      </c>
      <c r="IV12" s="33"/>
      <c r="IW12" s="296"/>
      <c r="IX12" s="298">
        <f t="shared" si="49"/>
        <v>106.11</v>
      </c>
      <c r="IY12" s="32">
        <v>20.99</v>
      </c>
      <c r="IZ12" s="33">
        <v>43.02</v>
      </c>
      <c r="JA12" s="33"/>
      <c r="JB12" s="296"/>
      <c r="JC12" s="298">
        <f t="shared" si="50"/>
        <v>64.010000000000005</v>
      </c>
      <c r="JD12" s="32">
        <v>20.55</v>
      </c>
      <c r="JE12" s="33">
        <v>45.15</v>
      </c>
      <c r="JF12" s="33">
        <v>45.38</v>
      </c>
      <c r="JG12" s="296"/>
      <c r="JH12" s="298">
        <f t="shared" si="51"/>
        <v>111.08000000000001</v>
      </c>
      <c r="JI12" s="32">
        <v>28.81</v>
      </c>
      <c r="JJ12" s="33">
        <v>86.31</v>
      </c>
      <c r="JK12" s="33"/>
      <c r="JL12" s="296"/>
      <c r="JM12" s="298">
        <f t="shared" si="52"/>
        <v>115.12</v>
      </c>
      <c r="JN12" s="32">
        <v>45.73</v>
      </c>
      <c r="JO12" s="33">
        <v>9.3000000000000007</v>
      </c>
      <c r="JP12" s="33">
        <v>48.8</v>
      </c>
      <c r="JQ12" s="296"/>
      <c r="JR12" s="298">
        <f t="shared" si="53"/>
        <v>103.83</v>
      </c>
      <c r="JS12" s="32">
        <v>43.59</v>
      </c>
      <c r="JT12" s="33">
        <v>15.65</v>
      </c>
      <c r="JU12" s="33"/>
      <c r="JV12" s="296"/>
      <c r="JW12" s="298">
        <f t="shared" si="54"/>
        <v>59.24</v>
      </c>
      <c r="JX12" s="32">
        <v>34.049999999999997</v>
      </c>
      <c r="JY12" s="33">
        <v>19.71</v>
      </c>
      <c r="JZ12" s="33"/>
      <c r="KA12" s="296"/>
      <c r="KB12" s="298">
        <f t="shared" si="55"/>
        <v>53.76</v>
      </c>
      <c r="KC12" s="32">
        <v>54.33</v>
      </c>
      <c r="KD12" s="33">
        <v>7.52</v>
      </c>
      <c r="KE12" s="33"/>
      <c r="KF12" s="296"/>
      <c r="KG12" s="298">
        <f t="shared" si="56"/>
        <v>61.849999999999994</v>
      </c>
      <c r="KH12" s="32">
        <v>53.14</v>
      </c>
      <c r="KI12" s="33">
        <v>16.54</v>
      </c>
      <c r="KJ12" s="33">
        <v>0</v>
      </c>
      <c r="KK12" s="296">
        <v>0</v>
      </c>
      <c r="KL12" s="298">
        <f t="shared" si="57"/>
        <v>69.680000000000007</v>
      </c>
      <c r="KM12" s="32">
        <v>33.519999999999996</v>
      </c>
      <c r="KN12" s="33">
        <v>83.13</v>
      </c>
      <c r="KO12" s="33">
        <v>0</v>
      </c>
      <c r="KP12" s="296">
        <v>0</v>
      </c>
      <c r="KQ12" s="298">
        <f t="shared" si="58"/>
        <v>116.64999999999999</v>
      </c>
      <c r="KR12" s="32">
        <v>68.02</v>
      </c>
      <c r="KS12" s="33">
        <v>69.180000000000007</v>
      </c>
      <c r="KT12" s="33">
        <v>0</v>
      </c>
      <c r="KU12" s="296">
        <v>0</v>
      </c>
      <c r="KV12" s="298">
        <f t="shared" si="59"/>
        <v>137.19999999999999</v>
      </c>
      <c r="KW12" s="32">
        <v>65.040000000000006</v>
      </c>
      <c r="KX12" s="33">
        <v>0</v>
      </c>
      <c r="KY12" s="33">
        <v>0</v>
      </c>
      <c r="KZ12" s="296">
        <v>0</v>
      </c>
      <c r="LA12" s="298">
        <f t="shared" si="8"/>
        <v>65.040000000000006</v>
      </c>
      <c r="LB12" s="455">
        <f t="shared" si="60"/>
        <v>1063.57</v>
      </c>
      <c r="LC12" s="32">
        <f t="shared" si="9"/>
        <v>56.01</v>
      </c>
      <c r="LD12" s="33">
        <f t="shared" si="10"/>
        <v>14.9</v>
      </c>
      <c r="LE12" s="33">
        <f t="shared" si="11"/>
        <v>0</v>
      </c>
      <c r="LF12" s="296">
        <f t="shared" si="12"/>
        <v>0</v>
      </c>
      <c r="LG12" s="298">
        <f t="shared" si="13"/>
        <v>70.91</v>
      </c>
      <c r="LH12" s="32"/>
      <c r="LI12" s="33"/>
      <c r="LJ12" s="33"/>
      <c r="LK12" s="296"/>
      <c r="LL12" s="298">
        <f t="shared" si="61"/>
        <v>0</v>
      </c>
      <c r="LM12" s="32"/>
      <c r="LN12" s="33"/>
      <c r="LO12" s="33"/>
      <c r="LP12" s="296"/>
      <c r="LQ12" s="298">
        <f t="shared" si="62"/>
        <v>0</v>
      </c>
      <c r="LR12" s="32"/>
      <c r="LS12" s="33"/>
      <c r="LT12" s="33"/>
      <c r="LU12" s="296"/>
      <c r="LV12" s="298">
        <f t="shared" si="63"/>
        <v>0</v>
      </c>
      <c r="LW12" s="32"/>
      <c r="LX12" s="33"/>
      <c r="LY12" s="33"/>
      <c r="LZ12" s="296"/>
      <c r="MA12" s="298">
        <f t="shared" si="64"/>
        <v>0</v>
      </c>
      <c r="MB12" s="32"/>
      <c r="MC12" s="33"/>
      <c r="MD12" s="33"/>
      <c r="ME12" s="296"/>
      <c r="MF12" s="298">
        <f t="shared" si="65"/>
        <v>0</v>
      </c>
      <c r="MG12" s="32"/>
      <c r="MH12" s="33"/>
      <c r="MI12" s="33"/>
      <c r="MJ12" s="296"/>
      <c r="MK12" s="298">
        <f t="shared" si="66"/>
        <v>0</v>
      </c>
      <c r="ML12" s="32"/>
      <c r="MM12" s="33"/>
      <c r="MN12" s="33"/>
      <c r="MO12" s="296"/>
      <c r="MP12" s="298">
        <f t="shared" si="67"/>
        <v>0</v>
      </c>
      <c r="MQ12" s="32"/>
      <c r="MR12" s="33"/>
      <c r="MS12" s="33"/>
      <c r="MT12" s="296"/>
      <c r="MU12" s="298">
        <f t="shared" si="68"/>
        <v>0</v>
      </c>
      <c r="MV12" s="32"/>
      <c r="MW12" s="33"/>
      <c r="MX12" s="33"/>
      <c r="MY12" s="296"/>
      <c r="MZ12" s="298">
        <f t="shared" si="69"/>
        <v>0</v>
      </c>
      <c r="NA12" s="32"/>
      <c r="NB12" s="33"/>
      <c r="NC12" s="33"/>
      <c r="ND12" s="296"/>
      <c r="NE12" s="298">
        <f t="shared" si="70"/>
        <v>0</v>
      </c>
      <c r="NF12" s="32"/>
      <c r="NG12" s="33"/>
      <c r="NH12" s="33"/>
      <c r="NI12" s="296"/>
      <c r="NJ12" s="298">
        <f t="shared" si="14"/>
        <v>0</v>
      </c>
      <c r="NK12" s="455">
        <f t="shared" si="71"/>
        <v>70.91</v>
      </c>
    </row>
    <row r="13" spans="1:375" ht="15.75" x14ac:dyDescent="0.25">
      <c r="A13" s="281"/>
      <c r="B13" s="282">
        <v>5</v>
      </c>
      <c r="C13" s="283">
        <v>50.4</v>
      </c>
      <c r="D13" s="284">
        <v>67.209999999999994</v>
      </c>
      <c r="E13" s="285"/>
      <c r="F13" s="286"/>
      <c r="G13" s="287"/>
      <c r="H13" s="288">
        <f t="shared" si="15"/>
        <v>67.209999999999994</v>
      </c>
      <c r="I13" s="289">
        <v>67.25</v>
      </c>
      <c r="J13" s="290"/>
      <c r="K13" s="290"/>
      <c r="L13" s="291"/>
      <c r="M13" s="256">
        <f t="shared" si="16"/>
        <v>67.25</v>
      </c>
      <c r="N13" s="289">
        <v>55.45</v>
      </c>
      <c r="O13" s="290"/>
      <c r="P13" s="290"/>
      <c r="Q13" s="291"/>
      <c r="R13" s="256">
        <f t="shared" si="0"/>
        <v>55.45</v>
      </c>
      <c r="S13" s="289">
        <v>32.72</v>
      </c>
      <c r="T13" s="290"/>
      <c r="U13" s="290"/>
      <c r="V13" s="291"/>
      <c r="W13" s="256">
        <f t="shared" si="1"/>
        <v>32.72</v>
      </c>
      <c r="X13" s="289">
        <v>76.88</v>
      </c>
      <c r="Y13" s="290"/>
      <c r="Z13" s="290"/>
      <c r="AA13" s="291"/>
      <c r="AB13" s="256">
        <f t="shared" si="17"/>
        <v>76.88</v>
      </c>
      <c r="AC13" s="292">
        <v>56.78</v>
      </c>
      <c r="AD13" s="293"/>
      <c r="AE13" s="293"/>
      <c r="AF13" s="294"/>
      <c r="AG13" s="260">
        <f t="shared" si="18"/>
        <v>56.78</v>
      </c>
      <c r="AH13" s="292">
        <v>27.69</v>
      </c>
      <c r="AI13" s="293">
        <v>32.503999999999998</v>
      </c>
      <c r="AJ13" s="293"/>
      <c r="AK13" s="294"/>
      <c r="AL13" s="295">
        <f t="shared" si="72"/>
        <v>60.194000000000003</v>
      </c>
      <c r="AM13" s="32">
        <v>49.6</v>
      </c>
      <c r="AN13" s="33"/>
      <c r="AO13" s="33"/>
      <c r="AP13" s="296"/>
      <c r="AQ13" s="297">
        <f t="shared" si="73"/>
        <v>49.6</v>
      </c>
      <c r="AR13" s="32">
        <v>59.33</v>
      </c>
      <c r="AS13" s="33">
        <v>38.03</v>
      </c>
      <c r="AT13" s="33"/>
      <c r="AU13" s="296"/>
      <c r="AV13" s="298">
        <f t="shared" si="74"/>
        <v>97.36</v>
      </c>
      <c r="AW13" s="32">
        <v>40.1</v>
      </c>
      <c r="AX13" s="33">
        <v>12.56</v>
      </c>
      <c r="AY13" s="33"/>
      <c r="AZ13" s="296"/>
      <c r="BA13" s="298">
        <f>SUM(AW13:AZ13)</f>
        <v>52.660000000000004</v>
      </c>
      <c r="BB13" s="32">
        <f>46.5+3.28</f>
        <v>49.78</v>
      </c>
      <c r="BC13" s="33">
        <v>69.180000000000007</v>
      </c>
      <c r="BD13" s="33"/>
      <c r="BE13" s="296"/>
      <c r="BF13" s="298">
        <f>SUM(BB13:BE13)</f>
        <v>118.96000000000001</v>
      </c>
      <c r="BG13" s="32">
        <f>87.59+5.27</f>
        <v>92.86</v>
      </c>
      <c r="BH13" s="33"/>
      <c r="BI13" s="33"/>
      <c r="BJ13" s="299"/>
      <c r="BK13" s="298">
        <f t="shared" si="76"/>
        <v>92.86</v>
      </c>
      <c r="BL13" s="32">
        <f>66.87+3.75</f>
        <v>70.62</v>
      </c>
      <c r="BM13" s="33"/>
      <c r="BN13" s="33"/>
      <c r="BO13" s="299"/>
      <c r="BP13" s="297">
        <f t="shared" si="77"/>
        <v>70.62</v>
      </c>
      <c r="BQ13" s="455">
        <f t="shared" si="2"/>
        <v>831.33400000000017</v>
      </c>
      <c r="BR13" s="32">
        <f>42.35+3.55</f>
        <v>45.9</v>
      </c>
      <c r="BS13" s="43">
        <v>17.739999999999998</v>
      </c>
      <c r="BT13" s="43"/>
      <c r="BU13" s="781"/>
      <c r="BV13" s="782">
        <f t="shared" si="19"/>
        <v>63.64</v>
      </c>
      <c r="BW13" s="783">
        <v>17.600000000000001</v>
      </c>
      <c r="BX13" s="43">
        <v>15.09</v>
      </c>
      <c r="BY13" s="43"/>
      <c r="BZ13" s="781"/>
      <c r="CA13" s="784">
        <f t="shared" si="20"/>
        <v>32.69</v>
      </c>
      <c r="CB13" s="785">
        <v>26.4</v>
      </c>
      <c r="CC13" s="786">
        <v>25.15</v>
      </c>
      <c r="CD13" s="786"/>
      <c r="CE13" s="787"/>
      <c r="CF13" s="788">
        <f t="shared" si="78"/>
        <v>51.55</v>
      </c>
      <c r="CG13" s="785">
        <v>42.08</v>
      </c>
      <c r="CH13" s="786"/>
      <c r="CI13" s="786"/>
      <c r="CJ13" s="787"/>
      <c r="CK13" s="788">
        <f t="shared" si="79"/>
        <v>42.08</v>
      </c>
      <c r="CL13" s="785">
        <v>39.090000000000003</v>
      </c>
      <c r="CM13" s="786">
        <v>25.3</v>
      </c>
      <c r="CN13" s="786">
        <v>3.73</v>
      </c>
      <c r="CO13" s="787"/>
      <c r="CP13" s="788">
        <f t="shared" si="80"/>
        <v>68.12</v>
      </c>
      <c r="CQ13" s="789">
        <v>15.2</v>
      </c>
      <c r="CR13" s="367">
        <v>28.96</v>
      </c>
      <c r="CS13" s="367">
        <v>11.82</v>
      </c>
      <c r="CT13" s="790"/>
      <c r="CU13" s="791">
        <v>55.98</v>
      </c>
      <c r="CV13" s="789">
        <v>33.36</v>
      </c>
      <c r="CW13" s="367">
        <v>21.87</v>
      </c>
      <c r="CX13" s="367"/>
      <c r="CY13" s="790"/>
      <c r="CZ13" s="791">
        <f t="shared" si="3"/>
        <v>55.230000000000004</v>
      </c>
      <c r="DA13" s="789">
        <v>30.77</v>
      </c>
      <c r="DB13" s="367">
        <v>50.14</v>
      </c>
      <c r="DC13" s="367"/>
      <c r="DD13" s="790"/>
      <c r="DE13" s="791">
        <f t="shared" si="4"/>
        <v>80.91</v>
      </c>
      <c r="DF13" s="789">
        <v>69.92</v>
      </c>
      <c r="DG13" s="367"/>
      <c r="DH13" s="367"/>
      <c r="DI13" s="790"/>
      <c r="DJ13" s="791">
        <f t="shared" si="5"/>
        <v>69.92</v>
      </c>
      <c r="DK13" s="789">
        <v>93.72</v>
      </c>
      <c r="DL13" s="367"/>
      <c r="DM13" s="367"/>
      <c r="DN13" s="790"/>
      <c r="DO13" s="791">
        <f t="shared" si="21"/>
        <v>93.72</v>
      </c>
      <c r="DP13" s="789">
        <v>83.75</v>
      </c>
      <c r="DQ13" s="367"/>
      <c r="DR13" s="367"/>
      <c r="DS13" s="790"/>
      <c r="DT13" s="791">
        <f t="shared" si="22"/>
        <v>83.75</v>
      </c>
      <c r="DU13" s="789">
        <v>60.63</v>
      </c>
      <c r="DV13" s="367">
        <v>43.72</v>
      </c>
      <c r="DW13" s="367"/>
      <c r="DX13" s="790"/>
      <c r="DY13" s="791">
        <f t="shared" si="23"/>
        <v>104.35</v>
      </c>
      <c r="DZ13" s="455">
        <f t="shared" si="6"/>
        <v>801.94</v>
      </c>
      <c r="EA13" s="789">
        <v>39.22</v>
      </c>
      <c r="EB13" s="367"/>
      <c r="EC13" s="367"/>
      <c r="ED13" s="790"/>
      <c r="EE13" s="791">
        <f t="shared" si="24"/>
        <v>39.22</v>
      </c>
      <c r="EF13" s="789">
        <v>37.86</v>
      </c>
      <c r="EG13" s="367"/>
      <c r="EI13" s="790"/>
      <c r="EJ13" s="791">
        <f t="shared" si="25"/>
        <v>37.86</v>
      </c>
      <c r="EK13" s="789">
        <v>44.35</v>
      </c>
      <c r="EL13" s="367"/>
      <c r="EN13" s="790"/>
      <c r="EO13" s="791">
        <f t="shared" si="26"/>
        <v>44.35</v>
      </c>
      <c r="EP13" s="789">
        <v>46.8</v>
      </c>
      <c r="EQ13" s="367">
        <v>35.03</v>
      </c>
      <c r="ES13" s="790"/>
      <c r="ET13" s="791">
        <f t="shared" si="27"/>
        <v>81.83</v>
      </c>
      <c r="EU13" s="789">
        <v>31.14</v>
      </c>
      <c r="EV13" s="367">
        <v>14.74</v>
      </c>
      <c r="EX13" s="790"/>
      <c r="EY13" s="791">
        <f t="shared" si="28"/>
        <v>45.88</v>
      </c>
      <c r="EZ13" s="789">
        <v>38.81</v>
      </c>
      <c r="FA13" s="367">
        <v>14.52</v>
      </c>
      <c r="FC13" s="790"/>
      <c r="FD13" s="791">
        <f t="shared" si="29"/>
        <v>53.33</v>
      </c>
      <c r="FE13" s="789">
        <v>43.48</v>
      </c>
      <c r="FF13" s="367">
        <v>25.04</v>
      </c>
      <c r="FH13" s="790"/>
      <c r="FI13" s="791">
        <f t="shared" si="30"/>
        <v>68.52</v>
      </c>
      <c r="FJ13" s="789">
        <v>43.2</v>
      </c>
      <c r="FK13" s="367">
        <v>3.56</v>
      </c>
      <c r="FM13" s="790"/>
      <c r="FN13" s="791">
        <f t="shared" si="31"/>
        <v>46.760000000000005</v>
      </c>
      <c r="FO13" s="789">
        <v>34.97</v>
      </c>
      <c r="FP13" s="367">
        <f>29.74+0.78</f>
        <v>30.52</v>
      </c>
      <c r="FQ13" s="811">
        <v>8.9</v>
      </c>
      <c r="FR13" s="790"/>
      <c r="FS13" s="791">
        <f t="shared" si="32"/>
        <v>74.39</v>
      </c>
      <c r="FT13" s="789">
        <v>47.26</v>
      </c>
      <c r="FU13" s="367">
        <v>29.34</v>
      </c>
      <c r="FV13" s="811"/>
      <c r="FW13" s="790"/>
      <c r="FX13" s="791">
        <f t="shared" si="33"/>
        <v>76.599999999999994</v>
      </c>
      <c r="FY13" s="789">
        <v>30.13</v>
      </c>
      <c r="FZ13" s="367">
        <v>36.1</v>
      </c>
      <c r="GA13" s="811"/>
      <c r="GB13" s="790"/>
      <c r="GC13" s="791">
        <f t="shared" si="34"/>
        <v>66.23</v>
      </c>
      <c r="GD13" s="789">
        <v>34.19</v>
      </c>
      <c r="GE13" s="367">
        <v>35.39</v>
      </c>
      <c r="GF13" s="811"/>
      <c r="GG13" s="790"/>
      <c r="GH13" s="791">
        <f t="shared" si="35"/>
        <v>69.58</v>
      </c>
      <c r="GI13" s="455">
        <f t="shared" si="7"/>
        <v>704.55</v>
      </c>
      <c r="GJ13" s="302">
        <v>45.32</v>
      </c>
      <c r="GK13" s="310"/>
      <c r="GL13" s="312"/>
      <c r="GM13" s="304"/>
      <c r="GN13" s="305">
        <f t="shared" si="36"/>
        <v>45.32</v>
      </c>
      <c r="GO13" s="302">
        <v>13.96</v>
      </c>
      <c r="GP13" s="303">
        <v>12.2</v>
      </c>
      <c r="GQ13" s="312"/>
      <c r="GR13" s="304"/>
      <c r="GS13" s="305">
        <f t="shared" si="37"/>
        <v>26.16</v>
      </c>
      <c r="GT13" s="302">
        <v>18.850000000000001</v>
      </c>
      <c r="GU13" s="303">
        <v>3.69</v>
      </c>
      <c r="GV13" s="312">
        <v>2.31</v>
      </c>
      <c r="GW13" s="304"/>
      <c r="GX13" s="305">
        <f t="shared" si="38"/>
        <v>24.85</v>
      </c>
      <c r="GY13" s="302">
        <v>20.49</v>
      </c>
      <c r="GZ13" s="303">
        <v>24.39</v>
      </c>
      <c r="HA13" s="312"/>
      <c r="HB13" s="304"/>
      <c r="HC13" s="305">
        <f t="shared" si="39"/>
        <v>44.879999999999995</v>
      </c>
      <c r="HD13" s="302">
        <v>41.45</v>
      </c>
      <c r="HE13" s="303">
        <v>24.85</v>
      </c>
      <c r="HF13" s="312"/>
      <c r="HG13" s="304"/>
      <c r="HH13" s="305">
        <f t="shared" si="40"/>
        <v>66.300000000000011</v>
      </c>
      <c r="HI13" s="302">
        <v>12.08</v>
      </c>
      <c r="HJ13" s="303">
        <v>24.44</v>
      </c>
      <c r="HK13" s="312"/>
      <c r="HL13" s="304"/>
      <c r="HM13" s="305">
        <f t="shared" si="41"/>
        <v>36.520000000000003</v>
      </c>
      <c r="HN13" s="302">
        <v>40.9</v>
      </c>
      <c r="HO13" s="303">
        <v>43.42</v>
      </c>
      <c r="HP13" s="312"/>
      <c r="HQ13" s="304"/>
      <c r="HR13" s="305">
        <f t="shared" si="42"/>
        <v>84.32</v>
      </c>
      <c r="HS13" s="302">
        <v>49.93</v>
      </c>
      <c r="HT13" s="303">
        <v>13.46</v>
      </c>
      <c r="HU13" s="312"/>
      <c r="HV13" s="304"/>
      <c r="HW13" s="305">
        <f t="shared" si="43"/>
        <v>63.39</v>
      </c>
      <c r="HX13" s="302">
        <v>72.42</v>
      </c>
      <c r="HY13" s="303">
        <v>41.96</v>
      </c>
      <c r="HZ13" s="312"/>
      <c r="IA13" s="304"/>
      <c r="IB13" s="305">
        <f t="shared" si="44"/>
        <v>114.38</v>
      </c>
      <c r="IC13" s="302">
        <f>90.27+14.85</f>
        <v>105.11999999999999</v>
      </c>
      <c r="ID13" s="308"/>
      <c r="IE13" s="312"/>
      <c r="IF13" s="304"/>
      <c r="IG13" s="305">
        <f t="shared" si="45"/>
        <v>105.11999999999999</v>
      </c>
      <c r="IH13" s="61">
        <v>40.94</v>
      </c>
      <c r="II13" s="62">
        <v>53.29</v>
      </c>
      <c r="IJ13" s="313"/>
      <c r="IK13" s="301"/>
      <c r="IL13" s="300">
        <f t="shared" si="46"/>
        <v>94.22999999999999</v>
      </c>
      <c r="IM13" s="61">
        <v>37.130000000000003</v>
      </c>
      <c r="IN13" s="62">
        <v>39.159999999999997</v>
      </c>
      <c r="IO13" s="313"/>
      <c r="IP13" s="296"/>
      <c r="IQ13" s="442">
        <f t="shared" si="47"/>
        <v>76.289999999999992</v>
      </c>
      <c r="IR13" s="442"/>
      <c r="IS13" s="455">
        <f t="shared" si="48"/>
        <v>781.76</v>
      </c>
      <c r="IT13" s="449">
        <v>50.88</v>
      </c>
      <c r="IU13" s="309"/>
      <c r="IV13" s="314"/>
      <c r="IW13" s="296"/>
      <c r="IX13" s="298">
        <f t="shared" si="49"/>
        <v>50.88</v>
      </c>
      <c r="IY13" s="32">
        <v>48.78</v>
      </c>
      <c r="IZ13" s="33">
        <v>2.36</v>
      </c>
      <c r="JA13" s="314"/>
      <c r="JB13" s="296"/>
      <c r="JC13" s="298">
        <f t="shared" si="50"/>
        <v>51.14</v>
      </c>
      <c r="JD13" s="32">
        <v>38.85</v>
      </c>
      <c r="JE13" s="33">
        <v>18.57</v>
      </c>
      <c r="JF13" s="314"/>
      <c r="JG13" s="296"/>
      <c r="JH13" s="298">
        <f t="shared" si="51"/>
        <v>57.42</v>
      </c>
      <c r="JI13" s="32">
        <v>80.61</v>
      </c>
      <c r="JJ13" s="33">
        <v>11.94</v>
      </c>
      <c r="JK13" s="314"/>
      <c r="JL13" s="296"/>
      <c r="JM13" s="298">
        <f t="shared" si="52"/>
        <v>92.55</v>
      </c>
      <c r="JN13" s="32">
        <v>61.07</v>
      </c>
      <c r="JO13" s="33">
        <v>7.95</v>
      </c>
      <c r="JP13" s="314"/>
      <c r="JQ13" s="296"/>
      <c r="JR13" s="298">
        <f t="shared" si="53"/>
        <v>69.02</v>
      </c>
      <c r="JS13" s="32">
        <v>70.069999999999993</v>
      </c>
      <c r="JT13" s="33">
        <v>9</v>
      </c>
      <c r="JU13" s="314"/>
      <c r="JV13" s="296"/>
      <c r="JW13" s="298">
        <f t="shared" si="54"/>
        <v>79.069999999999993</v>
      </c>
      <c r="JX13" s="32">
        <v>38.32</v>
      </c>
      <c r="JY13" s="33">
        <v>19.940000000000001</v>
      </c>
      <c r="JZ13" s="314"/>
      <c r="KA13" s="296"/>
      <c r="KB13" s="298">
        <f t="shared" si="55"/>
        <v>58.260000000000005</v>
      </c>
      <c r="KC13" s="32">
        <v>41.18</v>
      </c>
      <c r="KD13" s="33">
        <v>25.46</v>
      </c>
      <c r="KE13" s="314"/>
      <c r="KF13" s="296"/>
      <c r="KG13" s="298">
        <f t="shared" si="56"/>
        <v>66.64</v>
      </c>
      <c r="KH13" s="32">
        <v>27.13</v>
      </c>
      <c r="KI13" s="33">
        <v>36.700000000000003</v>
      </c>
      <c r="KJ13" s="314">
        <v>0</v>
      </c>
      <c r="KK13" s="296">
        <v>0</v>
      </c>
      <c r="KL13" s="298">
        <f t="shared" si="57"/>
        <v>63.83</v>
      </c>
      <c r="KM13" s="32">
        <v>64.44</v>
      </c>
      <c r="KN13" s="33">
        <v>0</v>
      </c>
      <c r="KO13" s="314">
        <v>0</v>
      </c>
      <c r="KP13" s="296">
        <v>0</v>
      </c>
      <c r="KQ13" s="298">
        <f t="shared" si="58"/>
        <v>64.44</v>
      </c>
      <c r="KR13" s="32">
        <v>53.04</v>
      </c>
      <c r="KS13" s="33">
        <v>49.47</v>
      </c>
      <c r="KT13" s="314">
        <v>0</v>
      </c>
      <c r="KU13" s="296">
        <v>0</v>
      </c>
      <c r="KV13" s="298">
        <f t="shared" si="59"/>
        <v>102.50999999999999</v>
      </c>
      <c r="KW13" s="32">
        <v>47.44</v>
      </c>
      <c r="KX13" s="33">
        <v>32.090000000000003</v>
      </c>
      <c r="KY13" s="314">
        <v>0</v>
      </c>
      <c r="KZ13" s="296">
        <v>0</v>
      </c>
      <c r="LA13" s="298">
        <f t="shared" si="8"/>
        <v>79.53</v>
      </c>
      <c r="LB13" s="455">
        <f t="shared" si="60"/>
        <v>835.29</v>
      </c>
      <c r="LC13" s="32">
        <f t="shared" si="9"/>
        <v>15.7</v>
      </c>
      <c r="LD13" s="33">
        <f t="shared" si="10"/>
        <v>20.68</v>
      </c>
      <c r="LE13" s="314">
        <f t="shared" si="11"/>
        <v>2.5099999999999998</v>
      </c>
      <c r="LF13" s="296">
        <f t="shared" si="12"/>
        <v>0</v>
      </c>
      <c r="LG13" s="298">
        <f t="shared" si="13"/>
        <v>38.889999999999993</v>
      </c>
      <c r="LH13" s="32"/>
      <c r="LI13" s="33"/>
      <c r="LJ13" s="314"/>
      <c r="LK13" s="296"/>
      <c r="LL13" s="298">
        <f t="shared" si="61"/>
        <v>0</v>
      </c>
      <c r="LM13" s="32"/>
      <c r="LN13" s="33"/>
      <c r="LO13" s="314"/>
      <c r="LP13" s="296"/>
      <c r="LQ13" s="298">
        <f t="shared" si="62"/>
        <v>0</v>
      </c>
      <c r="LR13" s="32"/>
      <c r="LS13" s="33"/>
      <c r="LT13" s="314"/>
      <c r="LU13" s="296"/>
      <c r="LV13" s="298">
        <f t="shared" si="63"/>
        <v>0</v>
      </c>
      <c r="LW13" s="32"/>
      <c r="LX13" s="33"/>
      <c r="LY13" s="314"/>
      <c r="LZ13" s="296"/>
      <c r="MA13" s="298">
        <f t="shared" si="64"/>
        <v>0</v>
      </c>
      <c r="MB13" s="32"/>
      <c r="MC13" s="33"/>
      <c r="MD13" s="314"/>
      <c r="ME13" s="296"/>
      <c r="MF13" s="298">
        <f t="shared" si="65"/>
        <v>0</v>
      </c>
      <c r="MG13" s="32"/>
      <c r="MH13" s="33"/>
      <c r="MI13" s="314"/>
      <c r="MJ13" s="296"/>
      <c r="MK13" s="298">
        <f t="shared" si="66"/>
        <v>0</v>
      </c>
      <c r="ML13" s="32"/>
      <c r="MM13" s="33"/>
      <c r="MN13" s="314"/>
      <c r="MO13" s="296"/>
      <c r="MP13" s="298">
        <f t="shared" si="67"/>
        <v>0</v>
      </c>
      <c r="MQ13" s="32"/>
      <c r="MR13" s="33"/>
      <c r="MS13" s="314"/>
      <c r="MT13" s="296"/>
      <c r="MU13" s="298">
        <f t="shared" si="68"/>
        <v>0</v>
      </c>
      <c r="MV13" s="32"/>
      <c r="MW13" s="33"/>
      <c r="MX13" s="314"/>
      <c r="MY13" s="296"/>
      <c r="MZ13" s="298">
        <f t="shared" si="69"/>
        <v>0</v>
      </c>
      <c r="NA13" s="32"/>
      <c r="NB13" s="33"/>
      <c r="NC13" s="314"/>
      <c r="ND13" s="296"/>
      <c r="NE13" s="298">
        <f t="shared" si="70"/>
        <v>0</v>
      </c>
      <c r="NF13" s="32"/>
      <c r="NG13" s="33"/>
      <c r="NH13" s="314"/>
      <c r="NI13" s="296"/>
      <c r="NJ13" s="298">
        <f t="shared" si="14"/>
        <v>0</v>
      </c>
      <c r="NK13" s="455">
        <f t="shared" si="71"/>
        <v>38.889999999999993</v>
      </c>
    </row>
    <row r="14" spans="1:375" ht="15.75" x14ac:dyDescent="0.25">
      <c r="A14" s="281"/>
      <c r="B14" s="282">
        <v>6</v>
      </c>
      <c r="C14" s="283">
        <v>58.6</v>
      </c>
      <c r="D14" s="284">
        <v>46</v>
      </c>
      <c r="E14" s="285"/>
      <c r="F14" s="286"/>
      <c r="G14" s="287"/>
      <c r="H14" s="288">
        <f t="shared" si="15"/>
        <v>46</v>
      </c>
      <c r="I14" s="289">
        <v>90</v>
      </c>
      <c r="J14" s="290"/>
      <c r="K14" s="290"/>
      <c r="L14" s="291"/>
      <c r="M14" s="256">
        <f t="shared" si="16"/>
        <v>90</v>
      </c>
      <c r="N14" s="289">
        <v>70.97</v>
      </c>
      <c r="O14" s="290"/>
      <c r="P14" s="290"/>
      <c r="Q14" s="291"/>
      <c r="R14" s="256">
        <f t="shared" si="0"/>
        <v>70.97</v>
      </c>
      <c r="S14" s="289">
        <v>44.38</v>
      </c>
      <c r="T14" s="290"/>
      <c r="U14" s="290"/>
      <c r="V14" s="291"/>
      <c r="W14" s="256">
        <f t="shared" si="1"/>
        <v>44.38</v>
      </c>
      <c r="X14" s="289">
        <v>73.88</v>
      </c>
      <c r="Y14" s="290"/>
      <c r="Z14" s="290"/>
      <c r="AA14" s="291"/>
      <c r="AB14" s="256">
        <f t="shared" si="17"/>
        <v>73.88</v>
      </c>
      <c r="AC14" s="292">
        <v>73.81</v>
      </c>
      <c r="AD14" s="293"/>
      <c r="AE14" s="293"/>
      <c r="AF14" s="294"/>
      <c r="AG14" s="260">
        <f t="shared" si="18"/>
        <v>73.81</v>
      </c>
      <c r="AH14" s="292">
        <v>41.54</v>
      </c>
      <c r="AI14" s="293">
        <v>31.725999999999999</v>
      </c>
      <c r="AJ14" s="293"/>
      <c r="AK14" s="294"/>
      <c r="AL14" s="295">
        <f t="shared" si="72"/>
        <v>73.265999999999991</v>
      </c>
      <c r="AM14" s="32">
        <v>52.38</v>
      </c>
      <c r="AN14" s="33">
        <v>28.09</v>
      </c>
      <c r="AO14" s="33"/>
      <c r="AP14" s="296"/>
      <c r="AQ14" s="297">
        <f t="shared" si="73"/>
        <v>80.47</v>
      </c>
      <c r="AR14" s="32">
        <v>40.805999999999997</v>
      </c>
      <c r="AS14" s="33">
        <v>60.54</v>
      </c>
      <c r="AT14" s="33"/>
      <c r="AU14" s="296"/>
      <c r="AV14" s="298">
        <f t="shared" si="74"/>
        <v>101.346</v>
      </c>
      <c r="AW14" s="32">
        <v>49.87</v>
      </c>
      <c r="AX14" s="33">
        <v>67.64</v>
      </c>
      <c r="AY14" s="33"/>
      <c r="AZ14" s="296"/>
      <c r="BA14" s="298">
        <f t="shared" si="75"/>
        <v>117.50999999999999</v>
      </c>
      <c r="BB14" s="32">
        <f>87.31+6.43</f>
        <v>93.740000000000009</v>
      </c>
      <c r="BC14" s="33"/>
      <c r="BD14" s="33"/>
      <c r="BE14" s="296"/>
      <c r="BF14" s="298">
        <f t="shared" ref="BF14:BF23" si="81">SUM(BB14:BE14)</f>
        <v>93.740000000000009</v>
      </c>
      <c r="BG14" s="32">
        <v>98.1</v>
      </c>
      <c r="BH14" s="33"/>
      <c r="BI14" s="33"/>
      <c r="BJ14" s="299"/>
      <c r="BK14" s="298">
        <f t="shared" si="76"/>
        <v>98.1</v>
      </c>
      <c r="BL14" s="32">
        <f>82.13+9.12</f>
        <v>91.25</v>
      </c>
      <c r="BM14" s="33"/>
      <c r="BN14" s="33"/>
      <c r="BO14" s="299"/>
      <c r="BP14" s="297">
        <f t="shared" si="77"/>
        <v>91.25</v>
      </c>
      <c r="BQ14" s="455">
        <f t="shared" si="2"/>
        <v>1008.7220000000001</v>
      </c>
      <c r="BR14" s="32">
        <f>50.15+5.12</f>
        <v>55.269999999999996</v>
      </c>
      <c r="BS14" s="43">
        <v>26.87</v>
      </c>
      <c r="BT14" s="43"/>
      <c r="BU14" s="781"/>
      <c r="BV14" s="782">
        <f t="shared" si="19"/>
        <v>82.14</v>
      </c>
      <c r="BW14" s="783">
        <v>15.79</v>
      </c>
      <c r="BX14" s="43">
        <v>17.91</v>
      </c>
      <c r="BY14" s="43"/>
      <c r="BZ14" s="781"/>
      <c r="CA14" s="784">
        <f t="shared" si="20"/>
        <v>33.700000000000003</v>
      </c>
      <c r="CB14" s="785">
        <v>23.92</v>
      </c>
      <c r="CC14" s="786">
        <v>30.06</v>
      </c>
      <c r="CD14" s="786"/>
      <c r="CE14" s="787"/>
      <c r="CF14" s="788">
        <f t="shared" si="78"/>
        <v>53.980000000000004</v>
      </c>
      <c r="CG14" s="785">
        <v>40.36</v>
      </c>
      <c r="CH14" s="786">
        <v>41.66</v>
      </c>
      <c r="CI14" s="786"/>
      <c r="CJ14" s="787"/>
      <c r="CK14" s="788">
        <f t="shared" si="79"/>
        <v>82.02</v>
      </c>
      <c r="CL14" s="785">
        <v>32.97</v>
      </c>
      <c r="CM14" s="786">
        <v>29.5</v>
      </c>
      <c r="CN14" s="786"/>
      <c r="CO14" s="787"/>
      <c r="CP14" s="788">
        <f t="shared" si="80"/>
        <v>62.47</v>
      </c>
      <c r="CQ14" s="789">
        <v>26.81</v>
      </c>
      <c r="CR14" s="367">
        <v>28.32</v>
      </c>
      <c r="CS14" s="367"/>
      <c r="CT14" s="790"/>
      <c r="CU14" s="791">
        <v>55.129999999999995</v>
      </c>
      <c r="CV14" s="789">
        <v>25.3</v>
      </c>
      <c r="CW14" s="367">
        <v>34.67</v>
      </c>
      <c r="CX14" s="367"/>
      <c r="CY14" s="790"/>
      <c r="CZ14" s="791">
        <f t="shared" si="3"/>
        <v>59.97</v>
      </c>
      <c r="DA14" s="789">
        <v>39.11</v>
      </c>
      <c r="DB14" s="367">
        <v>54.19</v>
      </c>
      <c r="DC14" s="367"/>
      <c r="DD14" s="790"/>
      <c r="DE14" s="791">
        <f t="shared" si="4"/>
        <v>93.3</v>
      </c>
      <c r="DF14" s="789">
        <v>75.150000000000006</v>
      </c>
      <c r="DG14" s="367"/>
      <c r="DH14" s="367"/>
      <c r="DI14" s="790"/>
      <c r="DJ14" s="791">
        <f t="shared" si="5"/>
        <v>75.150000000000006</v>
      </c>
      <c r="DK14" s="789">
        <v>95.51</v>
      </c>
      <c r="DL14" s="367">
        <v>29.11</v>
      </c>
      <c r="DM14" s="367"/>
      <c r="DN14" s="790"/>
      <c r="DO14" s="791">
        <f t="shared" si="21"/>
        <v>124.62</v>
      </c>
      <c r="DP14" s="789">
        <v>76.69</v>
      </c>
      <c r="DQ14" s="367">
        <v>61.36</v>
      </c>
      <c r="DR14" s="367"/>
      <c r="DS14" s="790"/>
      <c r="DT14" s="791">
        <f t="shared" si="22"/>
        <v>138.05000000000001</v>
      </c>
      <c r="DU14" s="789">
        <v>72.959999999999994</v>
      </c>
      <c r="DV14" s="367"/>
      <c r="DW14" s="367"/>
      <c r="DX14" s="790"/>
      <c r="DY14" s="791">
        <f t="shared" si="23"/>
        <v>72.959999999999994</v>
      </c>
      <c r="DZ14" s="455">
        <f t="shared" si="6"/>
        <v>933.49</v>
      </c>
      <c r="EA14" s="789">
        <v>62.2</v>
      </c>
      <c r="EB14" s="367"/>
      <c r="EC14" s="367"/>
      <c r="ED14" s="790"/>
      <c r="EE14" s="791">
        <f t="shared" si="24"/>
        <v>62.2</v>
      </c>
      <c r="EF14" s="789">
        <v>51.17</v>
      </c>
      <c r="EG14" s="367">
        <v>7.49</v>
      </c>
      <c r="EH14" s="367"/>
      <c r="EI14" s="790"/>
      <c r="EJ14" s="791">
        <f t="shared" si="25"/>
        <v>58.660000000000004</v>
      </c>
      <c r="EK14" s="789">
        <v>45.36</v>
      </c>
      <c r="EL14" s="367">
        <v>51.92</v>
      </c>
      <c r="EM14" s="367"/>
      <c r="EN14" s="790"/>
      <c r="EO14" s="791">
        <f t="shared" si="26"/>
        <v>97.28</v>
      </c>
      <c r="EP14" s="789">
        <v>47.78</v>
      </c>
      <c r="EQ14" s="367"/>
      <c r="ER14" s="367"/>
      <c r="ES14" s="790"/>
      <c r="ET14" s="791">
        <f t="shared" si="27"/>
        <v>47.78</v>
      </c>
      <c r="EU14" s="789">
        <v>44.99</v>
      </c>
      <c r="EV14" s="367">
        <v>15.04</v>
      </c>
      <c r="EW14" s="367"/>
      <c r="EX14" s="790"/>
      <c r="EY14" s="791">
        <f t="shared" si="28"/>
        <v>60.03</v>
      </c>
      <c r="EZ14" s="789">
        <v>57.27</v>
      </c>
      <c r="FA14" s="367">
        <v>40.369999999999997</v>
      </c>
      <c r="FB14" s="367"/>
      <c r="FC14" s="790"/>
      <c r="FD14" s="791">
        <f t="shared" si="29"/>
        <v>97.64</v>
      </c>
      <c r="FE14" s="789">
        <v>36.07</v>
      </c>
      <c r="FF14" s="367">
        <v>32.630000000000003</v>
      </c>
      <c r="FG14" s="367"/>
      <c r="FH14" s="790"/>
      <c r="FI14" s="791">
        <f t="shared" si="30"/>
        <v>68.7</v>
      </c>
      <c r="FJ14" s="789">
        <v>40.840000000000003</v>
      </c>
      <c r="FK14" s="367">
        <v>28.96</v>
      </c>
      <c r="FL14" s="367"/>
      <c r="FM14" s="790"/>
      <c r="FN14" s="791">
        <f t="shared" si="31"/>
        <v>69.800000000000011</v>
      </c>
      <c r="FO14" s="789">
        <f>44.22+0.36</f>
        <v>44.58</v>
      </c>
      <c r="FP14" s="367">
        <f>39.71+0.3</f>
        <v>40.01</v>
      </c>
      <c r="FQ14" s="367"/>
      <c r="FR14" s="790"/>
      <c r="FS14" s="791">
        <f t="shared" si="32"/>
        <v>84.59</v>
      </c>
      <c r="FT14" s="789">
        <v>55.83</v>
      </c>
      <c r="FU14" s="367">
        <v>30.17</v>
      </c>
      <c r="FV14" s="367"/>
      <c r="FW14" s="790"/>
      <c r="FX14" s="791">
        <f t="shared" si="33"/>
        <v>86</v>
      </c>
      <c r="FY14" s="789">
        <v>51.04</v>
      </c>
      <c r="FZ14" s="367">
        <v>21.24</v>
      </c>
      <c r="GA14" s="367"/>
      <c r="GB14" s="790"/>
      <c r="GC14" s="791">
        <f t="shared" si="34"/>
        <v>72.28</v>
      </c>
      <c r="GD14" s="789">
        <v>15.8</v>
      </c>
      <c r="GE14" s="367">
        <v>29.05</v>
      </c>
      <c r="GF14" s="367"/>
      <c r="GG14" s="790"/>
      <c r="GH14" s="791">
        <f t="shared" si="35"/>
        <v>44.85</v>
      </c>
      <c r="GI14" s="455">
        <f t="shared" si="7"/>
        <v>849.81000000000006</v>
      </c>
      <c r="GJ14" s="302">
        <v>54.29</v>
      </c>
      <c r="GK14" s="303">
        <v>33.729999999999997</v>
      </c>
      <c r="GL14" s="303"/>
      <c r="GM14" s="304"/>
      <c r="GN14" s="305">
        <f t="shared" si="36"/>
        <v>88.02</v>
      </c>
      <c r="GO14" s="302">
        <v>27.04</v>
      </c>
      <c r="GP14" s="303">
        <v>12.78</v>
      </c>
      <c r="GQ14" s="303"/>
      <c r="GR14" s="304"/>
      <c r="GS14" s="305">
        <f t="shared" si="37"/>
        <v>39.82</v>
      </c>
      <c r="GT14" s="302">
        <v>19.96</v>
      </c>
      <c r="GU14" s="303">
        <v>7.43</v>
      </c>
      <c r="GV14" s="303"/>
      <c r="GW14" s="304"/>
      <c r="GX14" s="305">
        <f t="shared" si="38"/>
        <v>27.39</v>
      </c>
      <c r="GY14" s="302">
        <v>18.14</v>
      </c>
      <c r="GZ14" s="303">
        <v>21.49</v>
      </c>
      <c r="HA14" s="303"/>
      <c r="HB14" s="304"/>
      <c r="HC14" s="305">
        <f t="shared" si="39"/>
        <v>39.629999999999995</v>
      </c>
      <c r="HD14" s="302">
        <v>39.369999999999997</v>
      </c>
      <c r="HE14" s="303">
        <v>29.56</v>
      </c>
      <c r="HF14" s="303"/>
      <c r="HG14" s="304"/>
      <c r="HH14" s="305">
        <f t="shared" si="40"/>
        <v>68.929999999999993</v>
      </c>
      <c r="HI14" s="302">
        <v>20.09</v>
      </c>
      <c r="HJ14" s="303">
        <v>19.05</v>
      </c>
      <c r="HK14" s="303"/>
      <c r="HL14" s="304"/>
      <c r="HM14" s="305">
        <f t="shared" si="41"/>
        <v>39.14</v>
      </c>
      <c r="HN14" s="302">
        <v>67.45</v>
      </c>
      <c r="HO14" s="303">
        <v>60.39</v>
      </c>
      <c r="HP14" s="303"/>
      <c r="HQ14" s="304"/>
      <c r="HR14" s="305">
        <f t="shared" si="42"/>
        <v>127.84</v>
      </c>
      <c r="HS14" s="302">
        <v>64.3</v>
      </c>
      <c r="HT14" s="303">
        <v>96.37</v>
      </c>
      <c r="HU14" s="303"/>
      <c r="HV14" s="304"/>
      <c r="HW14" s="305">
        <f t="shared" si="43"/>
        <v>160.67000000000002</v>
      </c>
      <c r="HX14" s="302">
        <v>99.91</v>
      </c>
      <c r="HY14" s="308"/>
      <c r="HZ14" s="303"/>
      <c r="IA14" s="304"/>
      <c r="IB14" s="305">
        <f t="shared" si="44"/>
        <v>99.91</v>
      </c>
      <c r="IC14" s="302">
        <f>84.71+2.95</f>
        <v>87.66</v>
      </c>
      <c r="ID14" s="303">
        <v>26.25</v>
      </c>
      <c r="IE14" s="303"/>
      <c r="IF14" s="304"/>
      <c r="IG14" s="305">
        <f t="shared" si="45"/>
        <v>113.91</v>
      </c>
      <c r="IH14" s="61">
        <v>31.71</v>
      </c>
      <c r="II14" s="62">
        <v>69.78</v>
      </c>
      <c r="IJ14" s="62"/>
      <c r="IK14" s="301"/>
      <c r="IL14" s="300">
        <f t="shared" si="46"/>
        <v>101.49000000000001</v>
      </c>
      <c r="IM14" s="61">
        <v>44.18</v>
      </c>
      <c r="IN14" s="62">
        <v>63.39</v>
      </c>
      <c r="IO14" s="301"/>
      <c r="IP14" s="296"/>
      <c r="IQ14" s="442">
        <f t="shared" si="47"/>
        <v>107.57</v>
      </c>
      <c r="IR14" s="442"/>
      <c r="IS14" s="455">
        <f t="shared" si="48"/>
        <v>1014.3199999999999</v>
      </c>
      <c r="IT14" s="449">
        <v>47.81</v>
      </c>
      <c r="IU14" s="309"/>
      <c r="IV14" s="33"/>
      <c r="IW14" s="296"/>
      <c r="IX14" s="298">
        <f t="shared" si="49"/>
        <v>47.81</v>
      </c>
      <c r="IY14" s="32">
        <v>62.98</v>
      </c>
      <c r="IZ14" s="33">
        <v>22.17</v>
      </c>
      <c r="JA14" s="33"/>
      <c r="JB14" s="296"/>
      <c r="JC14" s="298">
        <f t="shared" si="50"/>
        <v>85.15</v>
      </c>
      <c r="JD14" s="32">
        <v>32.200000000000003</v>
      </c>
      <c r="JE14" s="33">
        <v>11.75</v>
      </c>
      <c r="JF14" s="33"/>
      <c r="JG14" s="296"/>
      <c r="JH14" s="298">
        <f t="shared" si="51"/>
        <v>43.95</v>
      </c>
      <c r="JI14" s="32">
        <v>75.31</v>
      </c>
      <c r="JJ14" s="33">
        <v>13.55</v>
      </c>
      <c r="JK14" s="33"/>
      <c r="JL14" s="296"/>
      <c r="JM14" s="298">
        <f t="shared" si="52"/>
        <v>88.86</v>
      </c>
      <c r="JN14" s="32">
        <v>40.409999999999997</v>
      </c>
      <c r="JO14" s="33">
        <v>15.97</v>
      </c>
      <c r="JP14" s="33"/>
      <c r="JQ14" s="296"/>
      <c r="JR14" s="298">
        <f t="shared" si="53"/>
        <v>56.379999999999995</v>
      </c>
      <c r="JS14" s="32">
        <v>72.08</v>
      </c>
      <c r="JT14" s="33">
        <v>21.41</v>
      </c>
      <c r="JU14" s="33"/>
      <c r="JV14" s="296"/>
      <c r="JW14" s="298">
        <f t="shared" si="54"/>
        <v>93.49</v>
      </c>
      <c r="JX14" s="32">
        <v>33.450000000000003</v>
      </c>
      <c r="JY14" s="33">
        <v>19.45</v>
      </c>
      <c r="JZ14" s="33"/>
      <c r="KA14" s="296"/>
      <c r="KB14" s="298">
        <f t="shared" si="55"/>
        <v>52.900000000000006</v>
      </c>
      <c r="KC14" s="32">
        <v>55.79</v>
      </c>
      <c r="KD14" s="33">
        <v>24.67</v>
      </c>
      <c r="KE14" s="33"/>
      <c r="KF14" s="296"/>
      <c r="KG14" s="298">
        <f t="shared" si="56"/>
        <v>80.460000000000008</v>
      </c>
      <c r="KH14" s="32">
        <v>38.42</v>
      </c>
      <c r="KI14" s="33">
        <v>40.69</v>
      </c>
      <c r="KJ14" s="33">
        <v>0</v>
      </c>
      <c r="KK14" s="296">
        <v>0</v>
      </c>
      <c r="KL14" s="298">
        <f t="shared" si="57"/>
        <v>79.11</v>
      </c>
      <c r="KM14" s="32">
        <v>68.84</v>
      </c>
      <c r="KN14" s="33">
        <v>75.710000000000008</v>
      </c>
      <c r="KO14" s="33">
        <v>0</v>
      </c>
      <c r="KP14" s="296">
        <v>0</v>
      </c>
      <c r="KQ14" s="298">
        <f t="shared" si="58"/>
        <v>144.55000000000001</v>
      </c>
      <c r="KR14" s="32">
        <v>63.34</v>
      </c>
      <c r="KS14" s="33">
        <v>0</v>
      </c>
      <c r="KT14" s="33">
        <v>0</v>
      </c>
      <c r="KU14" s="296">
        <v>0</v>
      </c>
      <c r="KV14" s="298">
        <f t="shared" si="59"/>
        <v>63.34</v>
      </c>
      <c r="KW14" s="32">
        <v>60.33</v>
      </c>
      <c r="KX14" s="33">
        <v>64.91</v>
      </c>
      <c r="KY14" s="33">
        <v>0</v>
      </c>
      <c r="KZ14" s="296">
        <v>0</v>
      </c>
      <c r="LA14" s="298">
        <f t="shared" si="8"/>
        <v>125.24</v>
      </c>
      <c r="LB14" s="455">
        <f t="shared" si="60"/>
        <v>961.24000000000012</v>
      </c>
      <c r="LC14" s="32">
        <f t="shared" si="9"/>
        <v>40.300000000000004</v>
      </c>
      <c r="LD14" s="33">
        <f t="shared" si="10"/>
        <v>15.989999999999998</v>
      </c>
      <c r="LE14" s="33">
        <f t="shared" si="11"/>
        <v>0</v>
      </c>
      <c r="LF14" s="296">
        <f t="shared" si="12"/>
        <v>0</v>
      </c>
      <c r="LG14" s="298">
        <f t="shared" si="13"/>
        <v>56.290000000000006</v>
      </c>
      <c r="LH14" s="32"/>
      <c r="LI14" s="33"/>
      <c r="LJ14" s="33"/>
      <c r="LK14" s="296"/>
      <c r="LL14" s="298">
        <f t="shared" si="61"/>
        <v>0</v>
      </c>
      <c r="LM14" s="32"/>
      <c r="LN14" s="33"/>
      <c r="LO14" s="33"/>
      <c r="LP14" s="296"/>
      <c r="LQ14" s="298">
        <f t="shared" si="62"/>
        <v>0</v>
      </c>
      <c r="LR14" s="32"/>
      <c r="LS14" s="33"/>
      <c r="LT14" s="33"/>
      <c r="LU14" s="296"/>
      <c r="LV14" s="298">
        <f t="shared" si="63"/>
        <v>0</v>
      </c>
      <c r="LW14" s="32"/>
      <c r="LX14" s="33"/>
      <c r="LY14" s="33"/>
      <c r="LZ14" s="296"/>
      <c r="MA14" s="298">
        <f t="shared" si="64"/>
        <v>0</v>
      </c>
      <c r="MB14" s="32"/>
      <c r="MC14" s="33"/>
      <c r="MD14" s="33"/>
      <c r="ME14" s="296"/>
      <c r="MF14" s="298">
        <f t="shared" si="65"/>
        <v>0</v>
      </c>
      <c r="MG14" s="32"/>
      <c r="MH14" s="33"/>
      <c r="MI14" s="33"/>
      <c r="MJ14" s="296"/>
      <c r="MK14" s="298">
        <f t="shared" si="66"/>
        <v>0</v>
      </c>
      <c r="ML14" s="32"/>
      <c r="MM14" s="33"/>
      <c r="MN14" s="33"/>
      <c r="MO14" s="296"/>
      <c r="MP14" s="298">
        <f t="shared" si="67"/>
        <v>0</v>
      </c>
      <c r="MQ14" s="32"/>
      <c r="MR14" s="33"/>
      <c r="MS14" s="33"/>
      <c r="MT14" s="296"/>
      <c r="MU14" s="298">
        <f t="shared" si="68"/>
        <v>0</v>
      </c>
      <c r="MV14" s="32"/>
      <c r="MW14" s="33"/>
      <c r="MX14" s="33"/>
      <c r="MY14" s="296"/>
      <c r="MZ14" s="298">
        <f t="shared" si="69"/>
        <v>0</v>
      </c>
      <c r="NA14" s="32"/>
      <c r="NB14" s="33"/>
      <c r="NC14" s="33"/>
      <c r="ND14" s="296"/>
      <c r="NE14" s="298">
        <f t="shared" si="70"/>
        <v>0</v>
      </c>
      <c r="NF14" s="32"/>
      <c r="NG14" s="33"/>
      <c r="NH14" s="33"/>
      <c r="NI14" s="296"/>
      <c r="NJ14" s="298">
        <f t="shared" si="14"/>
        <v>0</v>
      </c>
      <c r="NK14" s="455">
        <f t="shared" si="71"/>
        <v>56.290000000000006</v>
      </c>
    </row>
    <row r="15" spans="1:375" ht="15.75" x14ac:dyDescent="0.25">
      <c r="A15" s="281"/>
      <c r="B15" s="282">
        <v>7</v>
      </c>
      <c r="C15" s="283">
        <v>23.6</v>
      </c>
      <c r="D15" s="284">
        <v>21.2</v>
      </c>
      <c r="E15" s="285"/>
      <c r="F15" s="286"/>
      <c r="G15" s="287"/>
      <c r="H15" s="288">
        <f t="shared" si="15"/>
        <v>21.2</v>
      </c>
      <c r="I15" s="289">
        <v>30.29</v>
      </c>
      <c r="J15" s="290"/>
      <c r="K15" s="290"/>
      <c r="L15" s="291"/>
      <c r="M15" s="256">
        <f t="shared" si="16"/>
        <v>30.29</v>
      </c>
      <c r="N15" s="289">
        <v>18.940000000000001</v>
      </c>
      <c r="O15" s="290"/>
      <c r="P15" s="290"/>
      <c r="Q15" s="291"/>
      <c r="R15" s="256">
        <f t="shared" si="0"/>
        <v>18.940000000000001</v>
      </c>
      <c r="S15" s="289">
        <v>14.88</v>
      </c>
      <c r="T15" s="290"/>
      <c r="U15" s="290"/>
      <c r="V15" s="291"/>
      <c r="W15" s="256">
        <f t="shared" si="1"/>
        <v>14.88</v>
      </c>
      <c r="X15" s="289">
        <v>26.72</v>
      </c>
      <c r="Y15" s="290"/>
      <c r="Z15" s="290"/>
      <c r="AA15" s="291"/>
      <c r="AB15" s="256">
        <f t="shared" si="17"/>
        <v>26.72</v>
      </c>
      <c r="AC15" s="292">
        <v>21.82</v>
      </c>
      <c r="AD15" s="293"/>
      <c r="AE15" s="293"/>
      <c r="AF15" s="294"/>
      <c r="AG15" s="260">
        <f t="shared" si="18"/>
        <v>21.82</v>
      </c>
      <c r="AH15" s="292">
        <v>19.37</v>
      </c>
      <c r="AI15" s="293">
        <v>5.86</v>
      </c>
      <c r="AJ15" s="293"/>
      <c r="AK15" s="294"/>
      <c r="AL15" s="295">
        <f t="shared" si="72"/>
        <v>25.23</v>
      </c>
      <c r="AM15" s="32">
        <v>19.46</v>
      </c>
      <c r="AN15" s="33"/>
      <c r="AO15" s="33"/>
      <c r="AP15" s="296"/>
      <c r="AQ15" s="297">
        <f t="shared" si="73"/>
        <v>19.46</v>
      </c>
      <c r="AR15" s="32">
        <v>20.66</v>
      </c>
      <c r="AS15" s="33">
        <v>11.24</v>
      </c>
      <c r="AT15" s="33"/>
      <c r="AU15" s="296"/>
      <c r="AV15" s="298">
        <f t="shared" si="74"/>
        <v>31.9</v>
      </c>
      <c r="AW15" s="32">
        <v>17.47</v>
      </c>
      <c r="AX15" s="33"/>
      <c r="AY15" s="33"/>
      <c r="AZ15" s="296"/>
      <c r="BA15" s="298">
        <f t="shared" si="75"/>
        <v>17.47</v>
      </c>
      <c r="BB15" s="32">
        <f>23.97+0.75</f>
        <v>24.72</v>
      </c>
      <c r="BC15" s="33">
        <v>29.32</v>
      </c>
      <c r="BD15" s="33"/>
      <c r="BE15" s="296"/>
      <c r="BF15" s="298">
        <f t="shared" si="81"/>
        <v>54.04</v>
      </c>
      <c r="BG15" s="32">
        <f>37.91+0.77</f>
        <v>38.68</v>
      </c>
      <c r="BH15" s="33"/>
      <c r="BI15" s="33"/>
      <c r="BJ15" s="299"/>
      <c r="BK15" s="298">
        <f t="shared" si="76"/>
        <v>38.68</v>
      </c>
      <c r="BL15" s="32">
        <f>27.31+5.26</f>
        <v>32.57</v>
      </c>
      <c r="BM15" s="33"/>
      <c r="BN15" s="33"/>
      <c r="BO15" s="299"/>
      <c r="BP15" s="297">
        <f t="shared" si="77"/>
        <v>32.57</v>
      </c>
      <c r="BQ15" s="455">
        <f t="shared" si="2"/>
        <v>332</v>
      </c>
      <c r="BR15" s="32">
        <f>18.57+0.93</f>
        <v>19.5</v>
      </c>
      <c r="BS15" s="43">
        <v>3.26</v>
      </c>
      <c r="BT15" s="43"/>
      <c r="BU15" s="781"/>
      <c r="BV15" s="782">
        <f t="shared" si="19"/>
        <v>22.759999999999998</v>
      </c>
      <c r="BW15" s="783">
        <v>7.53</v>
      </c>
      <c r="BX15" s="43">
        <v>5.12</v>
      </c>
      <c r="BY15" s="43"/>
      <c r="BZ15" s="781"/>
      <c r="CA15" s="784">
        <f t="shared" si="20"/>
        <v>12.65</v>
      </c>
      <c r="CB15" s="785">
        <v>9.86</v>
      </c>
      <c r="CC15" s="786">
        <v>12.06</v>
      </c>
      <c r="CD15" s="786"/>
      <c r="CE15" s="787"/>
      <c r="CF15" s="788">
        <f t="shared" si="78"/>
        <v>21.92</v>
      </c>
      <c r="CG15" s="785">
        <v>18.34</v>
      </c>
      <c r="CH15" s="786"/>
      <c r="CI15" s="786"/>
      <c r="CJ15" s="787"/>
      <c r="CK15" s="788">
        <f t="shared" si="79"/>
        <v>18.34</v>
      </c>
      <c r="CL15" s="785">
        <v>12.53</v>
      </c>
      <c r="CM15" s="786">
        <v>12.82</v>
      </c>
      <c r="CN15" s="786"/>
      <c r="CO15" s="787"/>
      <c r="CP15" s="788">
        <f t="shared" si="80"/>
        <v>25.35</v>
      </c>
      <c r="CQ15" s="789">
        <v>10.18</v>
      </c>
      <c r="CR15" s="367">
        <v>7.3</v>
      </c>
      <c r="CS15" s="367"/>
      <c r="CT15" s="790"/>
      <c r="CU15" s="791">
        <v>17.48</v>
      </c>
      <c r="CV15" s="789">
        <v>6.45</v>
      </c>
      <c r="CW15" s="367">
        <v>7.22</v>
      </c>
      <c r="CX15" s="367">
        <v>4.96</v>
      </c>
      <c r="CY15" s="790"/>
      <c r="CZ15" s="791">
        <f t="shared" si="3"/>
        <v>18.63</v>
      </c>
      <c r="DA15" s="789">
        <v>14.23</v>
      </c>
      <c r="DB15" s="367">
        <v>16.260000000000002</v>
      </c>
      <c r="DC15" s="367"/>
      <c r="DD15" s="790"/>
      <c r="DE15" s="791">
        <f t="shared" si="4"/>
        <v>30.490000000000002</v>
      </c>
      <c r="DF15" s="789">
        <v>26.76</v>
      </c>
      <c r="DG15" s="367"/>
      <c r="DH15" s="367"/>
      <c r="DI15" s="790"/>
      <c r="DJ15" s="791">
        <f t="shared" si="5"/>
        <v>26.76</v>
      </c>
      <c r="DK15" s="789">
        <v>35.340000000000003</v>
      </c>
      <c r="DL15" s="367"/>
      <c r="DM15" s="367"/>
      <c r="DN15" s="790"/>
      <c r="DO15" s="791">
        <f t="shared" si="21"/>
        <v>35.340000000000003</v>
      </c>
      <c r="DP15" s="789">
        <v>34.020000000000003</v>
      </c>
      <c r="DQ15" s="367"/>
      <c r="DR15" s="367"/>
      <c r="DS15" s="790"/>
      <c r="DT15" s="791">
        <f t="shared" si="22"/>
        <v>34.020000000000003</v>
      </c>
      <c r="DU15" s="789">
        <v>24.25</v>
      </c>
      <c r="DV15" s="367">
        <v>24.03</v>
      </c>
      <c r="DW15" s="367"/>
      <c r="DX15" s="790"/>
      <c r="DY15" s="791">
        <f t="shared" si="23"/>
        <v>48.28</v>
      </c>
      <c r="DZ15" s="455">
        <f t="shared" si="6"/>
        <v>312.02</v>
      </c>
      <c r="EA15" s="789">
        <v>16.510000000000002</v>
      </c>
      <c r="EB15" s="367"/>
      <c r="EC15" s="367"/>
      <c r="ED15" s="790"/>
      <c r="EE15" s="791">
        <f t="shared" si="24"/>
        <v>16.510000000000002</v>
      </c>
      <c r="EF15" s="789">
        <v>16.84</v>
      </c>
      <c r="EG15" s="367"/>
      <c r="EH15" s="367"/>
      <c r="EI15" s="790"/>
      <c r="EJ15" s="791">
        <f t="shared" si="25"/>
        <v>16.84</v>
      </c>
      <c r="EK15" s="789">
        <v>21.41</v>
      </c>
      <c r="EL15" s="367"/>
      <c r="EM15" s="367"/>
      <c r="EN15" s="790"/>
      <c r="EO15" s="791">
        <f t="shared" si="26"/>
        <v>21.41</v>
      </c>
      <c r="EP15" s="789">
        <v>20.67</v>
      </c>
      <c r="EQ15" s="367">
        <v>14.16</v>
      </c>
      <c r="ER15" s="367"/>
      <c r="ES15" s="790"/>
      <c r="ET15" s="791">
        <f t="shared" si="27"/>
        <v>34.83</v>
      </c>
      <c r="EU15" s="789">
        <v>9.92</v>
      </c>
      <c r="EV15" s="367">
        <v>5.35</v>
      </c>
      <c r="EW15" s="367"/>
      <c r="EX15" s="790"/>
      <c r="EY15" s="791">
        <f t="shared" si="28"/>
        <v>15.27</v>
      </c>
      <c r="EZ15" s="789">
        <v>15.97</v>
      </c>
      <c r="FA15" s="367">
        <v>3.3</v>
      </c>
      <c r="FB15" s="367"/>
      <c r="FC15" s="790"/>
      <c r="FD15" s="791">
        <f t="shared" si="29"/>
        <v>19.27</v>
      </c>
      <c r="FE15" s="789">
        <v>13.25</v>
      </c>
      <c r="FF15" s="367">
        <v>8.2799999999999994</v>
      </c>
      <c r="FG15" s="367"/>
      <c r="FH15" s="790"/>
      <c r="FI15" s="791">
        <f t="shared" si="30"/>
        <v>21.53</v>
      </c>
      <c r="FJ15" s="789">
        <v>11.73</v>
      </c>
      <c r="FK15" s="367">
        <v>12.7</v>
      </c>
      <c r="FL15" s="367"/>
      <c r="FM15" s="790"/>
      <c r="FN15" s="791">
        <f t="shared" si="31"/>
        <v>24.43</v>
      </c>
      <c r="FO15" s="789">
        <v>13.77</v>
      </c>
      <c r="FP15" s="367"/>
      <c r="FQ15" s="367"/>
      <c r="FR15" s="790"/>
      <c r="FS15" s="791">
        <f t="shared" si="32"/>
        <v>13.77</v>
      </c>
      <c r="FT15" s="789">
        <v>12.63</v>
      </c>
      <c r="FU15" s="367">
        <v>8.58</v>
      </c>
      <c r="FV15" s="367"/>
      <c r="FW15" s="790"/>
      <c r="FX15" s="791">
        <f t="shared" si="33"/>
        <v>21.21</v>
      </c>
      <c r="FY15" s="789">
        <v>11.33</v>
      </c>
      <c r="FZ15" s="367">
        <v>12.43</v>
      </c>
      <c r="GA15" s="367"/>
      <c r="GB15" s="790"/>
      <c r="GC15" s="791">
        <f t="shared" si="34"/>
        <v>23.759999999999998</v>
      </c>
      <c r="GD15" s="789">
        <v>10.6</v>
      </c>
      <c r="GE15" s="367">
        <v>5.0199999999999996</v>
      </c>
      <c r="GF15" s="367"/>
      <c r="GG15" s="790"/>
      <c r="GH15" s="791">
        <f t="shared" si="35"/>
        <v>15.62</v>
      </c>
      <c r="GI15" s="455">
        <f t="shared" si="7"/>
        <v>244.45000000000002</v>
      </c>
      <c r="GJ15" s="302">
        <v>17.940000000000001</v>
      </c>
      <c r="GK15" s="303">
        <v>7.89</v>
      </c>
      <c r="GL15" s="303"/>
      <c r="GM15" s="304"/>
      <c r="GN15" s="305">
        <f t="shared" si="36"/>
        <v>25.830000000000002</v>
      </c>
      <c r="GO15" s="302">
        <v>6.73</v>
      </c>
      <c r="GP15" s="303">
        <v>5.17</v>
      </c>
      <c r="GQ15" s="303"/>
      <c r="GR15" s="304"/>
      <c r="GS15" s="305">
        <f t="shared" si="37"/>
        <v>11.9</v>
      </c>
      <c r="GT15" s="302">
        <v>11.03</v>
      </c>
      <c r="GU15" s="303">
        <v>2.67</v>
      </c>
      <c r="GV15" s="303"/>
      <c r="GW15" s="304"/>
      <c r="GX15" s="305">
        <f t="shared" si="38"/>
        <v>13.7</v>
      </c>
      <c r="GY15" s="302">
        <v>12.03</v>
      </c>
      <c r="GZ15" s="303">
        <v>12.37</v>
      </c>
      <c r="HA15" s="303"/>
      <c r="HB15" s="304"/>
      <c r="HC15" s="305">
        <f t="shared" si="39"/>
        <v>24.4</v>
      </c>
      <c r="HD15" s="302">
        <v>12.62</v>
      </c>
      <c r="HE15" s="303">
        <v>5.03</v>
      </c>
      <c r="HF15" s="303"/>
      <c r="HG15" s="304"/>
      <c r="HH15" s="305">
        <f t="shared" si="40"/>
        <v>17.649999999999999</v>
      </c>
      <c r="HI15" s="302">
        <v>12.33</v>
      </c>
      <c r="HJ15" s="303">
        <v>7.17</v>
      </c>
      <c r="HK15" s="303"/>
      <c r="HL15" s="304"/>
      <c r="HM15" s="305">
        <f t="shared" si="41"/>
        <v>19.5</v>
      </c>
      <c r="HN15" s="302">
        <v>16.73</v>
      </c>
      <c r="HO15" s="303">
        <v>12.52</v>
      </c>
      <c r="HP15" s="303"/>
      <c r="HQ15" s="304"/>
      <c r="HR15" s="305">
        <f t="shared" si="42"/>
        <v>29.25</v>
      </c>
      <c r="HS15" s="302">
        <v>29.03</v>
      </c>
      <c r="HT15" s="308"/>
      <c r="HU15" s="303"/>
      <c r="HV15" s="304"/>
      <c r="HW15" s="305">
        <f t="shared" si="43"/>
        <v>29.03</v>
      </c>
      <c r="HX15" s="302">
        <v>30.42</v>
      </c>
      <c r="HY15" s="303">
        <v>30.56</v>
      </c>
      <c r="HZ15" s="303"/>
      <c r="IA15" s="304"/>
      <c r="IB15" s="305">
        <f t="shared" si="44"/>
        <v>60.980000000000004</v>
      </c>
      <c r="IC15" s="302">
        <v>33.08</v>
      </c>
      <c r="ID15" s="308"/>
      <c r="IE15" s="303"/>
      <c r="IF15" s="304"/>
      <c r="IG15" s="305">
        <f t="shared" si="45"/>
        <v>33.08</v>
      </c>
      <c r="IH15" s="61">
        <f>15.42+1.174</f>
        <v>16.594000000000001</v>
      </c>
      <c r="II15" s="62">
        <v>24.7</v>
      </c>
      <c r="IJ15" s="62"/>
      <c r="IK15" s="301"/>
      <c r="IL15" s="300">
        <f t="shared" si="46"/>
        <v>41.293999999999997</v>
      </c>
      <c r="IM15" s="61">
        <v>25.65</v>
      </c>
      <c r="IN15" s="62">
        <v>19.72</v>
      </c>
      <c r="IO15" s="301"/>
      <c r="IP15" s="296"/>
      <c r="IQ15" s="442">
        <f t="shared" si="47"/>
        <v>45.37</v>
      </c>
      <c r="IR15" s="442"/>
      <c r="IS15" s="455">
        <f t="shared" si="48"/>
        <v>351.98399999999998</v>
      </c>
      <c r="IT15" s="449">
        <v>18.989999999999998</v>
      </c>
      <c r="IU15" s="309"/>
      <c r="IV15" s="33"/>
      <c r="IW15" s="296"/>
      <c r="IX15" s="298">
        <f t="shared" si="49"/>
        <v>18.989999999999998</v>
      </c>
      <c r="IY15" s="32">
        <v>22.99</v>
      </c>
      <c r="IZ15" s="33">
        <v>2.68</v>
      </c>
      <c r="JA15" s="33"/>
      <c r="JB15" s="296"/>
      <c r="JC15" s="298">
        <f t="shared" si="50"/>
        <v>25.669999999999998</v>
      </c>
      <c r="JD15" s="32">
        <v>18.8</v>
      </c>
      <c r="JE15" s="33">
        <v>2.2799999999999998</v>
      </c>
      <c r="JF15" s="33"/>
      <c r="JG15" s="296"/>
      <c r="JH15" s="298">
        <f t="shared" si="51"/>
        <v>21.080000000000002</v>
      </c>
      <c r="JI15" s="32">
        <v>35.020000000000003</v>
      </c>
      <c r="JJ15" s="33">
        <v>4.59</v>
      </c>
      <c r="JK15" s="33"/>
      <c r="JL15" s="296"/>
      <c r="JM15" s="298">
        <f t="shared" si="52"/>
        <v>39.61</v>
      </c>
      <c r="JN15" s="32">
        <v>23.27</v>
      </c>
      <c r="JO15" s="33">
        <v>4.3499999999999996</v>
      </c>
      <c r="JP15" s="33"/>
      <c r="JQ15" s="296"/>
      <c r="JR15" s="298">
        <f t="shared" si="53"/>
        <v>27.619999999999997</v>
      </c>
      <c r="JS15" s="32">
        <v>26.28</v>
      </c>
      <c r="JT15" s="33">
        <v>3.25</v>
      </c>
      <c r="JU15" s="33"/>
      <c r="JV15" s="296"/>
      <c r="JW15" s="298">
        <f t="shared" si="54"/>
        <v>29.53</v>
      </c>
      <c r="JX15" s="32">
        <v>20.65</v>
      </c>
      <c r="JY15" s="33">
        <v>6.41</v>
      </c>
      <c r="JZ15" s="33"/>
      <c r="KA15" s="296"/>
      <c r="KB15" s="298">
        <f t="shared" si="55"/>
        <v>27.06</v>
      </c>
      <c r="KC15" s="32">
        <v>18.420000000000002</v>
      </c>
      <c r="KD15" s="33">
        <v>7.91</v>
      </c>
      <c r="KE15" s="33"/>
      <c r="KF15" s="296"/>
      <c r="KG15" s="298">
        <f t="shared" si="56"/>
        <v>26.330000000000002</v>
      </c>
      <c r="KH15" s="32">
        <v>16.630000000000003</v>
      </c>
      <c r="KI15" s="33">
        <v>15.120000000000001</v>
      </c>
      <c r="KJ15" s="33">
        <v>0</v>
      </c>
      <c r="KK15" s="296">
        <v>0</v>
      </c>
      <c r="KL15" s="298">
        <f t="shared" si="57"/>
        <v>31.750000000000004</v>
      </c>
      <c r="KM15" s="32">
        <v>25.9</v>
      </c>
      <c r="KN15" s="33">
        <v>0</v>
      </c>
      <c r="KO15" s="33">
        <v>0</v>
      </c>
      <c r="KP15" s="296">
        <v>0</v>
      </c>
      <c r="KQ15" s="298">
        <f t="shared" si="58"/>
        <v>25.9</v>
      </c>
      <c r="KR15" s="32">
        <v>22.37</v>
      </c>
      <c r="KS15" s="33">
        <v>19.55</v>
      </c>
      <c r="KT15" s="33">
        <v>0</v>
      </c>
      <c r="KU15" s="296">
        <v>0</v>
      </c>
      <c r="KV15" s="298">
        <f t="shared" si="59"/>
        <v>41.92</v>
      </c>
      <c r="KW15" s="32">
        <v>19.149999999999999</v>
      </c>
      <c r="KX15" s="33">
        <v>0</v>
      </c>
      <c r="KY15" s="33">
        <v>0</v>
      </c>
      <c r="KZ15" s="296">
        <v>0</v>
      </c>
      <c r="LA15" s="298">
        <f t="shared" si="8"/>
        <v>19.149999999999999</v>
      </c>
      <c r="LB15" s="455">
        <f t="shared" si="60"/>
        <v>334.61</v>
      </c>
      <c r="LC15" s="32">
        <f t="shared" si="9"/>
        <v>24.72</v>
      </c>
      <c r="LD15" s="33">
        <f t="shared" si="10"/>
        <v>0</v>
      </c>
      <c r="LE15" s="33">
        <f t="shared" si="11"/>
        <v>0</v>
      </c>
      <c r="LF15" s="296">
        <f t="shared" si="12"/>
        <v>0</v>
      </c>
      <c r="LG15" s="298">
        <f t="shared" si="13"/>
        <v>24.72</v>
      </c>
      <c r="LH15" s="32"/>
      <c r="LI15" s="33"/>
      <c r="LJ15" s="33"/>
      <c r="LK15" s="296"/>
      <c r="LL15" s="298">
        <f t="shared" si="61"/>
        <v>0</v>
      </c>
      <c r="LM15" s="32"/>
      <c r="LN15" s="33"/>
      <c r="LO15" s="33"/>
      <c r="LP15" s="296"/>
      <c r="LQ15" s="298">
        <f t="shared" si="62"/>
        <v>0</v>
      </c>
      <c r="LR15" s="32"/>
      <c r="LS15" s="33"/>
      <c r="LT15" s="33"/>
      <c r="LU15" s="296"/>
      <c r="LV15" s="298">
        <f t="shared" si="63"/>
        <v>0</v>
      </c>
      <c r="LW15" s="32"/>
      <c r="LX15" s="33"/>
      <c r="LY15" s="33"/>
      <c r="LZ15" s="296"/>
      <c r="MA15" s="298">
        <f t="shared" si="64"/>
        <v>0</v>
      </c>
      <c r="MB15" s="32"/>
      <c r="MC15" s="33"/>
      <c r="MD15" s="33"/>
      <c r="ME15" s="296"/>
      <c r="MF15" s="298">
        <f t="shared" si="65"/>
        <v>0</v>
      </c>
      <c r="MG15" s="32"/>
      <c r="MH15" s="33"/>
      <c r="MI15" s="33"/>
      <c r="MJ15" s="296"/>
      <c r="MK15" s="298">
        <f t="shared" si="66"/>
        <v>0</v>
      </c>
      <c r="ML15" s="32"/>
      <c r="MM15" s="33"/>
      <c r="MN15" s="33"/>
      <c r="MO15" s="296"/>
      <c r="MP15" s="298">
        <f t="shared" si="67"/>
        <v>0</v>
      </c>
      <c r="MQ15" s="32"/>
      <c r="MR15" s="33"/>
      <c r="MS15" s="33"/>
      <c r="MT15" s="296"/>
      <c r="MU15" s="298">
        <f t="shared" si="68"/>
        <v>0</v>
      </c>
      <c r="MV15" s="32"/>
      <c r="MW15" s="33"/>
      <c r="MX15" s="33"/>
      <c r="MY15" s="296"/>
      <c r="MZ15" s="298">
        <f t="shared" si="69"/>
        <v>0</v>
      </c>
      <c r="NA15" s="32"/>
      <c r="NB15" s="33"/>
      <c r="NC15" s="33"/>
      <c r="ND15" s="296"/>
      <c r="NE15" s="298">
        <f t="shared" si="70"/>
        <v>0</v>
      </c>
      <c r="NF15" s="32"/>
      <c r="NG15" s="33"/>
      <c r="NH15" s="33"/>
      <c r="NI15" s="296"/>
      <c r="NJ15" s="298">
        <f t="shared" si="14"/>
        <v>0</v>
      </c>
      <c r="NK15" s="455">
        <f t="shared" si="71"/>
        <v>24.72</v>
      </c>
    </row>
    <row r="16" spans="1:375" ht="15.75" x14ac:dyDescent="0.25">
      <c r="A16" s="281"/>
      <c r="B16" s="282">
        <v>8</v>
      </c>
      <c r="C16" s="283">
        <v>61.6</v>
      </c>
      <c r="D16" s="284">
        <v>67.22</v>
      </c>
      <c r="E16" s="285"/>
      <c r="F16" s="286"/>
      <c r="G16" s="287"/>
      <c r="H16" s="288">
        <f t="shared" si="15"/>
        <v>67.22</v>
      </c>
      <c r="I16" s="289">
        <v>88.42</v>
      </c>
      <c r="J16" s="290"/>
      <c r="K16" s="290"/>
      <c r="L16" s="291"/>
      <c r="M16" s="256">
        <f t="shared" si="16"/>
        <v>88.42</v>
      </c>
      <c r="N16" s="289">
        <v>50.95</v>
      </c>
      <c r="O16" s="290"/>
      <c r="P16" s="290"/>
      <c r="Q16" s="291"/>
      <c r="R16" s="256">
        <f t="shared" si="0"/>
        <v>50.95</v>
      </c>
      <c r="S16" s="289">
        <v>31.16</v>
      </c>
      <c r="T16" s="290"/>
      <c r="U16" s="290"/>
      <c r="V16" s="291"/>
      <c r="W16" s="256">
        <f t="shared" si="1"/>
        <v>31.16</v>
      </c>
      <c r="X16" s="289">
        <v>39</v>
      </c>
      <c r="Y16" s="290">
        <v>50.56</v>
      </c>
      <c r="Z16" s="290"/>
      <c r="AA16" s="291"/>
      <c r="AB16" s="256">
        <f t="shared" si="17"/>
        <v>89.56</v>
      </c>
      <c r="AC16" s="292">
        <v>58.46</v>
      </c>
      <c r="AD16" s="293"/>
      <c r="AE16" s="293"/>
      <c r="AF16" s="294"/>
      <c r="AG16" s="260">
        <f t="shared" si="18"/>
        <v>58.46</v>
      </c>
      <c r="AH16" s="292">
        <v>31.99</v>
      </c>
      <c r="AI16" s="293">
        <v>33.479999999999997</v>
      </c>
      <c r="AJ16" s="293"/>
      <c r="AK16" s="294"/>
      <c r="AL16" s="295">
        <f t="shared" si="72"/>
        <v>65.47</v>
      </c>
      <c r="AM16" s="32">
        <v>52.72</v>
      </c>
      <c r="AN16" s="33">
        <v>10.06</v>
      </c>
      <c r="AO16" s="33"/>
      <c r="AP16" s="296"/>
      <c r="AQ16" s="297">
        <f t="shared" si="73"/>
        <v>62.78</v>
      </c>
      <c r="AR16" s="32">
        <v>28.42</v>
      </c>
      <c r="AS16" s="33">
        <v>40.85</v>
      </c>
      <c r="AT16" s="33">
        <v>40.82</v>
      </c>
      <c r="AU16" s="296"/>
      <c r="AV16" s="298">
        <f t="shared" si="74"/>
        <v>110.09</v>
      </c>
      <c r="AW16" s="32">
        <v>54.64</v>
      </c>
      <c r="AX16" s="33"/>
      <c r="AY16" s="33"/>
      <c r="AZ16" s="296"/>
      <c r="BA16" s="298">
        <f t="shared" si="75"/>
        <v>54.64</v>
      </c>
      <c r="BB16" s="32">
        <f>71.6+2.73</f>
        <v>74.33</v>
      </c>
      <c r="BC16" s="33">
        <v>21.24</v>
      </c>
      <c r="BD16" s="33"/>
      <c r="BE16" s="296"/>
      <c r="BF16" s="298">
        <f t="shared" si="81"/>
        <v>95.57</v>
      </c>
      <c r="BG16" s="32">
        <f>65.61+4.6</f>
        <v>70.209999999999994</v>
      </c>
      <c r="BH16" s="33">
        <v>53.26</v>
      </c>
      <c r="BI16" s="33"/>
      <c r="BJ16" s="299"/>
      <c r="BK16" s="298">
        <f t="shared" si="76"/>
        <v>123.47</v>
      </c>
      <c r="BL16" s="32">
        <v>87.27</v>
      </c>
      <c r="BM16" s="33">
        <v>7.89</v>
      </c>
      <c r="BN16" s="33">
        <v>34.49</v>
      </c>
      <c r="BO16" s="299"/>
      <c r="BP16" s="297">
        <f t="shared" si="77"/>
        <v>129.65</v>
      </c>
      <c r="BQ16" s="455">
        <f t="shared" si="2"/>
        <v>960.21999999999991</v>
      </c>
      <c r="BR16" s="32">
        <v>33.03</v>
      </c>
      <c r="BS16" s="43">
        <v>17.73</v>
      </c>
      <c r="BT16" s="43"/>
      <c r="BU16" s="781"/>
      <c r="BV16" s="782">
        <f t="shared" si="19"/>
        <v>50.760000000000005</v>
      </c>
      <c r="BW16" s="783">
        <v>18.329999999999998</v>
      </c>
      <c r="BX16" s="43">
        <v>16.59</v>
      </c>
      <c r="BY16" s="43"/>
      <c r="BZ16" s="781"/>
      <c r="CA16" s="784">
        <f t="shared" si="20"/>
        <v>34.92</v>
      </c>
      <c r="CB16" s="785">
        <v>20.95</v>
      </c>
      <c r="CC16" s="786">
        <v>16.47</v>
      </c>
      <c r="CD16" s="786">
        <v>17.05</v>
      </c>
      <c r="CE16" s="787"/>
      <c r="CF16" s="788">
        <f t="shared" si="78"/>
        <v>54.47</v>
      </c>
      <c r="CG16" s="785">
        <v>29.22</v>
      </c>
      <c r="CH16" s="786">
        <v>28.2</v>
      </c>
      <c r="CI16" s="786"/>
      <c r="CJ16" s="787"/>
      <c r="CK16" s="788">
        <f t="shared" si="79"/>
        <v>57.42</v>
      </c>
      <c r="CL16" s="785">
        <v>28.76</v>
      </c>
      <c r="CM16" s="786">
        <v>23.12</v>
      </c>
      <c r="CN16" s="786"/>
      <c r="CO16" s="787"/>
      <c r="CP16" s="788">
        <f t="shared" si="80"/>
        <v>51.88</v>
      </c>
      <c r="CQ16" s="789">
        <v>18.559999999999999</v>
      </c>
      <c r="CR16" s="367">
        <v>24.3</v>
      </c>
      <c r="CS16" s="367"/>
      <c r="CT16" s="790"/>
      <c r="CU16" s="791">
        <v>42.86</v>
      </c>
      <c r="CV16" s="789">
        <v>30.58</v>
      </c>
      <c r="CW16" s="367">
        <v>37.450000000000003</v>
      </c>
      <c r="CX16" s="367"/>
      <c r="CY16" s="790"/>
      <c r="CZ16" s="791">
        <f t="shared" si="3"/>
        <v>68.03</v>
      </c>
      <c r="DA16" s="789">
        <v>10.29</v>
      </c>
      <c r="DB16" s="367">
        <v>62.17</v>
      </c>
      <c r="DC16" s="367"/>
      <c r="DD16" s="790"/>
      <c r="DE16" s="791">
        <f t="shared" si="4"/>
        <v>72.460000000000008</v>
      </c>
      <c r="DF16" s="789">
        <v>78.78</v>
      </c>
      <c r="DG16" s="367"/>
      <c r="DH16" s="367"/>
      <c r="DI16" s="790"/>
      <c r="DJ16" s="791">
        <f t="shared" si="5"/>
        <v>78.78</v>
      </c>
      <c r="DK16" s="789">
        <v>118.71</v>
      </c>
      <c r="DL16" s="367"/>
      <c r="DM16" s="367"/>
      <c r="DN16" s="790"/>
      <c r="DO16" s="791">
        <f t="shared" si="21"/>
        <v>118.71</v>
      </c>
      <c r="DP16" s="789">
        <v>111.62</v>
      </c>
      <c r="DQ16" s="367"/>
      <c r="DR16" s="367"/>
      <c r="DS16" s="790"/>
      <c r="DT16" s="791">
        <f t="shared" si="22"/>
        <v>111.62</v>
      </c>
      <c r="DU16" s="789">
        <v>70.260000000000005</v>
      </c>
      <c r="DV16" s="367"/>
      <c r="DW16" s="367"/>
      <c r="DX16" s="790"/>
      <c r="DY16" s="791">
        <f t="shared" si="23"/>
        <v>70.260000000000005</v>
      </c>
      <c r="DZ16" s="455">
        <f t="shared" si="6"/>
        <v>812.17000000000007</v>
      </c>
      <c r="EA16" s="789">
        <v>56.21</v>
      </c>
      <c r="EB16" s="367">
        <v>12.42</v>
      </c>
      <c r="EC16" s="367"/>
      <c r="ED16" s="790"/>
      <c r="EE16" s="791">
        <f t="shared" si="24"/>
        <v>68.63</v>
      </c>
      <c r="EF16" s="789">
        <v>53.54</v>
      </c>
      <c r="EG16" s="367"/>
      <c r="EH16" s="367"/>
      <c r="EI16" s="790"/>
      <c r="EJ16" s="791">
        <f t="shared" si="25"/>
        <v>53.54</v>
      </c>
      <c r="EK16" s="789">
        <v>27.15</v>
      </c>
      <c r="EL16" s="367">
        <v>43.61</v>
      </c>
      <c r="EM16" s="367"/>
      <c r="EN16" s="790"/>
      <c r="EO16" s="791">
        <f t="shared" si="26"/>
        <v>70.759999999999991</v>
      </c>
      <c r="EP16" s="789">
        <v>55.5</v>
      </c>
      <c r="EQ16" s="367"/>
      <c r="ER16" s="367"/>
      <c r="ES16" s="790"/>
      <c r="ET16" s="791">
        <f t="shared" si="27"/>
        <v>55.5</v>
      </c>
      <c r="EU16" s="789">
        <v>42.9</v>
      </c>
      <c r="EV16" s="367">
        <v>20.04</v>
      </c>
      <c r="EW16" s="367"/>
      <c r="EX16" s="790"/>
      <c r="EY16" s="791">
        <f t="shared" si="28"/>
        <v>62.94</v>
      </c>
      <c r="EZ16" s="789">
        <v>34.17</v>
      </c>
      <c r="FA16" s="367">
        <v>27.99</v>
      </c>
      <c r="FB16" s="367"/>
      <c r="FC16" s="790"/>
      <c r="FD16" s="791">
        <f t="shared" si="29"/>
        <v>62.16</v>
      </c>
      <c r="FE16" s="789">
        <v>20.07</v>
      </c>
      <c r="FF16" s="367">
        <v>34.979999999999997</v>
      </c>
      <c r="FG16" s="367">
        <v>7.56</v>
      </c>
      <c r="FH16" s="790"/>
      <c r="FI16" s="791">
        <f t="shared" si="30"/>
        <v>62.61</v>
      </c>
      <c r="FJ16" s="789">
        <v>32.11</v>
      </c>
      <c r="FK16" s="367">
        <v>73.739999999999995</v>
      </c>
      <c r="FL16" s="367"/>
      <c r="FM16" s="790"/>
      <c r="FN16" s="791">
        <f t="shared" si="31"/>
        <v>105.85</v>
      </c>
      <c r="FO16" s="789">
        <v>41.92</v>
      </c>
      <c r="FP16" s="367">
        <v>12.33</v>
      </c>
      <c r="FQ16" s="367"/>
      <c r="FR16" s="790"/>
      <c r="FS16" s="791">
        <f t="shared" si="32"/>
        <v>54.25</v>
      </c>
      <c r="FT16" s="789">
        <v>94.95</v>
      </c>
      <c r="FU16" s="810"/>
      <c r="FV16" s="367"/>
      <c r="FW16" s="790"/>
      <c r="FX16" s="791">
        <f t="shared" si="33"/>
        <v>94.95</v>
      </c>
      <c r="FY16" s="789">
        <v>43.86</v>
      </c>
      <c r="FZ16" s="367">
        <v>31.4</v>
      </c>
      <c r="GA16" s="367"/>
      <c r="GB16" s="790"/>
      <c r="GC16" s="791">
        <f t="shared" si="34"/>
        <v>75.259999999999991</v>
      </c>
      <c r="GD16" s="789">
        <v>50.53</v>
      </c>
      <c r="GE16" s="367">
        <v>46.45</v>
      </c>
      <c r="GF16" s="367"/>
      <c r="GG16" s="790"/>
      <c r="GH16" s="791">
        <f t="shared" si="35"/>
        <v>96.98</v>
      </c>
      <c r="GI16" s="455">
        <f t="shared" si="7"/>
        <v>863.43000000000006</v>
      </c>
      <c r="GJ16" s="302">
        <v>42.77</v>
      </c>
      <c r="GK16" s="303">
        <v>18.39</v>
      </c>
      <c r="GL16" s="303"/>
      <c r="GM16" s="304"/>
      <c r="GN16" s="305">
        <f t="shared" si="36"/>
        <v>61.160000000000004</v>
      </c>
      <c r="GO16" s="302">
        <v>32.46</v>
      </c>
      <c r="GP16" s="303">
        <v>20.34</v>
      </c>
      <c r="GQ16" s="303"/>
      <c r="GR16" s="304"/>
      <c r="GS16" s="305">
        <f t="shared" si="37"/>
        <v>52.8</v>
      </c>
      <c r="GT16" s="302">
        <v>22.63</v>
      </c>
      <c r="GU16" s="303">
        <v>19.03</v>
      </c>
      <c r="GV16" s="303"/>
      <c r="GW16" s="304"/>
      <c r="GX16" s="305">
        <f t="shared" si="38"/>
        <v>41.66</v>
      </c>
      <c r="GY16" s="302">
        <v>31.29</v>
      </c>
      <c r="GZ16" s="303">
        <v>7.84</v>
      </c>
      <c r="HA16" s="303"/>
      <c r="HB16" s="304"/>
      <c r="HC16" s="305">
        <f t="shared" si="39"/>
        <v>39.129999999999995</v>
      </c>
      <c r="HD16" s="302">
        <v>26.15</v>
      </c>
      <c r="HE16" s="303">
        <v>30.05</v>
      </c>
      <c r="HF16" s="303">
        <v>16.28</v>
      </c>
      <c r="HG16" s="304"/>
      <c r="HH16" s="305">
        <f t="shared" si="40"/>
        <v>72.48</v>
      </c>
      <c r="HI16" s="302">
        <v>18.05</v>
      </c>
      <c r="HJ16" s="303">
        <v>23.72</v>
      </c>
      <c r="HK16" s="303"/>
      <c r="HL16" s="304"/>
      <c r="HM16" s="305">
        <f t="shared" si="41"/>
        <v>41.769999999999996</v>
      </c>
      <c r="HN16" s="302">
        <v>24.42</v>
      </c>
      <c r="HO16" s="303">
        <v>20.18</v>
      </c>
      <c r="HP16" s="303">
        <v>8.36</v>
      </c>
      <c r="HQ16" s="304"/>
      <c r="HR16" s="305">
        <f t="shared" si="42"/>
        <v>52.96</v>
      </c>
      <c r="HS16" s="302">
        <v>17.82</v>
      </c>
      <c r="HT16" s="303">
        <v>37.83</v>
      </c>
      <c r="HU16" s="303">
        <v>58.75</v>
      </c>
      <c r="HV16" s="304"/>
      <c r="HW16" s="305">
        <f t="shared" si="43"/>
        <v>114.4</v>
      </c>
      <c r="HX16" s="302">
        <v>78.790000000000006</v>
      </c>
      <c r="HY16" s="308"/>
      <c r="HZ16" s="303"/>
      <c r="IA16" s="304"/>
      <c r="IB16" s="305">
        <f t="shared" si="44"/>
        <v>78.790000000000006</v>
      </c>
      <c r="IC16" s="302">
        <f>91.53+3.11</f>
        <v>94.64</v>
      </c>
      <c r="ID16" s="308"/>
      <c r="IE16" s="303"/>
      <c r="IF16" s="304"/>
      <c r="IG16" s="305">
        <f t="shared" si="45"/>
        <v>94.64</v>
      </c>
      <c r="IH16" s="61">
        <f>83.29+3.2</f>
        <v>86.490000000000009</v>
      </c>
      <c r="II16" s="62">
        <v>64.989999999999995</v>
      </c>
      <c r="IJ16" s="62"/>
      <c r="IK16" s="301"/>
      <c r="IL16" s="300">
        <f t="shared" si="46"/>
        <v>151.48000000000002</v>
      </c>
      <c r="IM16" s="61">
        <v>61.18</v>
      </c>
      <c r="IN16" s="62">
        <v>61.97</v>
      </c>
      <c r="IO16" s="301"/>
      <c r="IP16" s="296"/>
      <c r="IQ16" s="442">
        <f t="shared" si="47"/>
        <v>123.15</v>
      </c>
      <c r="IR16" s="442"/>
      <c r="IS16" s="455">
        <f t="shared" si="48"/>
        <v>924.42</v>
      </c>
      <c r="IT16" s="449">
        <v>44.66</v>
      </c>
      <c r="IU16" s="309"/>
      <c r="IV16" s="33"/>
      <c r="IW16" s="296"/>
      <c r="IX16" s="298">
        <f t="shared" si="49"/>
        <v>44.66</v>
      </c>
      <c r="IY16" s="32">
        <v>57.38</v>
      </c>
      <c r="IZ16" s="33">
        <v>39.22</v>
      </c>
      <c r="JA16" s="33"/>
      <c r="JB16" s="296"/>
      <c r="JC16" s="298">
        <f t="shared" si="50"/>
        <v>96.6</v>
      </c>
      <c r="JD16" s="32">
        <v>33.08</v>
      </c>
      <c r="JE16" s="33">
        <v>26.12</v>
      </c>
      <c r="JF16" s="33"/>
      <c r="JG16" s="296"/>
      <c r="JH16" s="298">
        <f t="shared" si="51"/>
        <v>59.2</v>
      </c>
      <c r="JI16" s="32">
        <v>61.53</v>
      </c>
      <c r="JJ16" s="33">
        <v>17.5</v>
      </c>
      <c r="JK16" s="33"/>
      <c r="JL16" s="296"/>
      <c r="JM16" s="298">
        <f t="shared" si="52"/>
        <v>79.03</v>
      </c>
      <c r="JN16" s="32">
        <v>14.91</v>
      </c>
      <c r="JO16" s="33">
        <v>34.14</v>
      </c>
      <c r="JP16" s="33">
        <v>14.68</v>
      </c>
      <c r="JQ16" s="296"/>
      <c r="JR16" s="298">
        <f t="shared" si="53"/>
        <v>63.73</v>
      </c>
      <c r="JS16" s="32">
        <v>14.65</v>
      </c>
      <c r="JT16" s="33">
        <v>23.41</v>
      </c>
      <c r="JU16" s="33">
        <v>20.48</v>
      </c>
      <c r="JV16" s="296"/>
      <c r="JW16" s="298">
        <f t="shared" si="54"/>
        <v>58.540000000000006</v>
      </c>
      <c r="JX16" s="32">
        <v>25.36</v>
      </c>
      <c r="JY16" s="33">
        <v>21.55</v>
      </c>
      <c r="JZ16" s="33">
        <v>9.16</v>
      </c>
      <c r="KA16" s="296"/>
      <c r="KB16" s="298">
        <f t="shared" si="55"/>
        <v>56.069999999999993</v>
      </c>
      <c r="KC16" s="32">
        <v>7.76</v>
      </c>
      <c r="KD16" s="33">
        <v>31.86</v>
      </c>
      <c r="KE16" s="33">
        <v>29.19</v>
      </c>
      <c r="KF16" s="296"/>
      <c r="KG16" s="298">
        <f t="shared" si="56"/>
        <v>68.81</v>
      </c>
      <c r="KH16" s="32">
        <v>36.22</v>
      </c>
      <c r="KI16" s="33">
        <v>45.540000000000006</v>
      </c>
      <c r="KJ16" s="33">
        <v>0</v>
      </c>
      <c r="KK16" s="296">
        <v>0</v>
      </c>
      <c r="KL16" s="298">
        <f t="shared" si="57"/>
        <v>81.760000000000005</v>
      </c>
      <c r="KM16" s="32">
        <v>37.410000000000004</v>
      </c>
      <c r="KN16" s="33">
        <v>71.929999999999993</v>
      </c>
      <c r="KO16" s="33">
        <v>0</v>
      </c>
      <c r="KP16" s="296">
        <v>0</v>
      </c>
      <c r="KQ16" s="298">
        <f t="shared" si="58"/>
        <v>109.34</v>
      </c>
      <c r="KR16" s="32">
        <v>62.94</v>
      </c>
      <c r="KS16" s="33">
        <v>58.5</v>
      </c>
      <c r="KT16" s="33">
        <v>0</v>
      </c>
      <c r="KU16" s="296">
        <v>0</v>
      </c>
      <c r="KV16" s="298">
        <f t="shared" si="59"/>
        <v>121.44</v>
      </c>
      <c r="KW16" s="32">
        <v>59.31</v>
      </c>
      <c r="KX16" s="33">
        <v>7.63</v>
      </c>
      <c r="KY16" s="33">
        <v>0</v>
      </c>
      <c r="KZ16" s="296">
        <v>0</v>
      </c>
      <c r="LA16" s="298">
        <f t="shared" si="8"/>
        <v>66.94</v>
      </c>
      <c r="LB16" s="455">
        <f t="shared" si="60"/>
        <v>906.12000000000012</v>
      </c>
      <c r="LC16" s="32">
        <f t="shared" si="9"/>
        <v>43.65</v>
      </c>
      <c r="LD16" s="33">
        <f t="shared" si="10"/>
        <v>36.49</v>
      </c>
      <c r="LE16" s="33">
        <f t="shared" si="11"/>
        <v>9.36</v>
      </c>
      <c r="LF16" s="296">
        <f t="shared" si="12"/>
        <v>0</v>
      </c>
      <c r="LG16" s="298">
        <f t="shared" si="13"/>
        <v>89.5</v>
      </c>
      <c r="LH16" s="32"/>
      <c r="LI16" s="33"/>
      <c r="LJ16" s="33"/>
      <c r="LK16" s="296"/>
      <c r="LL16" s="298">
        <f t="shared" si="61"/>
        <v>0</v>
      </c>
      <c r="LM16" s="32"/>
      <c r="LN16" s="33"/>
      <c r="LO16" s="33"/>
      <c r="LP16" s="296"/>
      <c r="LQ16" s="298">
        <f t="shared" si="62"/>
        <v>0</v>
      </c>
      <c r="LR16" s="32"/>
      <c r="LS16" s="33"/>
      <c r="LT16" s="33"/>
      <c r="LU16" s="296"/>
      <c r="LV16" s="298">
        <f t="shared" si="63"/>
        <v>0</v>
      </c>
      <c r="LW16" s="32"/>
      <c r="LX16" s="33"/>
      <c r="LY16" s="33"/>
      <c r="LZ16" s="296"/>
      <c r="MA16" s="298">
        <f t="shared" si="64"/>
        <v>0</v>
      </c>
      <c r="MB16" s="32"/>
      <c r="MC16" s="33"/>
      <c r="MD16" s="33"/>
      <c r="ME16" s="296"/>
      <c r="MF16" s="298">
        <f t="shared" si="65"/>
        <v>0</v>
      </c>
      <c r="MG16" s="32"/>
      <c r="MH16" s="33"/>
      <c r="MI16" s="33"/>
      <c r="MJ16" s="296"/>
      <c r="MK16" s="298">
        <f t="shared" si="66"/>
        <v>0</v>
      </c>
      <c r="ML16" s="32"/>
      <c r="MM16" s="33"/>
      <c r="MN16" s="33"/>
      <c r="MO16" s="296"/>
      <c r="MP16" s="298">
        <f t="shared" si="67"/>
        <v>0</v>
      </c>
      <c r="MQ16" s="32"/>
      <c r="MR16" s="33"/>
      <c r="MS16" s="33"/>
      <c r="MT16" s="296"/>
      <c r="MU16" s="298">
        <f t="shared" si="68"/>
        <v>0</v>
      </c>
      <c r="MV16" s="32"/>
      <c r="MW16" s="33"/>
      <c r="MX16" s="33"/>
      <c r="MY16" s="296"/>
      <c r="MZ16" s="298">
        <f t="shared" si="69"/>
        <v>0</v>
      </c>
      <c r="NA16" s="32"/>
      <c r="NB16" s="33"/>
      <c r="NC16" s="33"/>
      <c r="ND16" s="296"/>
      <c r="NE16" s="298">
        <f t="shared" si="70"/>
        <v>0</v>
      </c>
      <c r="NF16" s="32"/>
      <c r="NG16" s="33"/>
      <c r="NH16" s="33"/>
      <c r="NI16" s="296"/>
      <c r="NJ16" s="298">
        <f t="shared" si="14"/>
        <v>0</v>
      </c>
      <c r="NK16" s="455">
        <f t="shared" si="71"/>
        <v>89.5</v>
      </c>
    </row>
    <row r="17" spans="1:375" ht="15.75" x14ac:dyDescent="0.25">
      <c r="A17" s="281"/>
      <c r="B17" s="282">
        <v>9</v>
      </c>
      <c r="C17" s="283">
        <v>38.299999999999997</v>
      </c>
      <c r="D17" s="284">
        <v>45.17</v>
      </c>
      <c r="E17" s="285"/>
      <c r="F17" s="286"/>
      <c r="G17" s="287"/>
      <c r="H17" s="288">
        <f t="shared" si="15"/>
        <v>45.17</v>
      </c>
      <c r="I17" s="289">
        <v>39.4</v>
      </c>
      <c r="J17" s="290"/>
      <c r="K17" s="290"/>
      <c r="L17" s="291"/>
      <c r="M17" s="256">
        <f t="shared" si="16"/>
        <v>39.4</v>
      </c>
      <c r="N17" s="289">
        <v>27.71</v>
      </c>
      <c r="O17" s="290"/>
      <c r="P17" s="290"/>
      <c r="Q17" s="291"/>
      <c r="R17" s="256">
        <f t="shared" si="0"/>
        <v>27.71</v>
      </c>
      <c r="S17" s="289">
        <v>21.49</v>
      </c>
      <c r="T17" s="290"/>
      <c r="U17" s="290"/>
      <c r="V17" s="291"/>
      <c r="W17" s="256">
        <f t="shared" si="1"/>
        <v>21.49</v>
      </c>
      <c r="X17" s="289">
        <v>26.33</v>
      </c>
      <c r="Y17" s="290">
        <v>28.6</v>
      </c>
      <c r="Z17" s="290"/>
      <c r="AA17" s="291"/>
      <c r="AB17" s="256">
        <f t="shared" si="17"/>
        <v>54.93</v>
      </c>
      <c r="AC17" s="292">
        <v>31.47</v>
      </c>
      <c r="AD17" s="293"/>
      <c r="AE17" s="293"/>
      <c r="AF17" s="294"/>
      <c r="AG17" s="260">
        <f t="shared" si="18"/>
        <v>31.47</v>
      </c>
      <c r="AH17" s="292">
        <v>18.13</v>
      </c>
      <c r="AI17" s="293">
        <v>27.64</v>
      </c>
      <c r="AJ17" s="293"/>
      <c r="AK17" s="294"/>
      <c r="AL17" s="295">
        <f t="shared" si="72"/>
        <v>45.769999999999996</v>
      </c>
      <c r="AM17" s="32">
        <v>40.99</v>
      </c>
      <c r="AN17" s="33"/>
      <c r="AO17" s="33"/>
      <c r="AP17" s="296"/>
      <c r="AQ17" s="297">
        <f t="shared" si="73"/>
        <v>40.99</v>
      </c>
      <c r="AR17" s="32">
        <v>38.409999999999997</v>
      </c>
      <c r="AS17" s="33">
        <v>36.64</v>
      </c>
      <c r="AT17" s="33"/>
      <c r="AU17" s="296"/>
      <c r="AV17" s="298">
        <f t="shared" si="74"/>
        <v>75.05</v>
      </c>
      <c r="AW17" s="32">
        <v>27.49</v>
      </c>
      <c r="AX17" s="33">
        <v>48.83</v>
      </c>
      <c r="AY17" s="33"/>
      <c r="AZ17" s="296"/>
      <c r="BA17" s="298">
        <f t="shared" si="75"/>
        <v>76.319999999999993</v>
      </c>
      <c r="BB17" s="32">
        <f>40.57+0.9</f>
        <v>41.47</v>
      </c>
      <c r="BC17" s="33">
        <v>43.62</v>
      </c>
      <c r="BD17" s="33"/>
      <c r="BE17" s="296"/>
      <c r="BF17" s="298">
        <f t="shared" si="81"/>
        <v>85.09</v>
      </c>
      <c r="BG17" s="32">
        <f>43.99+1.96</f>
        <v>45.95</v>
      </c>
      <c r="BH17" s="33">
        <v>40.049999999999997</v>
      </c>
      <c r="BI17" s="33"/>
      <c r="BJ17" s="299"/>
      <c r="BK17" s="298">
        <f t="shared" si="76"/>
        <v>86</v>
      </c>
      <c r="BL17" s="32">
        <f>38.08+2.21</f>
        <v>40.29</v>
      </c>
      <c r="BM17" s="33">
        <v>23.09</v>
      </c>
      <c r="BN17" s="33"/>
      <c r="BO17" s="299"/>
      <c r="BP17" s="297">
        <f t="shared" si="77"/>
        <v>63.379999999999995</v>
      </c>
      <c r="BQ17" s="455">
        <f t="shared" si="2"/>
        <v>647.6</v>
      </c>
      <c r="BR17" s="32">
        <v>15.76</v>
      </c>
      <c r="BS17" s="43">
        <v>11.62</v>
      </c>
      <c r="BT17" s="43"/>
      <c r="BU17" s="781"/>
      <c r="BV17" s="782">
        <f t="shared" si="19"/>
        <v>27.38</v>
      </c>
      <c r="BW17" s="783">
        <v>8.0299999999999994</v>
      </c>
      <c r="BX17" s="43">
        <v>8.4600000000000009</v>
      </c>
      <c r="BY17" s="43">
        <v>8.7799999999999994</v>
      </c>
      <c r="BZ17" s="781"/>
      <c r="CA17" s="784">
        <f t="shared" si="20"/>
        <v>25.270000000000003</v>
      </c>
      <c r="CB17" s="785">
        <v>9.58</v>
      </c>
      <c r="CC17" s="786">
        <v>10.050000000000001</v>
      </c>
      <c r="CD17" s="786"/>
      <c r="CE17" s="787"/>
      <c r="CF17" s="788">
        <f t="shared" si="78"/>
        <v>19.630000000000003</v>
      </c>
      <c r="CG17" s="785">
        <v>24.76</v>
      </c>
      <c r="CH17" s="786">
        <v>11.9</v>
      </c>
      <c r="CI17" s="786">
        <v>4.0199999999999996</v>
      </c>
      <c r="CJ17" s="787"/>
      <c r="CK17" s="788">
        <f t="shared" si="79"/>
        <v>40.680000000000007</v>
      </c>
      <c r="CL17" s="785">
        <v>16.309999999999999</v>
      </c>
      <c r="CM17" s="786">
        <v>16.260000000000002</v>
      </c>
      <c r="CN17" s="786"/>
      <c r="CO17" s="787"/>
      <c r="CP17" s="788">
        <f t="shared" si="80"/>
        <v>32.57</v>
      </c>
      <c r="CQ17" s="789">
        <v>7.81</v>
      </c>
      <c r="CR17" s="367">
        <v>12.46</v>
      </c>
      <c r="CS17" s="367"/>
      <c r="CT17" s="790"/>
      <c r="CU17" s="791">
        <v>20.27</v>
      </c>
      <c r="CV17" s="789">
        <v>18.43</v>
      </c>
      <c r="CW17" s="367"/>
      <c r="CX17" s="367"/>
      <c r="CY17" s="790"/>
      <c r="CZ17" s="791">
        <f t="shared" si="3"/>
        <v>18.43</v>
      </c>
      <c r="DA17" s="789">
        <v>39.090000000000003</v>
      </c>
      <c r="DB17" s="367">
        <v>36.43</v>
      </c>
      <c r="DC17" s="367"/>
      <c r="DD17" s="790"/>
      <c r="DE17" s="791">
        <f t="shared" si="4"/>
        <v>75.52000000000001</v>
      </c>
      <c r="DF17" s="789">
        <v>12.53</v>
      </c>
      <c r="DG17" s="367">
        <v>51.49</v>
      </c>
      <c r="DH17" s="367"/>
      <c r="DI17" s="790"/>
      <c r="DJ17" s="791">
        <f t="shared" si="5"/>
        <v>64.02</v>
      </c>
      <c r="DK17" s="789">
        <v>72.98</v>
      </c>
      <c r="DL17" s="367"/>
      <c r="DM17" s="367"/>
      <c r="DN17" s="790"/>
      <c r="DO17" s="791">
        <f t="shared" si="21"/>
        <v>72.98</v>
      </c>
      <c r="DP17" s="789">
        <v>43.4</v>
      </c>
      <c r="DQ17" s="367"/>
      <c r="DR17" s="367"/>
      <c r="DS17" s="790"/>
      <c r="DT17" s="791">
        <f t="shared" si="22"/>
        <v>43.4</v>
      </c>
      <c r="DU17" s="789">
        <v>54.92</v>
      </c>
      <c r="DV17" s="367"/>
      <c r="DW17" s="367"/>
      <c r="DX17" s="790"/>
      <c r="DY17" s="791">
        <f t="shared" si="23"/>
        <v>54.92</v>
      </c>
      <c r="DZ17" s="455">
        <f t="shared" si="6"/>
        <v>495.07</v>
      </c>
      <c r="EA17" s="789">
        <v>27.94</v>
      </c>
      <c r="EB17" s="367"/>
      <c r="EC17" s="367"/>
      <c r="ED17" s="790"/>
      <c r="EE17" s="791">
        <f t="shared" si="24"/>
        <v>27.94</v>
      </c>
      <c r="EF17" s="789">
        <v>17.43</v>
      </c>
      <c r="EG17" s="367">
        <v>16.46</v>
      </c>
      <c r="EH17" s="367"/>
      <c r="EI17" s="790"/>
      <c r="EJ17" s="791">
        <f t="shared" si="25"/>
        <v>33.89</v>
      </c>
      <c r="EK17" s="789">
        <v>21.09</v>
      </c>
      <c r="EL17" s="367">
        <v>25.84</v>
      </c>
      <c r="EM17" s="367"/>
      <c r="EN17" s="790"/>
      <c r="EO17" s="791">
        <f t="shared" si="26"/>
        <v>46.93</v>
      </c>
      <c r="EP17" s="789">
        <v>38.409999999999997</v>
      </c>
      <c r="EQ17" s="367"/>
      <c r="ER17" s="367"/>
      <c r="ES17" s="790"/>
      <c r="ET17" s="791">
        <f t="shared" si="27"/>
        <v>38.409999999999997</v>
      </c>
      <c r="EU17" s="789">
        <v>20.14</v>
      </c>
      <c r="EV17" s="367">
        <v>11.77</v>
      </c>
      <c r="EW17" s="367"/>
      <c r="EX17" s="790"/>
      <c r="EY17" s="791">
        <f t="shared" si="28"/>
        <v>31.91</v>
      </c>
      <c r="EZ17" s="789">
        <v>14.49</v>
      </c>
      <c r="FA17" s="367">
        <v>18.260000000000002</v>
      </c>
      <c r="FB17" s="367"/>
      <c r="FC17" s="790"/>
      <c r="FD17" s="791">
        <f t="shared" si="29"/>
        <v>32.75</v>
      </c>
      <c r="FE17" s="789">
        <v>14.98</v>
      </c>
      <c r="FF17" s="367">
        <v>20.03</v>
      </c>
      <c r="FG17" s="367"/>
      <c r="FH17" s="790"/>
      <c r="FI17" s="791">
        <f t="shared" si="30"/>
        <v>35.010000000000005</v>
      </c>
      <c r="FJ17" s="789">
        <v>20.62</v>
      </c>
      <c r="FK17" s="367">
        <v>22.69</v>
      </c>
      <c r="FL17" s="367"/>
      <c r="FM17" s="790"/>
      <c r="FN17" s="791">
        <f t="shared" si="31"/>
        <v>43.31</v>
      </c>
      <c r="FO17" s="789">
        <v>24.08</v>
      </c>
      <c r="FP17" s="367">
        <v>24.13</v>
      </c>
      <c r="FQ17" s="367"/>
      <c r="FR17" s="790"/>
      <c r="FS17" s="791">
        <f t="shared" si="32"/>
        <v>48.209999999999994</v>
      </c>
      <c r="FT17" s="789">
        <v>33.31</v>
      </c>
      <c r="FU17" s="367">
        <v>38.090000000000003</v>
      </c>
      <c r="FV17" s="367"/>
      <c r="FW17" s="790"/>
      <c r="FX17" s="791">
        <f t="shared" si="33"/>
        <v>71.400000000000006</v>
      </c>
      <c r="FY17" s="789">
        <v>30.59</v>
      </c>
      <c r="FZ17" s="367">
        <v>19.39</v>
      </c>
      <c r="GA17" s="367"/>
      <c r="GB17" s="790"/>
      <c r="GC17" s="791">
        <f t="shared" si="34"/>
        <v>49.980000000000004</v>
      </c>
      <c r="GD17" s="789">
        <v>23.36</v>
      </c>
      <c r="GE17" s="367">
        <v>21.89</v>
      </c>
      <c r="GF17" s="367"/>
      <c r="GG17" s="790"/>
      <c r="GH17" s="791">
        <f t="shared" si="35"/>
        <v>45.25</v>
      </c>
      <c r="GI17" s="455">
        <f t="shared" si="7"/>
        <v>504.99</v>
      </c>
      <c r="GJ17" s="302">
        <v>27.43</v>
      </c>
      <c r="GK17" s="303">
        <v>10.62</v>
      </c>
      <c r="GL17" s="303"/>
      <c r="GM17" s="304"/>
      <c r="GN17" s="305">
        <f t="shared" si="36"/>
        <v>38.049999999999997</v>
      </c>
      <c r="GO17" s="302">
        <v>6.51</v>
      </c>
      <c r="GP17" s="303">
        <v>14.2</v>
      </c>
      <c r="GQ17" s="303"/>
      <c r="GR17" s="304"/>
      <c r="GS17" s="305">
        <f t="shared" si="37"/>
        <v>20.71</v>
      </c>
      <c r="GT17" s="302">
        <v>10.91</v>
      </c>
      <c r="GU17" s="303">
        <v>11.74</v>
      </c>
      <c r="GV17" s="303"/>
      <c r="GW17" s="304"/>
      <c r="GX17" s="305">
        <f t="shared" si="38"/>
        <v>22.65</v>
      </c>
      <c r="GY17" s="302">
        <v>21.23</v>
      </c>
      <c r="GZ17" s="310"/>
      <c r="HA17" s="303"/>
      <c r="HB17" s="304"/>
      <c r="HC17" s="305">
        <f t="shared" si="39"/>
        <v>21.23</v>
      </c>
      <c r="HD17" s="302">
        <v>10.46</v>
      </c>
      <c r="HE17" s="303">
        <v>10.23</v>
      </c>
      <c r="HF17" s="303">
        <v>7.88</v>
      </c>
      <c r="HG17" s="304"/>
      <c r="HH17" s="305">
        <f t="shared" si="40"/>
        <v>28.57</v>
      </c>
      <c r="HI17" s="302">
        <v>3.58</v>
      </c>
      <c r="HJ17" s="303">
        <v>10.74</v>
      </c>
      <c r="HK17" s="303">
        <v>14.75</v>
      </c>
      <c r="HL17" s="304"/>
      <c r="HM17" s="305">
        <f t="shared" si="41"/>
        <v>29.07</v>
      </c>
      <c r="HN17" s="302">
        <v>13.44</v>
      </c>
      <c r="HO17" s="303">
        <v>10</v>
      </c>
      <c r="HP17" s="303"/>
      <c r="HQ17" s="304"/>
      <c r="HR17" s="305">
        <f t="shared" si="42"/>
        <v>23.439999999999998</v>
      </c>
      <c r="HS17" s="302">
        <v>11.36</v>
      </c>
      <c r="HT17" s="303">
        <v>19.690000000000001</v>
      </c>
      <c r="HU17" s="303">
        <v>12.66</v>
      </c>
      <c r="HV17" s="304"/>
      <c r="HW17" s="305">
        <f t="shared" si="43"/>
        <v>43.71</v>
      </c>
      <c r="HX17" s="302">
        <v>14.56</v>
      </c>
      <c r="HY17" s="303">
        <v>45</v>
      </c>
      <c r="HZ17" s="303"/>
      <c r="IA17" s="304"/>
      <c r="IB17" s="305">
        <f t="shared" si="44"/>
        <v>59.56</v>
      </c>
      <c r="IC17" s="302">
        <f>57.03+6.73</f>
        <v>63.760000000000005</v>
      </c>
      <c r="ID17" s="308"/>
      <c r="IE17" s="303"/>
      <c r="IF17" s="304"/>
      <c r="IG17" s="305">
        <f t="shared" si="45"/>
        <v>63.760000000000005</v>
      </c>
      <c r="IH17" s="61">
        <v>33.729999999999997</v>
      </c>
      <c r="II17" s="62">
        <f>39.77+2.99</f>
        <v>42.760000000000005</v>
      </c>
      <c r="IJ17" s="62"/>
      <c r="IK17" s="301"/>
      <c r="IL17" s="300">
        <f t="shared" si="46"/>
        <v>76.490000000000009</v>
      </c>
      <c r="IM17" s="61">
        <v>27.91</v>
      </c>
      <c r="IN17" s="62">
        <v>34.54</v>
      </c>
      <c r="IO17" s="301"/>
      <c r="IP17" s="296"/>
      <c r="IQ17" s="442">
        <f t="shared" si="47"/>
        <v>62.45</v>
      </c>
      <c r="IR17" s="442"/>
      <c r="IS17" s="455">
        <f t="shared" si="48"/>
        <v>489.69</v>
      </c>
      <c r="IT17" s="449">
        <v>19.18</v>
      </c>
      <c r="IU17" s="309"/>
      <c r="IV17" s="33"/>
      <c r="IW17" s="296"/>
      <c r="IX17" s="298">
        <f t="shared" si="49"/>
        <v>19.18</v>
      </c>
      <c r="IY17" s="32">
        <v>24.99</v>
      </c>
      <c r="IZ17" s="33">
        <v>9.57</v>
      </c>
      <c r="JA17" s="33"/>
      <c r="JB17" s="296"/>
      <c r="JC17" s="298">
        <f t="shared" si="50"/>
        <v>34.56</v>
      </c>
      <c r="JD17" s="32">
        <v>18.71</v>
      </c>
      <c r="JE17" s="33">
        <v>20.52</v>
      </c>
      <c r="JF17" s="33"/>
      <c r="JG17" s="296"/>
      <c r="JH17" s="298">
        <f t="shared" si="51"/>
        <v>39.230000000000004</v>
      </c>
      <c r="JI17" s="32">
        <v>16.64</v>
      </c>
      <c r="JJ17" s="309"/>
      <c r="JK17" s="33"/>
      <c r="JL17" s="296"/>
      <c r="JM17" s="298">
        <f t="shared" si="52"/>
        <v>16.64</v>
      </c>
      <c r="JN17" s="32">
        <v>28.4</v>
      </c>
      <c r="JO17" s="33">
        <v>19.29</v>
      </c>
      <c r="JP17" s="33"/>
      <c r="JQ17" s="296"/>
      <c r="JR17" s="298">
        <f t="shared" si="53"/>
        <v>47.69</v>
      </c>
      <c r="JS17" s="32">
        <v>17.399999999999999</v>
      </c>
      <c r="JT17" s="33">
        <v>13.53</v>
      </c>
      <c r="JU17" s="33">
        <v>17.12</v>
      </c>
      <c r="JV17" s="296"/>
      <c r="JW17" s="298">
        <f t="shared" si="54"/>
        <v>48.05</v>
      </c>
      <c r="JX17" s="32">
        <v>15.24</v>
      </c>
      <c r="JY17" s="33">
        <v>17.86</v>
      </c>
      <c r="JZ17" s="33"/>
      <c r="KA17" s="296"/>
      <c r="KB17" s="298">
        <f t="shared" si="55"/>
        <v>33.1</v>
      </c>
      <c r="KC17" s="32">
        <v>14.03</v>
      </c>
      <c r="KD17" s="33">
        <v>15.11</v>
      </c>
      <c r="KE17" s="33">
        <v>14.22</v>
      </c>
      <c r="KF17" s="296"/>
      <c r="KG17" s="298">
        <f t="shared" si="56"/>
        <v>43.36</v>
      </c>
      <c r="KH17" s="32">
        <v>20.07</v>
      </c>
      <c r="KI17" s="33">
        <v>18.03</v>
      </c>
      <c r="KJ17" s="33">
        <v>0</v>
      </c>
      <c r="KK17" s="296">
        <v>0</v>
      </c>
      <c r="KL17" s="298">
        <f t="shared" si="57"/>
        <v>38.1</v>
      </c>
      <c r="KM17" s="32">
        <v>28.06</v>
      </c>
      <c r="KN17" s="33">
        <v>40.119999999999997</v>
      </c>
      <c r="KO17" s="33">
        <v>0</v>
      </c>
      <c r="KP17" s="296">
        <v>0</v>
      </c>
      <c r="KQ17" s="298">
        <f t="shared" si="58"/>
        <v>68.179999999999993</v>
      </c>
      <c r="KR17" s="32">
        <v>36.72</v>
      </c>
      <c r="KS17" s="33">
        <v>28.3</v>
      </c>
      <c r="KT17" s="33">
        <v>0</v>
      </c>
      <c r="KU17" s="296">
        <v>0</v>
      </c>
      <c r="KV17" s="298">
        <f t="shared" si="59"/>
        <v>65.02</v>
      </c>
      <c r="KW17" s="32">
        <v>33.010000000000005</v>
      </c>
      <c r="KX17" s="33">
        <v>0</v>
      </c>
      <c r="KY17" s="33">
        <v>0</v>
      </c>
      <c r="KZ17" s="296">
        <v>0</v>
      </c>
      <c r="LA17" s="298">
        <f t="shared" si="8"/>
        <v>33.010000000000005</v>
      </c>
      <c r="LB17" s="455">
        <f t="shared" si="60"/>
        <v>486.12</v>
      </c>
      <c r="LC17" s="32">
        <f t="shared" si="9"/>
        <v>28.68</v>
      </c>
      <c r="LD17" s="33">
        <f t="shared" si="10"/>
        <v>17.309999999999999</v>
      </c>
      <c r="LE17" s="33">
        <f t="shared" si="11"/>
        <v>0</v>
      </c>
      <c r="LF17" s="296">
        <f t="shared" si="12"/>
        <v>0</v>
      </c>
      <c r="LG17" s="298">
        <f t="shared" si="13"/>
        <v>45.989999999999995</v>
      </c>
      <c r="LH17" s="32"/>
      <c r="LI17" s="33"/>
      <c r="LJ17" s="33"/>
      <c r="LK17" s="296"/>
      <c r="LL17" s="298">
        <f t="shared" si="61"/>
        <v>0</v>
      </c>
      <c r="LM17" s="32"/>
      <c r="LN17" s="33"/>
      <c r="LO17" s="33"/>
      <c r="LP17" s="296"/>
      <c r="LQ17" s="298">
        <f t="shared" si="62"/>
        <v>0</v>
      </c>
      <c r="LR17" s="32"/>
      <c r="LS17" s="33"/>
      <c r="LT17" s="33"/>
      <c r="LU17" s="296"/>
      <c r="LV17" s="298">
        <f t="shared" si="63"/>
        <v>0</v>
      </c>
      <c r="LW17" s="32"/>
      <c r="LX17" s="33"/>
      <c r="LY17" s="33"/>
      <c r="LZ17" s="296"/>
      <c r="MA17" s="298">
        <f t="shared" si="64"/>
        <v>0</v>
      </c>
      <c r="MB17" s="32"/>
      <c r="MC17" s="33"/>
      <c r="MD17" s="33"/>
      <c r="ME17" s="296"/>
      <c r="MF17" s="298">
        <f t="shared" si="65"/>
        <v>0</v>
      </c>
      <c r="MG17" s="32"/>
      <c r="MH17" s="33"/>
      <c r="MI17" s="33"/>
      <c r="MJ17" s="296"/>
      <c r="MK17" s="298">
        <f t="shared" si="66"/>
        <v>0</v>
      </c>
      <c r="ML17" s="32"/>
      <c r="MM17" s="33"/>
      <c r="MN17" s="33"/>
      <c r="MO17" s="296"/>
      <c r="MP17" s="298">
        <f t="shared" si="67"/>
        <v>0</v>
      </c>
      <c r="MQ17" s="32"/>
      <c r="MR17" s="33"/>
      <c r="MS17" s="33"/>
      <c r="MT17" s="296"/>
      <c r="MU17" s="298">
        <f t="shared" si="68"/>
        <v>0</v>
      </c>
      <c r="MV17" s="32"/>
      <c r="MW17" s="33"/>
      <c r="MX17" s="33"/>
      <c r="MY17" s="296"/>
      <c r="MZ17" s="298">
        <f t="shared" si="69"/>
        <v>0</v>
      </c>
      <c r="NA17" s="32"/>
      <c r="NB17" s="33"/>
      <c r="NC17" s="33"/>
      <c r="ND17" s="296"/>
      <c r="NE17" s="298">
        <f t="shared" si="70"/>
        <v>0</v>
      </c>
      <c r="NF17" s="32"/>
      <c r="NG17" s="33"/>
      <c r="NH17" s="33"/>
      <c r="NI17" s="296"/>
      <c r="NJ17" s="298">
        <f t="shared" si="14"/>
        <v>0</v>
      </c>
      <c r="NK17" s="455">
        <f t="shared" si="71"/>
        <v>45.989999999999995</v>
      </c>
    </row>
    <row r="18" spans="1:375" ht="15.75" x14ac:dyDescent="0.25">
      <c r="A18" s="281"/>
      <c r="B18" s="282">
        <v>11</v>
      </c>
      <c r="C18" s="283">
        <v>44.5</v>
      </c>
      <c r="D18" s="284"/>
      <c r="E18" s="285"/>
      <c r="F18" s="286"/>
      <c r="G18" s="287"/>
      <c r="H18" s="288">
        <f t="shared" si="15"/>
        <v>0</v>
      </c>
      <c r="I18" s="289">
        <v>68.66</v>
      </c>
      <c r="J18" s="290">
        <v>30.12</v>
      </c>
      <c r="K18" s="290"/>
      <c r="L18" s="291"/>
      <c r="M18" s="256">
        <f t="shared" si="16"/>
        <v>98.78</v>
      </c>
      <c r="N18" s="289">
        <v>12.27</v>
      </c>
      <c r="O18" s="290">
        <v>34.67</v>
      </c>
      <c r="P18" s="290"/>
      <c r="Q18" s="291"/>
      <c r="R18" s="256">
        <f t="shared" si="0"/>
        <v>46.94</v>
      </c>
      <c r="S18" s="289">
        <v>40.89</v>
      </c>
      <c r="T18" s="290"/>
      <c r="U18" s="290"/>
      <c r="V18" s="291"/>
      <c r="W18" s="256">
        <f t="shared" si="1"/>
        <v>40.89</v>
      </c>
      <c r="X18" s="289">
        <v>44.43</v>
      </c>
      <c r="Y18" s="290"/>
      <c r="Z18" s="290"/>
      <c r="AA18" s="291"/>
      <c r="AB18" s="256">
        <f t="shared" si="17"/>
        <v>44.43</v>
      </c>
      <c r="AC18" s="292">
        <v>43.12</v>
      </c>
      <c r="AD18" s="293">
        <v>33.67</v>
      </c>
      <c r="AE18" s="293"/>
      <c r="AF18" s="294"/>
      <c r="AG18" s="260">
        <f t="shared" si="18"/>
        <v>76.789999999999992</v>
      </c>
      <c r="AH18" s="292">
        <v>29.22</v>
      </c>
      <c r="AI18" s="293">
        <v>21.29</v>
      </c>
      <c r="AJ18" s="293"/>
      <c r="AK18" s="294"/>
      <c r="AL18" s="295">
        <f t="shared" si="72"/>
        <v>50.51</v>
      </c>
      <c r="AM18" s="32">
        <v>14.24</v>
      </c>
      <c r="AN18" s="33">
        <v>33.51</v>
      </c>
      <c r="AO18" s="33"/>
      <c r="AP18" s="296"/>
      <c r="AQ18" s="297">
        <f t="shared" si="73"/>
        <v>47.75</v>
      </c>
      <c r="AR18" s="32">
        <v>33.619999999999997</v>
      </c>
      <c r="AS18" s="33">
        <v>33.49</v>
      </c>
      <c r="AT18" s="33"/>
      <c r="AU18" s="296"/>
      <c r="AV18" s="298">
        <f t="shared" si="74"/>
        <v>67.11</v>
      </c>
      <c r="AW18" s="32">
        <v>50.26</v>
      </c>
      <c r="AX18" s="33">
        <v>10.23</v>
      </c>
      <c r="AY18" s="33"/>
      <c r="AZ18" s="296"/>
      <c r="BA18" s="298">
        <f t="shared" si="75"/>
        <v>60.489999999999995</v>
      </c>
      <c r="BB18" s="32">
        <v>30.95</v>
      </c>
      <c r="BC18" s="33">
        <f>43.53+1.52</f>
        <v>45.050000000000004</v>
      </c>
      <c r="BD18" s="33"/>
      <c r="BE18" s="296"/>
      <c r="BF18" s="298">
        <f t="shared" si="81"/>
        <v>76</v>
      </c>
      <c r="BG18" s="32">
        <f>46.33+2.18</f>
        <v>48.51</v>
      </c>
      <c r="BH18" s="33">
        <v>43.82</v>
      </c>
      <c r="BI18" s="33"/>
      <c r="BJ18" s="299"/>
      <c r="BK18" s="298">
        <f t="shared" si="76"/>
        <v>92.33</v>
      </c>
      <c r="BL18" s="32">
        <f>41.28+2.66</f>
        <v>43.94</v>
      </c>
      <c r="BM18" s="33"/>
      <c r="BN18" s="33"/>
      <c r="BO18" s="299"/>
      <c r="BP18" s="297">
        <f t="shared" si="77"/>
        <v>43.94</v>
      </c>
      <c r="BQ18" s="455">
        <f t="shared" si="2"/>
        <v>745.96</v>
      </c>
      <c r="BR18" s="32">
        <v>26.39</v>
      </c>
      <c r="BS18" s="43">
        <v>15.48</v>
      </c>
      <c r="BT18" s="43">
        <v>7.32</v>
      </c>
      <c r="BU18" s="781"/>
      <c r="BV18" s="782">
        <f t="shared" si="19"/>
        <v>49.190000000000005</v>
      </c>
      <c r="BW18" s="783">
        <v>10.38</v>
      </c>
      <c r="BX18" s="43">
        <v>9.7100000000000009</v>
      </c>
      <c r="BY18" s="43"/>
      <c r="BZ18" s="781"/>
      <c r="CA18" s="784">
        <f t="shared" si="20"/>
        <v>20.090000000000003</v>
      </c>
      <c r="CB18" s="785">
        <v>9.76</v>
      </c>
      <c r="CC18" s="786">
        <v>14.41</v>
      </c>
      <c r="CD18" s="786">
        <v>13.13</v>
      </c>
      <c r="CE18" s="787"/>
      <c r="CF18" s="788">
        <f t="shared" si="78"/>
        <v>37.300000000000004</v>
      </c>
      <c r="CG18" s="785">
        <v>18.28</v>
      </c>
      <c r="CH18" s="786">
        <v>20.98</v>
      </c>
      <c r="CI18" s="786">
        <v>24.58</v>
      </c>
      <c r="CJ18" s="787"/>
      <c r="CK18" s="788">
        <f t="shared" si="79"/>
        <v>63.84</v>
      </c>
      <c r="CL18" s="785">
        <v>26.68</v>
      </c>
      <c r="CM18" s="786">
        <v>20.59</v>
      </c>
      <c r="CN18" s="786"/>
      <c r="CO18" s="787"/>
      <c r="CP18" s="788">
        <f t="shared" si="80"/>
        <v>47.269999999999996</v>
      </c>
      <c r="CQ18" s="789">
        <v>12.87</v>
      </c>
      <c r="CR18" s="367">
        <v>16.96</v>
      </c>
      <c r="CS18" s="367"/>
      <c r="CT18" s="790"/>
      <c r="CU18" s="791">
        <v>29.83</v>
      </c>
      <c r="CV18" s="789">
        <v>22.3</v>
      </c>
      <c r="CW18" s="367"/>
      <c r="CX18" s="367"/>
      <c r="CY18" s="790"/>
      <c r="CZ18" s="791">
        <f t="shared" si="3"/>
        <v>22.3</v>
      </c>
      <c r="DA18" s="789">
        <v>36.81</v>
      </c>
      <c r="DB18" s="367"/>
      <c r="DC18" s="367"/>
      <c r="DD18" s="790"/>
      <c r="DE18" s="791">
        <f t="shared" si="4"/>
        <v>36.81</v>
      </c>
      <c r="DF18" s="789">
        <v>37.65</v>
      </c>
      <c r="DG18" s="367">
        <v>50.19</v>
      </c>
      <c r="DH18" s="367"/>
      <c r="DI18" s="790"/>
      <c r="DJ18" s="791">
        <f t="shared" si="5"/>
        <v>87.84</v>
      </c>
      <c r="DK18" s="789">
        <v>59.98</v>
      </c>
      <c r="DL18" s="367"/>
      <c r="DM18" s="367"/>
      <c r="DN18" s="790"/>
      <c r="DO18" s="791">
        <f t="shared" si="21"/>
        <v>59.98</v>
      </c>
      <c r="DP18" s="789">
        <v>50.51</v>
      </c>
      <c r="DQ18" s="367">
        <v>34.61</v>
      </c>
      <c r="DR18" s="367"/>
      <c r="DS18" s="790"/>
      <c r="DT18" s="791">
        <f t="shared" si="22"/>
        <v>85.12</v>
      </c>
      <c r="DU18" s="789">
        <v>30.54</v>
      </c>
      <c r="DV18" s="367">
        <v>27.77</v>
      </c>
      <c r="DW18" s="367"/>
      <c r="DX18" s="790"/>
      <c r="DY18" s="791">
        <f t="shared" si="23"/>
        <v>58.31</v>
      </c>
      <c r="DZ18" s="455">
        <f t="shared" si="6"/>
        <v>597.88000000000011</v>
      </c>
      <c r="EA18" s="789">
        <v>31.57</v>
      </c>
      <c r="EB18" s="367">
        <v>7.09</v>
      </c>
      <c r="EC18" s="367"/>
      <c r="ED18" s="790"/>
      <c r="EE18" s="791">
        <f t="shared" si="24"/>
        <v>38.659999999999997</v>
      </c>
      <c r="EF18" s="789">
        <v>19.11</v>
      </c>
      <c r="EG18" s="367">
        <v>13.62</v>
      </c>
      <c r="EH18" s="367"/>
      <c r="EI18" s="790"/>
      <c r="EJ18" s="791">
        <f t="shared" si="25"/>
        <v>32.729999999999997</v>
      </c>
      <c r="EK18" s="789">
        <v>30.15</v>
      </c>
      <c r="EL18" s="367">
        <v>6.8</v>
      </c>
      <c r="EM18" s="367"/>
      <c r="EN18" s="790"/>
      <c r="EO18" s="791">
        <f t="shared" si="26"/>
        <v>36.949999999999996</v>
      </c>
      <c r="EP18" s="789">
        <v>27.01</v>
      </c>
      <c r="EQ18" s="367">
        <v>23.07</v>
      </c>
      <c r="ER18" s="367">
        <v>32.67</v>
      </c>
      <c r="ES18" s="790"/>
      <c r="ET18" s="791">
        <f t="shared" si="27"/>
        <v>82.75</v>
      </c>
      <c r="EU18" s="789">
        <v>25.52</v>
      </c>
      <c r="EV18" s="367">
        <v>23.14</v>
      </c>
      <c r="EW18" s="367"/>
      <c r="EX18" s="790"/>
      <c r="EY18" s="791">
        <f t="shared" si="28"/>
        <v>48.66</v>
      </c>
      <c r="EZ18" s="789">
        <v>26.37</v>
      </c>
      <c r="FA18" s="367">
        <v>22.06</v>
      </c>
      <c r="FB18" s="367"/>
      <c r="FC18" s="790"/>
      <c r="FD18" s="791">
        <f t="shared" si="29"/>
        <v>48.43</v>
      </c>
      <c r="FE18" s="789">
        <v>26.02</v>
      </c>
      <c r="FF18" s="367">
        <v>28.42</v>
      </c>
      <c r="FG18" s="367"/>
      <c r="FH18" s="790"/>
      <c r="FI18" s="791">
        <f t="shared" si="30"/>
        <v>54.44</v>
      </c>
      <c r="FJ18" s="789">
        <v>29.42</v>
      </c>
      <c r="FK18" s="367">
        <v>31.82</v>
      </c>
      <c r="FL18" s="367"/>
      <c r="FM18" s="790"/>
      <c r="FN18" s="791">
        <f t="shared" si="31"/>
        <v>61.24</v>
      </c>
      <c r="FO18" s="789">
        <v>31.6</v>
      </c>
      <c r="FP18" s="367">
        <v>27.45</v>
      </c>
      <c r="FQ18" s="367"/>
      <c r="FR18" s="790"/>
      <c r="FS18" s="791">
        <f t="shared" si="32"/>
        <v>59.05</v>
      </c>
      <c r="FT18" s="789">
        <v>33.4</v>
      </c>
      <c r="FU18" s="367">
        <v>25.76</v>
      </c>
      <c r="FV18" s="367"/>
      <c r="FW18" s="790"/>
      <c r="FX18" s="791">
        <f t="shared" si="33"/>
        <v>59.16</v>
      </c>
      <c r="FY18" s="789">
        <v>28.49</v>
      </c>
      <c r="FZ18" s="810"/>
      <c r="GA18" s="367"/>
      <c r="GB18" s="790"/>
      <c r="GC18" s="791">
        <f t="shared" si="34"/>
        <v>28.49</v>
      </c>
      <c r="GD18" s="789">
        <v>24.62</v>
      </c>
      <c r="GE18" s="367">
        <v>21.9</v>
      </c>
      <c r="GF18" s="367">
        <v>8.01</v>
      </c>
      <c r="GG18" s="790"/>
      <c r="GH18" s="791">
        <f t="shared" si="35"/>
        <v>54.529999999999994</v>
      </c>
      <c r="GI18" s="455">
        <f t="shared" si="7"/>
        <v>605.08999999999992</v>
      </c>
      <c r="GJ18" s="302">
        <v>26.05</v>
      </c>
      <c r="GK18" s="303">
        <v>3.74</v>
      </c>
      <c r="GL18" s="303"/>
      <c r="GM18" s="304"/>
      <c r="GN18" s="305">
        <f t="shared" si="36"/>
        <v>29.79</v>
      </c>
      <c r="GO18" s="302">
        <v>17.71</v>
      </c>
      <c r="GP18" s="303">
        <v>13.73</v>
      </c>
      <c r="GQ18" s="303"/>
      <c r="GR18" s="304"/>
      <c r="GS18" s="305">
        <f t="shared" si="37"/>
        <v>31.44</v>
      </c>
      <c r="GT18" s="302">
        <v>11.6</v>
      </c>
      <c r="GU18" s="303">
        <v>7.36</v>
      </c>
      <c r="GV18" s="303">
        <v>11.3</v>
      </c>
      <c r="GW18" s="304"/>
      <c r="GX18" s="305">
        <f t="shared" si="38"/>
        <v>30.26</v>
      </c>
      <c r="GY18" s="302">
        <v>37.340000000000003</v>
      </c>
      <c r="GZ18" s="310"/>
      <c r="HA18" s="303"/>
      <c r="HB18" s="304"/>
      <c r="HC18" s="305">
        <f t="shared" si="39"/>
        <v>37.340000000000003</v>
      </c>
      <c r="HD18" s="302">
        <v>15.38</v>
      </c>
      <c r="HE18" s="303">
        <v>17.77</v>
      </c>
      <c r="HF18" s="303">
        <v>20.63</v>
      </c>
      <c r="HG18" s="304"/>
      <c r="HH18" s="305">
        <f t="shared" si="40"/>
        <v>53.78</v>
      </c>
      <c r="HI18" s="302">
        <v>13.56</v>
      </c>
      <c r="HJ18" s="303">
        <v>17.32</v>
      </c>
      <c r="HK18" s="303"/>
      <c r="HL18" s="304"/>
      <c r="HM18" s="305">
        <f t="shared" si="41"/>
        <v>30.880000000000003</v>
      </c>
      <c r="HN18" s="302">
        <v>17.920000000000002</v>
      </c>
      <c r="HO18" s="303">
        <v>6.9</v>
      </c>
      <c r="HP18" s="303"/>
      <c r="HQ18" s="304"/>
      <c r="HR18" s="305">
        <f t="shared" si="42"/>
        <v>24.82</v>
      </c>
      <c r="HS18" s="302">
        <v>43.08</v>
      </c>
      <c r="HT18" s="308"/>
      <c r="HU18" s="303"/>
      <c r="HV18" s="304"/>
      <c r="HW18" s="305">
        <f t="shared" si="43"/>
        <v>43.08</v>
      </c>
      <c r="HX18" s="302">
        <v>48.81</v>
      </c>
      <c r="HY18" s="303">
        <v>49.45</v>
      </c>
      <c r="HZ18" s="303"/>
      <c r="IA18" s="304"/>
      <c r="IB18" s="305">
        <f t="shared" si="44"/>
        <v>98.26</v>
      </c>
      <c r="IC18" s="302">
        <f>43.64+1.69</f>
        <v>45.33</v>
      </c>
      <c r="ID18" s="308"/>
      <c r="IE18" s="303"/>
      <c r="IF18" s="304"/>
      <c r="IG18" s="305">
        <f t="shared" si="45"/>
        <v>45.33</v>
      </c>
      <c r="IH18" s="61">
        <f>33.98+3.57</f>
        <v>37.549999999999997</v>
      </c>
      <c r="II18" s="62">
        <f>24.27+0.414</f>
        <v>24.684000000000001</v>
      </c>
      <c r="IJ18" s="62"/>
      <c r="IK18" s="301"/>
      <c r="IL18" s="300">
        <f t="shared" si="46"/>
        <v>62.233999999999995</v>
      </c>
      <c r="IM18" s="61">
        <v>29.38</v>
      </c>
      <c r="IN18" s="62">
        <v>22.62</v>
      </c>
      <c r="IO18" s="301"/>
      <c r="IP18" s="296"/>
      <c r="IQ18" s="442">
        <f t="shared" si="47"/>
        <v>52</v>
      </c>
      <c r="IR18" s="442"/>
      <c r="IS18" s="455">
        <f t="shared" si="48"/>
        <v>539.21399999999994</v>
      </c>
      <c r="IT18" s="449">
        <v>20.73</v>
      </c>
      <c r="IU18" s="33">
        <v>20.350000000000001</v>
      </c>
      <c r="IV18" s="33"/>
      <c r="IW18" s="296"/>
      <c r="IX18" s="298">
        <f t="shared" si="49"/>
        <v>41.08</v>
      </c>
      <c r="IY18" s="32">
        <v>12.6</v>
      </c>
      <c r="IZ18" s="33">
        <v>9.68</v>
      </c>
      <c r="JA18" s="33">
        <v>4.78</v>
      </c>
      <c r="JB18" s="296"/>
      <c r="JC18" s="298">
        <f t="shared" si="50"/>
        <v>27.060000000000002</v>
      </c>
      <c r="JD18" s="32">
        <v>3.89</v>
      </c>
      <c r="JE18" s="33">
        <v>7.09</v>
      </c>
      <c r="JF18" s="33">
        <v>29.59</v>
      </c>
      <c r="JG18" s="296"/>
      <c r="JH18" s="298">
        <f t="shared" si="51"/>
        <v>40.57</v>
      </c>
      <c r="JI18" s="32">
        <v>35.96</v>
      </c>
      <c r="JJ18" s="309"/>
      <c r="JK18" s="33"/>
      <c r="JL18" s="296"/>
      <c r="JM18" s="298">
        <f t="shared" si="52"/>
        <v>35.96</v>
      </c>
      <c r="JN18" s="32">
        <v>28.43</v>
      </c>
      <c r="JO18" s="33">
        <v>17.93</v>
      </c>
      <c r="JP18" s="33">
        <v>5.04</v>
      </c>
      <c r="JQ18" s="296"/>
      <c r="JR18" s="298">
        <f t="shared" si="53"/>
        <v>51.4</v>
      </c>
      <c r="JS18" s="32">
        <v>18.09</v>
      </c>
      <c r="JT18" s="33">
        <v>13.65</v>
      </c>
      <c r="JU18" s="33">
        <v>12.36</v>
      </c>
      <c r="JV18" s="296"/>
      <c r="JW18" s="298">
        <f t="shared" si="54"/>
        <v>44.1</v>
      </c>
      <c r="JX18" s="32">
        <v>11.23</v>
      </c>
      <c r="JY18" s="33">
        <v>19.920000000000002</v>
      </c>
      <c r="JZ18" s="33">
        <v>16.2</v>
      </c>
      <c r="KA18" s="296"/>
      <c r="KB18" s="298">
        <f t="shared" si="55"/>
        <v>47.35</v>
      </c>
      <c r="KC18" s="32">
        <v>18.48</v>
      </c>
      <c r="KD18" s="33">
        <v>25.18</v>
      </c>
      <c r="KE18" s="33">
        <v>7.44</v>
      </c>
      <c r="KF18" s="296"/>
      <c r="KG18" s="298">
        <f t="shared" si="56"/>
        <v>51.099999999999994</v>
      </c>
      <c r="KH18" s="32">
        <v>6.15</v>
      </c>
      <c r="KI18" s="33">
        <v>27.300000000000004</v>
      </c>
      <c r="KJ18" s="33">
        <v>17.57</v>
      </c>
      <c r="KK18" s="296">
        <v>0</v>
      </c>
      <c r="KL18" s="298">
        <f t="shared" si="57"/>
        <v>51.02</v>
      </c>
      <c r="KM18" s="32">
        <v>25.83</v>
      </c>
      <c r="KN18" s="33">
        <v>38.109999999999992</v>
      </c>
      <c r="KO18" s="33">
        <v>0</v>
      </c>
      <c r="KP18" s="296">
        <v>0</v>
      </c>
      <c r="KQ18" s="298">
        <f t="shared" si="58"/>
        <v>63.939999999999991</v>
      </c>
      <c r="KR18" s="32">
        <v>39.799999999999997</v>
      </c>
      <c r="KS18" s="33">
        <v>4.09</v>
      </c>
      <c r="KT18" s="33">
        <v>0</v>
      </c>
      <c r="KU18" s="296">
        <v>0</v>
      </c>
      <c r="KV18" s="298">
        <f t="shared" si="59"/>
        <v>43.89</v>
      </c>
      <c r="KW18" s="32">
        <v>32.42</v>
      </c>
      <c r="KX18" s="33">
        <v>0</v>
      </c>
      <c r="KY18" s="33">
        <v>0</v>
      </c>
      <c r="KZ18" s="296">
        <v>0</v>
      </c>
      <c r="LA18" s="298">
        <f t="shared" si="8"/>
        <v>32.42</v>
      </c>
      <c r="LB18" s="455">
        <f t="shared" si="60"/>
        <v>529.89</v>
      </c>
      <c r="LC18" s="32">
        <f t="shared" si="9"/>
        <v>34.840000000000003</v>
      </c>
      <c r="LD18" s="33">
        <f t="shared" si="10"/>
        <v>15.729999999999999</v>
      </c>
      <c r="LE18" s="33">
        <f t="shared" si="11"/>
        <v>0</v>
      </c>
      <c r="LF18" s="296">
        <f t="shared" si="12"/>
        <v>0</v>
      </c>
      <c r="LG18" s="298">
        <f t="shared" si="13"/>
        <v>50.57</v>
      </c>
      <c r="LH18" s="32"/>
      <c r="LI18" s="33"/>
      <c r="LJ18" s="33"/>
      <c r="LK18" s="296"/>
      <c r="LL18" s="298">
        <f t="shared" si="61"/>
        <v>0</v>
      </c>
      <c r="LM18" s="32"/>
      <c r="LN18" s="33"/>
      <c r="LO18" s="33"/>
      <c r="LP18" s="296"/>
      <c r="LQ18" s="298">
        <f t="shared" si="62"/>
        <v>0</v>
      </c>
      <c r="LR18" s="32"/>
      <c r="LS18" s="33"/>
      <c r="LT18" s="33"/>
      <c r="LU18" s="296"/>
      <c r="LV18" s="298">
        <f t="shared" si="63"/>
        <v>0</v>
      </c>
      <c r="LW18" s="32"/>
      <c r="LX18" s="33"/>
      <c r="LY18" s="33"/>
      <c r="LZ18" s="296"/>
      <c r="MA18" s="298">
        <f t="shared" si="64"/>
        <v>0</v>
      </c>
      <c r="MB18" s="32"/>
      <c r="MC18" s="33"/>
      <c r="MD18" s="33"/>
      <c r="ME18" s="296"/>
      <c r="MF18" s="298">
        <f t="shared" si="65"/>
        <v>0</v>
      </c>
      <c r="MG18" s="32"/>
      <c r="MH18" s="33"/>
      <c r="MI18" s="33"/>
      <c r="MJ18" s="296"/>
      <c r="MK18" s="298">
        <f t="shared" si="66"/>
        <v>0</v>
      </c>
      <c r="ML18" s="32"/>
      <c r="MM18" s="33"/>
      <c r="MN18" s="33"/>
      <c r="MO18" s="296"/>
      <c r="MP18" s="298">
        <f t="shared" si="67"/>
        <v>0</v>
      </c>
      <c r="MQ18" s="32"/>
      <c r="MR18" s="33"/>
      <c r="MS18" s="33"/>
      <c r="MT18" s="296"/>
      <c r="MU18" s="298">
        <f t="shared" si="68"/>
        <v>0</v>
      </c>
      <c r="MV18" s="32"/>
      <c r="MW18" s="33"/>
      <c r="MX18" s="33"/>
      <c r="MY18" s="296"/>
      <c r="MZ18" s="298">
        <f t="shared" si="69"/>
        <v>0</v>
      </c>
      <c r="NA18" s="32"/>
      <c r="NB18" s="33"/>
      <c r="NC18" s="33"/>
      <c r="ND18" s="296"/>
      <c r="NE18" s="298">
        <f t="shared" si="70"/>
        <v>0</v>
      </c>
      <c r="NF18" s="32"/>
      <c r="NG18" s="33"/>
      <c r="NH18" s="33"/>
      <c r="NI18" s="296"/>
      <c r="NJ18" s="298">
        <f t="shared" si="14"/>
        <v>0</v>
      </c>
      <c r="NK18" s="455">
        <f t="shared" si="71"/>
        <v>50.57</v>
      </c>
    </row>
    <row r="19" spans="1:375" ht="15.75" x14ac:dyDescent="0.25">
      <c r="A19" s="281"/>
      <c r="B19" s="282">
        <v>12</v>
      </c>
      <c r="C19" s="283">
        <v>71</v>
      </c>
      <c r="D19" s="284">
        <v>43.54</v>
      </c>
      <c r="E19" s="285">
        <v>85.1</v>
      </c>
      <c r="F19" s="286"/>
      <c r="G19" s="287"/>
      <c r="H19" s="288">
        <f t="shared" si="15"/>
        <v>128.63999999999999</v>
      </c>
      <c r="I19" s="289">
        <v>6.21</v>
      </c>
      <c r="J19" s="290"/>
      <c r="K19" s="290"/>
      <c r="L19" s="291"/>
      <c r="M19" s="256">
        <f t="shared" si="16"/>
        <v>6.21</v>
      </c>
      <c r="N19" s="289">
        <v>89.68</v>
      </c>
      <c r="O19" s="290"/>
      <c r="P19" s="290"/>
      <c r="Q19" s="291"/>
      <c r="R19" s="256">
        <f t="shared" si="0"/>
        <v>89.68</v>
      </c>
      <c r="S19" s="289">
        <v>48.52</v>
      </c>
      <c r="T19" s="290">
        <v>54.27</v>
      </c>
      <c r="U19" s="290"/>
      <c r="V19" s="291"/>
      <c r="W19" s="256">
        <f t="shared" si="1"/>
        <v>102.79</v>
      </c>
      <c r="X19" s="289">
        <v>65.7</v>
      </c>
      <c r="Y19" s="290"/>
      <c r="Z19" s="290"/>
      <c r="AA19" s="291"/>
      <c r="AB19" s="256">
        <f t="shared" si="17"/>
        <v>65.7</v>
      </c>
      <c r="AC19" s="292">
        <v>66.069999999999993</v>
      </c>
      <c r="AD19" s="293">
        <v>56.38</v>
      </c>
      <c r="AE19" s="293"/>
      <c r="AF19" s="294"/>
      <c r="AG19" s="260">
        <f t="shared" si="18"/>
        <v>122.44999999999999</v>
      </c>
      <c r="AH19" s="292">
        <v>33.700000000000003</v>
      </c>
      <c r="AI19" s="293"/>
      <c r="AJ19" s="293"/>
      <c r="AK19" s="294"/>
      <c r="AL19" s="295">
        <f t="shared" si="72"/>
        <v>33.700000000000003</v>
      </c>
      <c r="AM19" s="32">
        <v>61.76</v>
      </c>
      <c r="AN19" s="33">
        <v>58.35</v>
      </c>
      <c r="AO19" s="33"/>
      <c r="AP19" s="296"/>
      <c r="AQ19" s="297">
        <f t="shared" si="73"/>
        <v>120.11</v>
      </c>
      <c r="AR19" s="32">
        <v>79.31</v>
      </c>
      <c r="AS19" s="33">
        <v>52.15</v>
      </c>
      <c r="AT19" s="33"/>
      <c r="AU19" s="296"/>
      <c r="AV19" s="298">
        <f t="shared" si="74"/>
        <v>131.46</v>
      </c>
      <c r="AW19" s="32">
        <v>54.72</v>
      </c>
      <c r="AX19" s="33">
        <v>78.08</v>
      </c>
      <c r="AY19" s="33"/>
      <c r="AZ19" s="296"/>
      <c r="BA19" s="298">
        <f t="shared" si="75"/>
        <v>132.80000000000001</v>
      </c>
      <c r="BB19" s="32">
        <f>75.61+1.78</f>
        <v>77.39</v>
      </c>
      <c r="BC19" s="33">
        <v>79.14</v>
      </c>
      <c r="BD19" s="33"/>
      <c r="BE19" s="296"/>
      <c r="BF19" s="298">
        <f t="shared" si="81"/>
        <v>156.53</v>
      </c>
      <c r="BG19" s="32">
        <f>83.29+7.72</f>
        <v>91.01</v>
      </c>
      <c r="BH19" s="33"/>
      <c r="BI19" s="33"/>
      <c r="BJ19" s="299"/>
      <c r="BK19" s="298">
        <f t="shared" si="76"/>
        <v>91.01</v>
      </c>
      <c r="BL19" s="32">
        <f>80.58+5.53</f>
        <v>86.11</v>
      </c>
      <c r="BM19" s="33">
        <v>66.63</v>
      </c>
      <c r="BN19" s="33"/>
      <c r="BO19" s="299"/>
      <c r="BP19" s="297">
        <f t="shared" si="77"/>
        <v>152.74</v>
      </c>
      <c r="BQ19" s="455">
        <f t="shared" si="2"/>
        <v>1205.18</v>
      </c>
      <c r="BR19" s="32">
        <f>42.71+4.25</f>
        <v>46.96</v>
      </c>
      <c r="BS19" s="43">
        <v>36.880000000000003</v>
      </c>
      <c r="BT19" s="43">
        <v>20.079999999999998</v>
      </c>
      <c r="BU19" s="781"/>
      <c r="BV19" s="782">
        <f t="shared" si="19"/>
        <v>103.92</v>
      </c>
      <c r="BW19" s="783">
        <v>19.95</v>
      </c>
      <c r="BX19" s="43">
        <v>21.87</v>
      </c>
      <c r="BY19" s="43"/>
      <c r="BZ19" s="781"/>
      <c r="CA19" s="784">
        <f t="shared" si="20"/>
        <v>41.82</v>
      </c>
      <c r="CB19" s="785">
        <v>24.83</v>
      </c>
      <c r="CC19" s="786">
        <v>26.51</v>
      </c>
      <c r="CD19" s="786">
        <v>17.86</v>
      </c>
      <c r="CE19" s="787"/>
      <c r="CF19" s="788">
        <f t="shared" si="78"/>
        <v>69.2</v>
      </c>
      <c r="CG19" s="785">
        <v>24.02</v>
      </c>
      <c r="CH19" s="786">
        <v>30.62</v>
      </c>
      <c r="CI19" s="786">
        <v>8.0299999999999994</v>
      </c>
      <c r="CJ19" s="787"/>
      <c r="CK19" s="788">
        <f t="shared" si="79"/>
        <v>62.67</v>
      </c>
      <c r="CL19" s="785">
        <v>31.96</v>
      </c>
      <c r="CM19" s="786">
        <v>41.31</v>
      </c>
      <c r="CN19" s="786">
        <v>23.36</v>
      </c>
      <c r="CO19" s="787"/>
      <c r="CP19" s="788">
        <f t="shared" si="80"/>
        <v>96.63000000000001</v>
      </c>
      <c r="CQ19" s="789">
        <v>3.88</v>
      </c>
      <c r="CR19" s="367">
        <v>27.28</v>
      </c>
      <c r="CS19" s="367">
        <v>26.08</v>
      </c>
      <c r="CT19" s="790"/>
      <c r="CU19" s="791">
        <v>57.239999999999995</v>
      </c>
      <c r="CV19" s="789">
        <v>43.55</v>
      </c>
      <c r="CW19" s="367"/>
      <c r="CX19" s="367"/>
      <c r="CY19" s="790"/>
      <c r="CZ19" s="791">
        <f t="shared" si="3"/>
        <v>43.55</v>
      </c>
      <c r="DA19" s="789">
        <v>58.84</v>
      </c>
      <c r="DB19" s="367"/>
      <c r="DC19" s="367"/>
      <c r="DD19" s="790"/>
      <c r="DE19" s="791">
        <f t="shared" si="4"/>
        <v>58.84</v>
      </c>
      <c r="DF19" s="789">
        <v>81.45</v>
      </c>
      <c r="DG19" s="367"/>
      <c r="DH19" s="367"/>
      <c r="DI19" s="790"/>
      <c r="DJ19" s="791">
        <f t="shared" si="5"/>
        <v>81.45</v>
      </c>
      <c r="DK19" s="789">
        <v>111.53</v>
      </c>
      <c r="DL19" s="367">
        <v>28.35</v>
      </c>
      <c r="DM19" s="367"/>
      <c r="DN19" s="790"/>
      <c r="DO19" s="791">
        <f t="shared" si="21"/>
        <v>139.88</v>
      </c>
      <c r="DP19" s="789">
        <v>122.47</v>
      </c>
      <c r="DQ19" s="367"/>
      <c r="DR19" s="367"/>
      <c r="DS19" s="790"/>
      <c r="DT19" s="791">
        <f t="shared" si="22"/>
        <v>122.47</v>
      </c>
      <c r="DU19" s="789">
        <v>118.78</v>
      </c>
      <c r="DV19" s="367">
        <v>61.75</v>
      </c>
      <c r="DW19" s="367"/>
      <c r="DX19" s="790"/>
      <c r="DY19" s="791">
        <f t="shared" si="23"/>
        <v>180.53</v>
      </c>
      <c r="DZ19" s="455">
        <f t="shared" si="6"/>
        <v>1058.2</v>
      </c>
      <c r="EA19" s="789">
        <v>64.150000000000006</v>
      </c>
      <c r="EB19" s="367"/>
      <c r="EC19" s="367"/>
      <c r="ED19" s="790"/>
      <c r="EE19" s="791">
        <f t="shared" si="24"/>
        <v>64.150000000000006</v>
      </c>
      <c r="EF19" s="789">
        <v>41.5</v>
      </c>
      <c r="EG19" s="367">
        <v>31.87</v>
      </c>
      <c r="EH19" s="367"/>
      <c r="EI19" s="790"/>
      <c r="EJ19" s="791">
        <f t="shared" si="25"/>
        <v>73.37</v>
      </c>
      <c r="EK19" s="789">
        <v>41.5</v>
      </c>
      <c r="EL19" s="367">
        <v>24.55</v>
      </c>
      <c r="EM19" s="367"/>
      <c r="EN19" s="790"/>
      <c r="EO19" s="791">
        <f t="shared" si="26"/>
        <v>66.05</v>
      </c>
      <c r="EP19" s="789">
        <v>39.06</v>
      </c>
      <c r="EQ19" s="367">
        <v>33.29</v>
      </c>
      <c r="ER19" s="367"/>
      <c r="ES19" s="790"/>
      <c r="ET19" s="791">
        <f t="shared" si="27"/>
        <v>72.349999999999994</v>
      </c>
      <c r="EU19" s="789">
        <v>69.09</v>
      </c>
      <c r="EV19" s="367"/>
      <c r="EW19" s="367"/>
      <c r="EX19" s="790"/>
      <c r="EY19" s="791">
        <f t="shared" si="28"/>
        <v>69.09</v>
      </c>
      <c r="EZ19" s="789">
        <v>50.13</v>
      </c>
      <c r="FA19" s="367">
        <v>27.43</v>
      </c>
      <c r="FB19" s="367"/>
      <c r="FC19" s="790"/>
      <c r="FD19" s="791">
        <f t="shared" si="29"/>
        <v>77.56</v>
      </c>
      <c r="FE19" s="789">
        <v>47.09</v>
      </c>
      <c r="FF19" s="367">
        <v>30.67</v>
      </c>
      <c r="FG19" s="367"/>
      <c r="FH19" s="790"/>
      <c r="FI19" s="791">
        <f t="shared" si="30"/>
        <v>77.760000000000005</v>
      </c>
      <c r="FJ19" s="789">
        <v>37.92</v>
      </c>
      <c r="FK19" s="367">
        <v>36.65</v>
      </c>
      <c r="FL19" s="367"/>
      <c r="FM19" s="790"/>
      <c r="FN19" s="791">
        <f t="shared" si="31"/>
        <v>74.569999999999993</v>
      </c>
      <c r="FO19" s="789">
        <v>41.36</v>
      </c>
      <c r="FP19" s="367">
        <v>54.17</v>
      </c>
      <c r="FQ19" s="367"/>
      <c r="FR19" s="790"/>
      <c r="FS19" s="791">
        <f t="shared" si="32"/>
        <v>95.53</v>
      </c>
      <c r="FT19" s="789">
        <v>65.17</v>
      </c>
      <c r="FU19" s="367">
        <v>52.15</v>
      </c>
      <c r="FV19" s="367"/>
      <c r="FW19" s="790"/>
      <c r="FX19" s="791">
        <f t="shared" si="33"/>
        <v>117.32</v>
      </c>
      <c r="FY19" s="789">
        <v>66.56</v>
      </c>
      <c r="FZ19" s="367">
        <v>31.33</v>
      </c>
      <c r="GA19" s="367"/>
      <c r="GB19" s="790"/>
      <c r="GC19" s="791">
        <f t="shared" si="34"/>
        <v>97.89</v>
      </c>
      <c r="GD19" s="789">
        <v>73.48</v>
      </c>
      <c r="GE19" s="367">
        <v>20.6</v>
      </c>
      <c r="GF19" s="367"/>
      <c r="GG19" s="790"/>
      <c r="GH19" s="791">
        <f t="shared" si="35"/>
        <v>94.080000000000013</v>
      </c>
      <c r="GI19" s="455">
        <f t="shared" si="7"/>
        <v>979.72</v>
      </c>
      <c r="GJ19" s="302">
        <v>40.06</v>
      </c>
      <c r="GK19" s="303">
        <v>38.47</v>
      </c>
      <c r="GL19" s="303"/>
      <c r="GM19" s="304"/>
      <c r="GN19" s="305">
        <f t="shared" si="36"/>
        <v>78.53</v>
      </c>
      <c r="GO19" s="302">
        <v>26.29</v>
      </c>
      <c r="GP19" s="303">
        <v>21.45</v>
      </c>
      <c r="GQ19" s="303">
        <v>12.99</v>
      </c>
      <c r="GR19" s="304"/>
      <c r="GS19" s="305">
        <f t="shared" si="37"/>
        <v>60.73</v>
      </c>
      <c r="GT19" s="302">
        <v>15.16</v>
      </c>
      <c r="GU19" s="303">
        <v>26.68</v>
      </c>
      <c r="GV19" s="303"/>
      <c r="GW19" s="304"/>
      <c r="GX19" s="305">
        <f t="shared" si="38"/>
        <v>41.84</v>
      </c>
      <c r="GY19" s="302">
        <v>36.19</v>
      </c>
      <c r="GZ19" s="303">
        <v>48.89</v>
      </c>
      <c r="HA19" s="303"/>
      <c r="HB19" s="304"/>
      <c r="HC19" s="305">
        <f t="shared" si="39"/>
        <v>85.08</v>
      </c>
      <c r="HD19" s="302">
        <v>31.94</v>
      </c>
      <c r="HE19" s="303">
        <v>28.78</v>
      </c>
      <c r="HF19" s="303"/>
      <c r="HG19" s="304"/>
      <c r="HH19" s="305">
        <f t="shared" si="40"/>
        <v>60.72</v>
      </c>
      <c r="HI19" s="302">
        <v>28.02</v>
      </c>
      <c r="HJ19" s="303">
        <v>24.12</v>
      </c>
      <c r="HK19" s="303">
        <v>5.84</v>
      </c>
      <c r="HL19" s="304"/>
      <c r="HM19" s="305">
        <f t="shared" si="41"/>
        <v>57.980000000000004</v>
      </c>
      <c r="HN19" s="302">
        <v>17.68</v>
      </c>
      <c r="HO19" s="303">
        <v>27.29</v>
      </c>
      <c r="HP19" s="303">
        <v>17.2</v>
      </c>
      <c r="HQ19" s="304"/>
      <c r="HR19" s="305">
        <f t="shared" si="42"/>
        <v>62.17</v>
      </c>
      <c r="HS19" s="302">
        <v>30.32</v>
      </c>
      <c r="HT19" s="303">
        <v>37.119999999999997</v>
      </c>
      <c r="HU19" s="303"/>
      <c r="HV19" s="304"/>
      <c r="HW19" s="305">
        <f t="shared" si="43"/>
        <v>67.44</v>
      </c>
      <c r="HX19" s="302">
        <v>62.78</v>
      </c>
      <c r="HY19" s="303">
        <v>84.76</v>
      </c>
      <c r="HZ19" s="303"/>
      <c r="IA19" s="304"/>
      <c r="IB19" s="305">
        <f t="shared" si="44"/>
        <v>147.54000000000002</v>
      </c>
      <c r="IC19" s="302">
        <v>92.97</v>
      </c>
      <c r="ID19" s="308"/>
      <c r="IE19" s="303"/>
      <c r="IF19" s="304"/>
      <c r="IG19" s="305">
        <f t="shared" si="45"/>
        <v>92.97</v>
      </c>
      <c r="IH19" s="61">
        <f>63.77+5.88</f>
        <v>69.650000000000006</v>
      </c>
      <c r="II19" s="62">
        <f>71.25+2.55</f>
        <v>73.8</v>
      </c>
      <c r="IJ19" s="62"/>
      <c r="IK19" s="301"/>
      <c r="IL19" s="300">
        <f t="shared" si="46"/>
        <v>143.44999999999999</v>
      </c>
      <c r="IM19" s="61">
        <v>58.8</v>
      </c>
      <c r="IN19" s="62">
        <v>39.67</v>
      </c>
      <c r="IO19" s="301"/>
      <c r="IP19" s="296"/>
      <c r="IQ19" s="442">
        <f t="shared" si="47"/>
        <v>98.47</v>
      </c>
      <c r="IR19" s="442"/>
      <c r="IS19" s="455">
        <f t="shared" si="48"/>
        <v>996.92000000000007</v>
      </c>
      <c r="IT19" s="449">
        <v>51.83</v>
      </c>
      <c r="IU19" s="309"/>
      <c r="IV19" s="33"/>
      <c r="IW19" s="296"/>
      <c r="IX19" s="298">
        <f t="shared" si="49"/>
        <v>51.83</v>
      </c>
      <c r="IY19" s="32">
        <v>71.569999999999993</v>
      </c>
      <c r="IZ19" s="33">
        <v>11.34</v>
      </c>
      <c r="JA19" s="33"/>
      <c r="JB19" s="296"/>
      <c r="JC19" s="298">
        <f t="shared" si="50"/>
        <v>82.91</v>
      </c>
      <c r="JD19" s="32">
        <v>34.24</v>
      </c>
      <c r="JE19" s="33">
        <v>27.26</v>
      </c>
      <c r="JF19" s="33"/>
      <c r="JG19" s="296"/>
      <c r="JH19" s="298">
        <f t="shared" si="51"/>
        <v>61.5</v>
      </c>
      <c r="JI19" s="32">
        <v>62.01</v>
      </c>
      <c r="JJ19" s="33">
        <v>46.54</v>
      </c>
      <c r="JK19" s="33"/>
      <c r="JL19" s="296"/>
      <c r="JM19" s="298">
        <f t="shared" si="52"/>
        <v>108.55</v>
      </c>
      <c r="JN19" s="32">
        <v>35.229999999999997</v>
      </c>
      <c r="JO19" s="33">
        <v>34</v>
      </c>
      <c r="JP19" s="33"/>
      <c r="JQ19" s="296"/>
      <c r="JR19" s="298">
        <f t="shared" si="53"/>
        <v>69.22999999999999</v>
      </c>
      <c r="JS19" s="32">
        <v>34.950000000000003</v>
      </c>
      <c r="JT19" s="33">
        <v>29.5</v>
      </c>
      <c r="JU19" s="33">
        <v>7.98</v>
      </c>
      <c r="JV19" s="296"/>
      <c r="JW19" s="298">
        <f t="shared" si="54"/>
        <v>72.430000000000007</v>
      </c>
      <c r="JX19" s="32">
        <v>18.38</v>
      </c>
      <c r="JY19" s="33">
        <v>28.27</v>
      </c>
      <c r="JZ19" s="33">
        <v>28.81</v>
      </c>
      <c r="KA19" s="296"/>
      <c r="KB19" s="298">
        <f t="shared" si="55"/>
        <v>75.459999999999994</v>
      </c>
      <c r="KC19" s="32">
        <v>26.92</v>
      </c>
      <c r="KD19" s="33">
        <v>33.67</v>
      </c>
      <c r="KE19" s="33">
        <v>19.77</v>
      </c>
      <c r="KF19" s="296"/>
      <c r="KG19" s="298">
        <f t="shared" si="56"/>
        <v>80.36</v>
      </c>
      <c r="KH19" s="32">
        <v>7.58</v>
      </c>
      <c r="KI19" s="33">
        <v>54.559999999999995</v>
      </c>
      <c r="KJ19" s="33">
        <v>42.160000000000004</v>
      </c>
      <c r="KK19" s="296">
        <v>0</v>
      </c>
      <c r="KL19" s="298">
        <f t="shared" si="57"/>
        <v>104.3</v>
      </c>
      <c r="KM19" s="32">
        <v>50.85</v>
      </c>
      <c r="KN19" s="33">
        <v>55.43</v>
      </c>
      <c r="KO19" s="33">
        <v>0</v>
      </c>
      <c r="KP19" s="296">
        <v>0</v>
      </c>
      <c r="KQ19" s="298">
        <f t="shared" si="58"/>
        <v>106.28</v>
      </c>
      <c r="KR19" s="32">
        <v>17.79</v>
      </c>
      <c r="KS19" s="33">
        <v>73.5</v>
      </c>
      <c r="KT19" s="33">
        <v>3.22</v>
      </c>
      <c r="KU19" s="296">
        <v>0</v>
      </c>
      <c r="KV19" s="298">
        <f t="shared" si="59"/>
        <v>94.509999999999991</v>
      </c>
      <c r="KW19" s="32">
        <v>49.47</v>
      </c>
      <c r="KX19" s="33">
        <v>43.91</v>
      </c>
      <c r="KY19" s="33">
        <v>0</v>
      </c>
      <c r="KZ19" s="296">
        <v>0</v>
      </c>
      <c r="LA19" s="298">
        <f t="shared" si="8"/>
        <v>93.38</v>
      </c>
      <c r="LB19" s="455">
        <f t="shared" si="60"/>
        <v>1000.7399999999999</v>
      </c>
      <c r="LC19" s="32">
        <f t="shared" si="9"/>
        <v>62.379999999999995</v>
      </c>
      <c r="LD19" s="33">
        <f t="shared" si="10"/>
        <v>22.2</v>
      </c>
      <c r="LE19" s="33">
        <f t="shared" si="11"/>
        <v>0</v>
      </c>
      <c r="LF19" s="296">
        <f t="shared" si="12"/>
        <v>0</v>
      </c>
      <c r="LG19" s="298">
        <f t="shared" si="13"/>
        <v>84.58</v>
      </c>
      <c r="LH19" s="32"/>
      <c r="LI19" s="33"/>
      <c r="LJ19" s="33"/>
      <c r="LK19" s="296"/>
      <c r="LL19" s="298">
        <f t="shared" si="61"/>
        <v>0</v>
      </c>
      <c r="LM19" s="32"/>
      <c r="LN19" s="33"/>
      <c r="LO19" s="33"/>
      <c r="LP19" s="296"/>
      <c r="LQ19" s="298">
        <f t="shared" si="62"/>
        <v>0</v>
      </c>
      <c r="LR19" s="32"/>
      <c r="LS19" s="33"/>
      <c r="LT19" s="33"/>
      <c r="LU19" s="296"/>
      <c r="LV19" s="298">
        <f t="shared" si="63"/>
        <v>0</v>
      </c>
      <c r="LW19" s="32"/>
      <c r="LX19" s="33"/>
      <c r="LY19" s="33"/>
      <c r="LZ19" s="296"/>
      <c r="MA19" s="298">
        <f t="shared" si="64"/>
        <v>0</v>
      </c>
      <c r="MB19" s="32"/>
      <c r="MC19" s="33"/>
      <c r="MD19" s="33"/>
      <c r="ME19" s="296"/>
      <c r="MF19" s="298">
        <f t="shared" si="65"/>
        <v>0</v>
      </c>
      <c r="MG19" s="32"/>
      <c r="MH19" s="33"/>
      <c r="MI19" s="33"/>
      <c r="MJ19" s="296"/>
      <c r="MK19" s="298">
        <f t="shared" si="66"/>
        <v>0</v>
      </c>
      <c r="ML19" s="32"/>
      <c r="MM19" s="33"/>
      <c r="MN19" s="33"/>
      <c r="MO19" s="296"/>
      <c r="MP19" s="298">
        <f t="shared" si="67"/>
        <v>0</v>
      </c>
      <c r="MQ19" s="32"/>
      <c r="MR19" s="33"/>
      <c r="MS19" s="33"/>
      <c r="MT19" s="296"/>
      <c r="MU19" s="298">
        <f t="shared" si="68"/>
        <v>0</v>
      </c>
      <c r="MV19" s="32"/>
      <c r="MW19" s="33"/>
      <c r="MX19" s="33"/>
      <c r="MY19" s="296"/>
      <c r="MZ19" s="298">
        <f t="shared" si="69"/>
        <v>0</v>
      </c>
      <c r="NA19" s="32"/>
      <c r="NB19" s="33"/>
      <c r="NC19" s="33"/>
      <c r="ND19" s="296"/>
      <c r="NE19" s="298">
        <f t="shared" si="70"/>
        <v>0</v>
      </c>
      <c r="NF19" s="32"/>
      <c r="NG19" s="33"/>
      <c r="NH19" s="33"/>
      <c r="NI19" s="296"/>
      <c r="NJ19" s="298">
        <f t="shared" si="14"/>
        <v>0</v>
      </c>
      <c r="NK19" s="455">
        <f t="shared" si="71"/>
        <v>84.58</v>
      </c>
    </row>
    <row r="20" spans="1:375" ht="16.5" thickBot="1" x14ac:dyDescent="0.3">
      <c r="A20" s="315"/>
      <c r="B20" s="316">
        <v>23</v>
      </c>
      <c r="C20" s="317">
        <v>14.6</v>
      </c>
      <c r="D20" s="284">
        <v>19.149999999999999</v>
      </c>
      <c r="E20" s="285"/>
      <c r="F20" s="286"/>
      <c r="G20" s="287"/>
      <c r="H20" s="288">
        <f t="shared" si="15"/>
        <v>19.149999999999999</v>
      </c>
      <c r="I20" s="289"/>
      <c r="J20" s="290"/>
      <c r="K20" s="290"/>
      <c r="L20" s="291"/>
      <c r="M20" s="256">
        <f t="shared" si="16"/>
        <v>0</v>
      </c>
      <c r="N20" s="289">
        <v>20.37</v>
      </c>
      <c r="O20" s="290"/>
      <c r="P20" s="290"/>
      <c r="Q20" s="291"/>
      <c r="R20" s="256">
        <f t="shared" si="0"/>
        <v>20.37</v>
      </c>
      <c r="S20" s="289">
        <v>10.63</v>
      </c>
      <c r="T20" s="290"/>
      <c r="U20" s="290"/>
      <c r="V20" s="291"/>
      <c r="W20" s="256">
        <f t="shared" si="1"/>
        <v>10.63</v>
      </c>
      <c r="X20" s="289">
        <v>19.55</v>
      </c>
      <c r="Y20" s="290"/>
      <c r="Z20" s="290"/>
      <c r="AA20" s="291"/>
      <c r="AB20" s="256">
        <f t="shared" si="17"/>
        <v>19.55</v>
      </c>
      <c r="AC20" s="292">
        <v>22.54</v>
      </c>
      <c r="AD20" s="293">
        <v>13.25</v>
      </c>
      <c r="AE20" s="293"/>
      <c r="AF20" s="294"/>
      <c r="AG20" s="260">
        <f t="shared" si="18"/>
        <v>35.79</v>
      </c>
      <c r="AH20" s="292">
        <v>11.97</v>
      </c>
      <c r="AI20" s="293"/>
      <c r="AJ20" s="293"/>
      <c r="AK20" s="294"/>
      <c r="AL20" s="295">
        <f t="shared" si="72"/>
        <v>11.97</v>
      </c>
      <c r="AM20" s="32">
        <v>15.03</v>
      </c>
      <c r="AN20" s="33">
        <v>17.399999999999999</v>
      </c>
      <c r="AO20" s="33"/>
      <c r="AP20" s="296"/>
      <c r="AQ20" s="297">
        <f t="shared" si="73"/>
        <v>32.43</v>
      </c>
      <c r="AR20" s="32">
        <v>18.372</v>
      </c>
      <c r="AS20" s="33"/>
      <c r="AT20" s="33"/>
      <c r="AU20" s="296"/>
      <c r="AV20" s="298">
        <f t="shared" si="74"/>
        <v>18.372</v>
      </c>
      <c r="AW20" s="32">
        <v>11.87</v>
      </c>
      <c r="AX20" s="33">
        <v>16.38</v>
      </c>
      <c r="AY20" s="33"/>
      <c r="AZ20" s="296"/>
      <c r="BA20" s="298">
        <f t="shared" si="75"/>
        <v>28.25</v>
      </c>
      <c r="BB20" s="32">
        <f>22.69+2.81</f>
        <v>25.5</v>
      </c>
      <c r="BC20" s="33"/>
      <c r="BD20" s="33"/>
      <c r="BE20" s="296"/>
      <c r="BF20" s="298">
        <f t="shared" si="81"/>
        <v>25.5</v>
      </c>
      <c r="BG20" s="32">
        <v>26.7</v>
      </c>
      <c r="BH20" s="33"/>
      <c r="BI20" s="33"/>
      <c r="BJ20" s="299"/>
      <c r="BK20" s="298">
        <f t="shared" si="76"/>
        <v>26.7</v>
      </c>
      <c r="BL20" s="32">
        <f>20.89+3.22</f>
        <v>24.11</v>
      </c>
      <c r="BM20" s="33">
        <v>12.47</v>
      </c>
      <c r="BN20" s="33"/>
      <c r="BO20" s="299"/>
      <c r="BP20" s="297">
        <f t="shared" si="77"/>
        <v>36.58</v>
      </c>
      <c r="BQ20" s="455">
        <f t="shared" si="2"/>
        <v>266.142</v>
      </c>
      <c r="BR20" s="32">
        <v>3.99</v>
      </c>
      <c r="BS20" s="43">
        <v>12.25</v>
      </c>
      <c r="BT20" s="43"/>
      <c r="BU20" s="781"/>
      <c r="BV20" s="782">
        <f t="shared" si="19"/>
        <v>16.240000000000002</v>
      </c>
      <c r="BW20" s="783">
        <v>4.6900000000000004</v>
      </c>
      <c r="BX20" s="43">
        <v>4.05</v>
      </c>
      <c r="BY20" s="43"/>
      <c r="BZ20" s="781"/>
      <c r="CA20" s="784">
        <f t="shared" si="20"/>
        <v>8.74</v>
      </c>
      <c r="CB20" s="785">
        <v>7.02</v>
      </c>
      <c r="CC20" s="786">
        <v>7.68</v>
      </c>
      <c r="CD20" s="786"/>
      <c r="CE20" s="787"/>
      <c r="CF20" s="788">
        <f t="shared" si="78"/>
        <v>14.7</v>
      </c>
      <c r="CG20" s="785">
        <v>11.17</v>
      </c>
      <c r="CH20" s="786">
        <v>8.9600000000000009</v>
      </c>
      <c r="CI20" s="786"/>
      <c r="CJ20" s="787"/>
      <c r="CK20" s="788">
        <f t="shared" si="79"/>
        <v>20.130000000000003</v>
      </c>
      <c r="CL20" s="785">
        <v>9.02</v>
      </c>
      <c r="CM20" s="786">
        <v>9.08</v>
      </c>
      <c r="CN20" s="786"/>
      <c r="CO20" s="787"/>
      <c r="CP20" s="788">
        <f t="shared" si="80"/>
        <v>18.100000000000001</v>
      </c>
      <c r="CQ20" s="789">
        <v>8.8000000000000007</v>
      </c>
      <c r="CR20" s="367">
        <v>3.8</v>
      </c>
      <c r="CS20" s="367"/>
      <c r="CT20" s="790"/>
      <c r="CU20" s="791">
        <v>12.600000000000001</v>
      </c>
      <c r="CV20" s="789">
        <v>6.1</v>
      </c>
      <c r="CW20" s="367">
        <v>7.23</v>
      </c>
      <c r="CX20" s="367"/>
      <c r="CY20" s="790"/>
      <c r="CZ20" s="791">
        <f t="shared" si="3"/>
        <v>13.33</v>
      </c>
      <c r="DA20" s="789">
        <v>9.76</v>
      </c>
      <c r="DB20" s="367">
        <v>9.06</v>
      </c>
      <c r="DC20" s="367"/>
      <c r="DD20" s="790"/>
      <c r="DE20" s="791">
        <f t="shared" si="4"/>
        <v>18.82</v>
      </c>
      <c r="DF20" s="789">
        <v>14.39</v>
      </c>
      <c r="DG20" s="367"/>
      <c r="DH20" s="367"/>
      <c r="DI20" s="790"/>
      <c r="DJ20" s="791">
        <f t="shared" si="5"/>
        <v>14.39</v>
      </c>
      <c r="DK20" s="789">
        <v>19.690000000000001</v>
      </c>
      <c r="DL20" s="367">
        <v>22.57</v>
      </c>
      <c r="DM20" s="367"/>
      <c r="DN20" s="790"/>
      <c r="DO20" s="791">
        <f t="shared" si="21"/>
        <v>42.260000000000005</v>
      </c>
      <c r="DP20" s="789">
        <v>28.15</v>
      </c>
      <c r="DQ20" s="367"/>
      <c r="DR20" s="367"/>
      <c r="DS20" s="790"/>
      <c r="DT20" s="791">
        <f t="shared" si="22"/>
        <v>28.15</v>
      </c>
      <c r="DU20" s="789">
        <v>18.77</v>
      </c>
      <c r="DV20" s="367"/>
      <c r="DW20" s="367"/>
      <c r="DX20" s="790"/>
      <c r="DY20" s="791">
        <f t="shared" si="23"/>
        <v>18.77</v>
      </c>
      <c r="DZ20" s="455">
        <f t="shared" si="6"/>
        <v>226.23000000000002</v>
      </c>
      <c r="EA20" s="789">
        <v>13.39</v>
      </c>
      <c r="EB20" s="367"/>
      <c r="EC20" s="367"/>
      <c r="ED20" s="790"/>
      <c r="EE20" s="791">
        <f t="shared" si="24"/>
        <v>13.39</v>
      </c>
      <c r="EF20" s="789">
        <v>10.82</v>
      </c>
      <c r="EG20" s="367">
        <v>12.56</v>
      </c>
      <c r="EH20" s="367"/>
      <c r="EI20" s="790"/>
      <c r="EJ20" s="791">
        <f t="shared" si="25"/>
        <v>23.380000000000003</v>
      </c>
      <c r="EK20" s="789">
        <v>14.47</v>
      </c>
      <c r="EL20" s="367"/>
      <c r="EM20" s="367"/>
      <c r="EN20" s="790"/>
      <c r="EO20" s="791">
        <f t="shared" si="26"/>
        <v>14.47</v>
      </c>
      <c r="EP20" s="789">
        <v>7.79</v>
      </c>
      <c r="EQ20" s="367"/>
      <c r="ER20" s="367"/>
      <c r="ES20" s="790"/>
      <c r="ET20" s="791">
        <f t="shared" si="27"/>
        <v>7.79</v>
      </c>
      <c r="EU20" s="789">
        <v>12.21</v>
      </c>
      <c r="EV20" s="367">
        <v>4.2699999999999996</v>
      </c>
      <c r="EW20" s="367"/>
      <c r="EX20" s="790"/>
      <c r="EY20" s="791">
        <f t="shared" si="28"/>
        <v>16.48</v>
      </c>
      <c r="EZ20" s="789">
        <v>12.54</v>
      </c>
      <c r="FA20" s="367">
        <v>8.83</v>
      </c>
      <c r="FB20" s="367"/>
      <c r="FC20" s="790"/>
      <c r="FD20" s="791">
        <f t="shared" si="29"/>
        <v>21.369999999999997</v>
      </c>
      <c r="FE20" s="789">
        <v>12.79</v>
      </c>
      <c r="FF20" s="367">
        <v>8.4</v>
      </c>
      <c r="FG20" s="367"/>
      <c r="FH20" s="790"/>
      <c r="FI20" s="791">
        <f t="shared" si="30"/>
        <v>21.189999999999998</v>
      </c>
      <c r="FJ20" s="789">
        <v>8.9</v>
      </c>
      <c r="FK20" s="367">
        <v>32.92</v>
      </c>
      <c r="FL20" s="367"/>
      <c r="FM20" s="790"/>
      <c r="FN20" s="791">
        <f t="shared" si="31"/>
        <v>41.82</v>
      </c>
      <c r="FO20" s="789">
        <f>12.97+0.34</f>
        <v>13.31</v>
      </c>
      <c r="FP20" s="367">
        <v>8.8800000000000008</v>
      </c>
      <c r="FQ20" s="367"/>
      <c r="FR20" s="790"/>
      <c r="FS20" s="791">
        <f t="shared" si="32"/>
        <v>22.19</v>
      </c>
      <c r="FT20" s="789">
        <v>15.19</v>
      </c>
      <c r="FU20" s="367">
        <v>8.67</v>
      </c>
      <c r="FV20" s="367"/>
      <c r="FW20" s="790"/>
      <c r="FX20" s="791">
        <f t="shared" si="33"/>
        <v>23.86</v>
      </c>
      <c r="FY20" s="789">
        <v>11.73</v>
      </c>
      <c r="FZ20" s="367">
        <v>9.02</v>
      </c>
      <c r="GA20" s="367"/>
      <c r="GB20" s="790"/>
      <c r="GC20" s="791">
        <f t="shared" si="34"/>
        <v>20.75</v>
      </c>
      <c r="GD20" s="789">
        <v>16.809999999999999</v>
      </c>
      <c r="GE20" s="810"/>
      <c r="GF20" s="367"/>
      <c r="GG20" s="790"/>
      <c r="GH20" s="791">
        <f t="shared" si="35"/>
        <v>16.809999999999999</v>
      </c>
      <c r="GI20" s="455">
        <f t="shared" si="7"/>
        <v>243.5</v>
      </c>
      <c r="GJ20" s="302">
        <v>13.68</v>
      </c>
      <c r="GK20" s="303">
        <v>7.15</v>
      </c>
      <c r="GL20" s="303"/>
      <c r="GM20" s="304"/>
      <c r="GN20" s="305">
        <f t="shared" si="36"/>
        <v>20.83</v>
      </c>
      <c r="GO20" s="302">
        <v>7.71</v>
      </c>
      <c r="GP20" s="303">
        <v>7.31</v>
      </c>
      <c r="GQ20" s="303"/>
      <c r="GR20" s="304"/>
      <c r="GS20" s="305">
        <f t="shared" si="37"/>
        <v>15.02</v>
      </c>
      <c r="GT20" s="302">
        <v>3.82</v>
      </c>
      <c r="GU20" s="303">
        <v>3.35</v>
      </c>
      <c r="GV20" s="303"/>
      <c r="GW20" s="304"/>
      <c r="GX20" s="305">
        <f t="shared" si="38"/>
        <v>7.17</v>
      </c>
      <c r="GY20" s="302">
        <v>5.05</v>
      </c>
      <c r="GZ20" s="303">
        <v>7.32</v>
      </c>
      <c r="HA20" s="303"/>
      <c r="HB20" s="304"/>
      <c r="HC20" s="305">
        <f t="shared" si="39"/>
        <v>12.370000000000001</v>
      </c>
      <c r="HD20" s="302">
        <v>13.94</v>
      </c>
      <c r="HE20" s="303">
        <v>10.199999999999999</v>
      </c>
      <c r="HF20" s="303"/>
      <c r="HG20" s="304"/>
      <c r="HH20" s="305">
        <f t="shared" si="40"/>
        <v>24.14</v>
      </c>
      <c r="HI20" s="302">
        <v>7.96</v>
      </c>
      <c r="HJ20" s="303">
        <v>7.36</v>
      </c>
      <c r="HK20" s="303"/>
      <c r="HL20" s="304"/>
      <c r="HM20" s="305">
        <f t="shared" si="41"/>
        <v>15.32</v>
      </c>
      <c r="HN20" s="302">
        <v>12.46</v>
      </c>
      <c r="HO20" s="303">
        <v>16.66</v>
      </c>
      <c r="HP20" s="303"/>
      <c r="HQ20" s="304"/>
      <c r="HR20" s="305">
        <f t="shared" si="42"/>
        <v>29.12</v>
      </c>
      <c r="HS20" s="302">
        <v>12.77</v>
      </c>
      <c r="HT20" s="303">
        <v>27.27</v>
      </c>
      <c r="HU20" s="303"/>
      <c r="HV20" s="304"/>
      <c r="HW20" s="305">
        <f t="shared" si="43"/>
        <v>40.04</v>
      </c>
      <c r="HX20" s="302">
        <v>25.52</v>
      </c>
      <c r="HY20" s="308"/>
      <c r="HZ20" s="303"/>
      <c r="IA20" s="304"/>
      <c r="IB20" s="305">
        <f t="shared" si="44"/>
        <v>25.52</v>
      </c>
      <c r="IC20" s="302">
        <f>22.74+1.77</f>
        <v>24.509999999999998</v>
      </c>
      <c r="ID20" s="303">
        <v>19.52</v>
      </c>
      <c r="IE20" s="303"/>
      <c r="IF20" s="304"/>
      <c r="IG20" s="305">
        <f t="shared" si="45"/>
        <v>44.03</v>
      </c>
      <c r="IH20" s="61">
        <v>17.55</v>
      </c>
      <c r="II20" s="62">
        <f>11.65+3.17</f>
        <v>14.82</v>
      </c>
      <c r="IJ20" s="62"/>
      <c r="IK20" s="301"/>
      <c r="IL20" s="300">
        <f t="shared" si="46"/>
        <v>32.370000000000005</v>
      </c>
      <c r="IM20" s="61">
        <v>4</v>
      </c>
      <c r="IN20" s="62">
        <v>17.66</v>
      </c>
      <c r="IO20" s="301"/>
      <c r="IP20" s="296"/>
      <c r="IQ20" s="442">
        <f t="shared" si="47"/>
        <v>21.66</v>
      </c>
      <c r="IR20" s="442"/>
      <c r="IS20" s="455">
        <f t="shared" si="48"/>
        <v>287.59000000000003</v>
      </c>
      <c r="IT20" s="449">
        <v>15.99</v>
      </c>
      <c r="IU20" s="309"/>
      <c r="IV20" s="33"/>
      <c r="IW20" s="296"/>
      <c r="IX20" s="298">
        <f t="shared" si="49"/>
        <v>15.99</v>
      </c>
      <c r="IY20" s="32">
        <v>16.3</v>
      </c>
      <c r="IZ20" s="33">
        <v>4.55</v>
      </c>
      <c r="JA20" s="33"/>
      <c r="JB20" s="296"/>
      <c r="JC20" s="298">
        <f t="shared" si="50"/>
        <v>20.85</v>
      </c>
      <c r="JD20" s="32">
        <v>7.52</v>
      </c>
      <c r="JE20" s="33">
        <v>4.88</v>
      </c>
      <c r="JF20" s="33"/>
      <c r="JG20" s="296"/>
      <c r="JH20" s="298">
        <f t="shared" si="51"/>
        <v>12.399999999999999</v>
      </c>
      <c r="JI20" s="32">
        <v>17.23</v>
      </c>
      <c r="JJ20" s="33">
        <v>14.09</v>
      </c>
      <c r="JK20" s="33"/>
      <c r="JL20" s="296"/>
      <c r="JM20" s="298">
        <f t="shared" si="52"/>
        <v>31.32</v>
      </c>
      <c r="JN20" s="32">
        <v>14.23</v>
      </c>
      <c r="JO20" s="33">
        <v>7.32</v>
      </c>
      <c r="JP20" s="33"/>
      <c r="JQ20" s="296"/>
      <c r="JR20" s="298">
        <f t="shared" si="53"/>
        <v>21.55</v>
      </c>
      <c r="JS20" s="32">
        <v>17.14</v>
      </c>
      <c r="JT20" s="33">
        <v>4.37</v>
      </c>
      <c r="JU20" s="33"/>
      <c r="JV20" s="296"/>
      <c r="JW20" s="298">
        <f t="shared" si="54"/>
        <v>21.51</v>
      </c>
      <c r="JX20" s="32">
        <v>7.6</v>
      </c>
      <c r="JY20" s="33">
        <v>11.51</v>
      </c>
      <c r="JZ20" s="33"/>
      <c r="KA20" s="296"/>
      <c r="KB20" s="298">
        <f t="shared" si="55"/>
        <v>19.11</v>
      </c>
      <c r="KC20" s="32">
        <v>16.600000000000001</v>
      </c>
      <c r="KD20" s="33">
        <v>13.16</v>
      </c>
      <c r="KE20" s="33"/>
      <c r="KF20" s="296"/>
      <c r="KG20" s="298">
        <f t="shared" si="56"/>
        <v>29.76</v>
      </c>
      <c r="KH20" s="32">
        <v>11.48</v>
      </c>
      <c r="KI20" s="33">
        <v>11.98</v>
      </c>
      <c r="KJ20" s="33">
        <v>0</v>
      </c>
      <c r="KK20" s="296">
        <v>0</v>
      </c>
      <c r="KL20" s="298">
        <f t="shared" si="57"/>
        <v>23.46</v>
      </c>
      <c r="KM20" s="32">
        <v>13.55</v>
      </c>
      <c r="KN20" s="33">
        <v>21.560000000000002</v>
      </c>
      <c r="KO20" s="33">
        <v>0</v>
      </c>
      <c r="KP20" s="296">
        <v>0</v>
      </c>
      <c r="KQ20" s="298">
        <f t="shared" si="58"/>
        <v>35.11</v>
      </c>
      <c r="KR20" s="32">
        <v>22.73</v>
      </c>
      <c r="KS20" s="33">
        <v>12.56</v>
      </c>
      <c r="KT20" s="33">
        <v>0</v>
      </c>
      <c r="KU20" s="296">
        <v>0</v>
      </c>
      <c r="KV20" s="298">
        <f t="shared" si="59"/>
        <v>35.29</v>
      </c>
      <c r="KW20" s="32">
        <v>25.259999999999998</v>
      </c>
      <c r="KX20" s="33">
        <v>0</v>
      </c>
      <c r="KY20" s="33">
        <v>0</v>
      </c>
      <c r="KZ20" s="296">
        <v>0</v>
      </c>
      <c r="LA20" s="298">
        <f t="shared" si="8"/>
        <v>25.259999999999998</v>
      </c>
      <c r="LB20" s="455">
        <f t="shared" si="60"/>
        <v>291.61</v>
      </c>
      <c r="LC20" s="32">
        <f t="shared" si="9"/>
        <v>17.37</v>
      </c>
      <c r="LD20" s="33">
        <f t="shared" si="10"/>
        <v>3.79</v>
      </c>
      <c r="LE20" s="33">
        <f t="shared" si="11"/>
        <v>0</v>
      </c>
      <c r="LF20" s="296">
        <f t="shared" si="12"/>
        <v>0</v>
      </c>
      <c r="LG20" s="298">
        <f t="shared" si="13"/>
        <v>21.16</v>
      </c>
      <c r="LH20" s="32"/>
      <c r="LI20" s="33"/>
      <c r="LJ20" s="33"/>
      <c r="LK20" s="296"/>
      <c r="LL20" s="298">
        <f t="shared" si="61"/>
        <v>0</v>
      </c>
      <c r="LM20" s="32"/>
      <c r="LN20" s="33"/>
      <c r="LO20" s="33"/>
      <c r="LP20" s="296"/>
      <c r="LQ20" s="298">
        <f t="shared" si="62"/>
        <v>0</v>
      </c>
      <c r="LR20" s="32"/>
      <c r="LS20" s="33"/>
      <c r="LT20" s="33"/>
      <c r="LU20" s="296"/>
      <c r="LV20" s="298">
        <f t="shared" si="63"/>
        <v>0</v>
      </c>
      <c r="LW20" s="32"/>
      <c r="LX20" s="33"/>
      <c r="LY20" s="33"/>
      <c r="LZ20" s="296"/>
      <c r="MA20" s="298">
        <f t="shared" si="64"/>
        <v>0</v>
      </c>
      <c r="MB20" s="32"/>
      <c r="MC20" s="33"/>
      <c r="MD20" s="33"/>
      <c r="ME20" s="296"/>
      <c r="MF20" s="298">
        <f t="shared" si="65"/>
        <v>0</v>
      </c>
      <c r="MG20" s="32"/>
      <c r="MH20" s="33"/>
      <c r="MI20" s="33"/>
      <c r="MJ20" s="296"/>
      <c r="MK20" s="298">
        <f t="shared" si="66"/>
        <v>0</v>
      </c>
      <c r="ML20" s="32"/>
      <c r="MM20" s="33"/>
      <c r="MN20" s="33"/>
      <c r="MO20" s="296"/>
      <c r="MP20" s="298">
        <f t="shared" si="67"/>
        <v>0</v>
      </c>
      <c r="MQ20" s="32"/>
      <c r="MR20" s="33"/>
      <c r="MS20" s="33"/>
      <c r="MT20" s="296"/>
      <c r="MU20" s="298">
        <f t="shared" si="68"/>
        <v>0</v>
      </c>
      <c r="MV20" s="32"/>
      <c r="MW20" s="33"/>
      <c r="MX20" s="33"/>
      <c r="MY20" s="296"/>
      <c r="MZ20" s="298">
        <f t="shared" si="69"/>
        <v>0</v>
      </c>
      <c r="NA20" s="32"/>
      <c r="NB20" s="33"/>
      <c r="NC20" s="33"/>
      <c r="ND20" s="296"/>
      <c r="NE20" s="298">
        <f t="shared" si="70"/>
        <v>0</v>
      </c>
      <c r="NF20" s="32"/>
      <c r="NG20" s="33"/>
      <c r="NH20" s="33"/>
      <c r="NI20" s="296"/>
      <c r="NJ20" s="298">
        <f t="shared" si="14"/>
        <v>0</v>
      </c>
      <c r="NK20" s="455">
        <f t="shared" si="71"/>
        <v>21.16</v>
      </c>
    </row>
    <row r="21" spans="1:375" ht="15.75" x14ac:dyDescent="0.25">
      <c r="A21" s="246" t="s">
        <v>38</v>
      </c>
      <c r="B21" s="318">
        <v>10</v>
      </c>
      <c r="C21" s="319">
        <v>19.100000000000001</v>
      </c>
      <c r="D21" s="284">
        <v>19.53</v>
      </c>
      <c r="E21" s="285"/>
      <c r="F21" s="286"/>
      <c r="G21" s="287"/>
      <c r="H21" s="288">
        <f t="shared" si="15"/>
        <v>19.53</v>
      </c>
      <c r="I21" s="289">
        <v>15.9</v>
      </c>
      <c r="J21" s="290"/>
      <c r="K21" s="290"/>
      <c r="L21" s="291"/>
      <c r="M21" s="256">
        <f t="shared" si="16"/>
        <v>15.9</v>
      </c>
      <c r="N21" s="289">
        <v>10.86</v>
      </c>
      <c r="O21" s="290">
        <v>4.05</v>
      </c>
      <c r="P21" s="290"/>
      <c r="Q21" s="291"/>
      <c r="R21" s="256">
        <f t="shared" si="0"/>
        <v>14.91</v>
      </c>
      <c r="S21" s="289">
        <v>14.42</v>
      </c>
      <c r="T21" s="290"/>
      <c r="U21" s="290"/>
      <c r="V21" s="291"/>
      <c r="W21" s="256">
        <f t="shared" si="1"/>
        <v>14.42</v>
      </c>
      <c r="X21" s="289">
        <v>29.71</v>
      </c>
      <c r="Y21" s="290"/>
      <c r="Z21" s="290"/>
      <c r="AA21" s="291"/>
      <c r="AB21" s="256">
        <f t="shared" si="17"/>
        <v>29.71</v>
      </c>
      <c r="AC21" s="292">
        <v>16.14</v>
      </c>
      <c r="AD21" s="293"/>
      <c r="AE21" s="293"/>
      <c r="AF21" s="294"/>
      <c r="AG21" s="260">
        <f t="shared" si="18"/>
        <v>16.14</v>
      </c>
      <c r="AH21" s="292">
        <v>9.23</v>
      </c>
      <c r="AI21" s="293">
        <v>14.2</v>
      </c>
      <c r="AJ21" s="293"/>
      <c r="AK21" s="294"/>
      <c r="AL21" s="295">
        <f t="shared" si="72"/>
        <v>23.43</v>
      </c>
      <c r="AM21" s="32">
        <v>17.04</v>
      </c>
      <c r="AN21" s="33"/>
      <c r="AO21" s="33"/>
      <c r="AP21" s="296"/>
      <c r="AQ21" s="297">
        <f t="shared" si="73"/>
        <v>17.04</v>
      </c>
      <c r="AR21" s="32">
        <v>29.35</v>
      </c>
      <c r="AS21" s="33"/>
      <c r="AT21" s="33"/>
      <c r="AU21" s="296"/>
      <c r="AV21" s="298">
        <f t="shared" si="74"/>
        <v>29.35</v>
      </c>
      <c r="AW21" s="32">
        <v>12.06</v>
      </c>
      <c r="AX21" s="33">
        <v>13.56</v>
      </c>
      <c r="AY21" s="33"/>
      <c r="AZ21" s="296"/>
      <c r="BA21" s="298">
        <f t="shared" si="75"/>
        <v>25.62</v>
      </c>
      <c r="BB21" s="32">
        <v>15.26</v>
      </c>
      <c r="BC21" s="33">
        <v>15.23</v>
      </c>
      <c r="BD21" s="33"/>
      <c r="BE21" s="296"/>
      <c r="BF21" s="298">
        <f t="shared" si="81"/>
        <v>30.490000000000002</v>
      </c>
      <c r="BG21" s="32">
        <v>15.78</v>
      </c>
      <c r="BH21" s="33">
        <v>15.61</v>
      </c>
      <c r="BI21" s="33"/>
      <c r="BJ21" s="299"/>
      <c r="BK21" s="298">
        <f t="shared" si="76"/>
        <v>31.39</v>
      </c>
      <c r="BL21" s="32">
        <v>15.54</v>
      </c>
      <c r="BM21" s="33">
        <v>12</v>
      </c>
      <c r="BN21" s="33"/>
      <c r="BO21" s="299"/>
      <c r="BP21" s="297">
        <f t="shared" si="77"/>
        <v>27.54</v>
      </c>
      <c r="BQ21" s="455">
        <f t="shared" si="2"/>
        <v>275.94</v>
      </c>
      <c r="BR21" s="32">
        <v>7.68</v>
      </c>
      <c r="BS21" s="43">
        <v>4.0199999999999996</v>
      </c>
      <c r="BT21" s="43"/>
      <c r="BU21" s="781"/>
      <c r="BV21" s="782">
        <f t="shared" si="19"/>
        <v>11.7</v>
      </c>
      <c r="BW21" s="783">
        <v>4.03</v>
      </c>
      <c r="BX21" s="43">
        <v>3.31</v>
      </c>
      <c r="BY21" s="43"/>
      <c r="BZ21" s="781"/>
      <c r="CA21" s="784">
        <f t="shared" si="20"/>
        <v>7.34</v>
      </c>
      <c r="CB21" s="785">
        <v>3.46</v>
      </c>
      <c r="CC21" s="786">
        <v>7.35</v>
      </c>
      <c r="CD21" s="786">
        <v>4.04</v>
      </c>
      <c r="CE21" s="787"/>
      <c r="CF21" s="788">
        <f t="shared" si="78"/>
        <v>14.849999999999998</v>
      </c>
      <c r="CG21" s="785">
        <v>7.56</v>
      </c>
      <c r="CH21" s="786">
        <v>7.9</v>
      </c>
      <c r="CI21" s="786">
        <v>3.72</v>
      </c>
      <c r="CJ21" s="787"/>
      <c r="CK21" s="788">
        <f t="shared" si="79"/>
        <v>19.18</v>
      </c>
      <c r="CL21" s="785">
        <v>14.38</v>
      </c>
      <c r="CM21" s="786">
        <v>12.03</v>
      </c>
      <c r="CN21" s="786"/>
      <c r="CO21" s="787"/>
      <c r="CP21" s="788">
        <f t="shared" si="80"/>
        <v>26.41</v>
      </c>
      <c r="CQ21" s="789">
        <v>10.93</v>
      </c>
      <c r="CR21" s="367">
        <v>11.61</v>
      </c>
      <c r="CS21" s="367"/>
      <c r="CT21" s="790"/>
      <c r="CU21" s="791">
        <v>22.54</v>
      </c>
      <c r="CV21" s="789">
        <v>13.11</v>
      </c>
      <c r="CW21" s="367"/>
      <c r="CX21" s="367"/>
      <c r="CY21" s="790"/>
      <c r="CZ21" s="791">
        <f t="shared" si="3"/>
        <v>13.11</v>
      </c>
      <c r="DA21" s="789">
        <v>20.47</v>
      </c>
      <c r="DB21" s="367"/>
      <c r="DC21" s="367"/>
      <c r="DD21" s="790"/>
      <c r="DE21" s="791">
        <f t="shared" si="4"/>
        <v>20.47</v>
      </c>
      <c r="DF21" s="789">
        <v>44.04</v>
      </c>
      <c r="DG21" s="367"/>
      <c r="DH21" s="367"/>
      <c r="DI21" s="790"/>
      <c r="DJ21" s="791">
        <f t="shared" si="5"/>
        <v>44.04</v>
      </c>
      <c r="DK21" s="789">
        <v>36.01</v>
      </c>
      <c r="DL21" s="367"/>
      <c r="DM21" s="367"/>
      <c r="DN21" s="790"/>
      <c r="DO21" s="791">
        <f t="shared" si="21"/>
        <v>36.01</v>
      </c>
      <c r="DP21" s="789"/>
      <c r="DQ21" s="367"/>
      <c r="DR21" s="367"/>
      <c r="DS21" s="790"/>
      <c r="DT21" s="791">
        <f t="shared" si="22"/>
        <v>0</v>
      </c>
      <c r="DU21" s="789">
        <v>53.05</v>
      </c>
      <c r="DV21" s="367"/>
      <c r="DW21" s="367"/>
      <c r="DX21" s="790"/>
      <c r="DY21" s="791">
        <f t="shared" si="23"/>
        <v>53.05</v>
      </c>
      <c r="DZ21" s="455">
        <f t="shared" si="6"/>
        <v>268.7</v>
      </c>
      <c r="EA21" s="789">
        <v>11.86</v>
      </c>
      <c r="EB21" s="367">
        <v>4.43</v>
      </c>
      <c r="EC21" s="367"/>
      <c r="ED21" s="790"/>
      <c r="EE21" s="791">
        <f t="shared" si="24"/>
        <v>16.29</v>
      </c>
      <c r="EF21" s="789">
        <v>16.53</v>
      </c>
      <c r="EG21" s="367"/>
      <c r="EH21" s="367"/>
      <c r="EI21" s="790"/>
      <c r="EJ21" s="791">
        <f t="shared" si="25"/>
        <v>16.53</v>
      </c>
      <c r="EK21" s="789">
        <v>6.59</v>
      </c>
      <c r="EL21" s="367">
        <v>12.07</v>
      </c>
      <c r="EM21" s="367"/>
      <c r="EN21" s="790"/>
      <c r="EO21" s="791">
        <f t="shared" si="26"/>
        <v>18.66</v>
      </c>
      <c r="EP21" s="789">
        <v>15.34</v>
      </c>
      <c r="EQ21" s="367"/>
      <c r="ER21" s="367"/>
      <c r="ES21" s="790"/>
      <c r="ET21" s="791">
        <f t="shared" si="27"/>
        <v>15.34</v>
      </c>
      <c r="EU21" s="789">
        <v>18.13</v>
      </c>
      <c r="EV21" s="367">
        <v>7.43</v>
      </c>
      <c r="EW21" s="367"/>
      <c r="EX21" s="790"/>
      <c r="EY21" s="791">
        <f t="shared" si="28"/>
        <v>25.56</v>
      </c>
      <c r="EZ21" s="789">
        <v>10.87</v>
      </c>
      <c r="FA21" s="367">
        <v>10.63</v>
      </c>
      <c r="FB21" s="367"/>
      <c r="FC21" s="790"/>
      <c r="FD21" s="791">
        <f t="shared" si="29"/>
        <v>21.5</v>
      </c>
      <c r="FE21" s="789">
        <v>10.95</v>
      </c>
      <c r="FF21" s="367">
        <v>16.98</v>
      </c>
      <c r="FG21" s="367"/>
      <c r="FH21" s="790"/>
      <c r="FI21" s="791">
        <f t="shared" si="30"/>
        <v>27.93</v>
      </c>
      <c r="FJ21" s="789">
        <v>12.05</v>
      </c>
      <c r="FK21" s="367">
        <v>17.149999999999999</v>
      </c>
      <c r="FL21" s="367"/>
      <c r="FM21" s="790"/>
      <c r="FN21" s="791">
        <f t="shared" si="31"/>
        <v>29.2</v>
      </c>
      <c r="FO21" s="789">
        <v>15.33</v>
      </c>
      <c r="FP21" s="367">
        <v>18.73</v>
      </c>
      <c r="FQ21" s="367"/>
      <c r="FR21" s="790"/>
      <c r="FS21" s="791">
        <f t="shared" si="32"/>
        <v>34.06</v>
      </c>
      <c r="FT21" s="789">
        <v>14.47</v>
      </c>
      <c r="FU21" s="367">
        <v>15.19</v>
      </c>
      <c r="FV21" s="367"/>
      <c r="FW21" s="790"/>
      <c r="FX21" s="791">
        <f t="shared" si="33"/>
        <v>29.66</v>
      </c>
      <c r="FY21" s="789">
        <v>11.67</v>
      </c>
      <c r="FZ21" s="367">
        <v>13.05</v>
      </c>
      <c r="GA21" s="367"/>
      <c r="GB21" s="790"/>
      <c r="GC21" s="791">
        <f t="shared" si="34"/>
        <v>24.72</v>
      </c>
      <c r="GD21" s="789">
        <v>16.32</v>
      </c>
      <c r="GE21" s="367">
        <v>11.73</v>
      </c>
      <c r="GF21" s="367"/>
      <c r="GG21" s="790"/>
      <c r="GH21" s="791">
        <f t="shared" si="35"/>
        <v>28.05</v>
      </c>
      <c r="GI21" s="455">
        <f t="shared" si="7"/>
        <v>287.5</v>
      </c>
      <c r="GJ21" s="302">
        <v>11.88</v>
      </c>
      <c r="GK21" s="303">
        <v>7.71</v>
      </c>
      <c r="GL21" s="303"/>
      <c r="GM21" s="304"/>
      <c r="GN21" s="305">
        <f t="shared" si="36"/>
        <v>19.59</v>
      </c>
      <c r="GO21" s="302">
        <v>5.47</v>
      </c>
      <c r="GP21" s="303">
        <v>4.82</v>
      </c>
      <c r="GQ21" s="303"/>
      <c r="GR21" s="304"/>
      <c r="GS21" s="305">
        <f t="shared" si="37"/>
        <v>10.29</v>
      </c>
      <c r="GT21" s="302">
        <v>6.14</v>
      </c>
      <c r="GU21" s="303">
        <v>4.8</v>
      </c>
      <c r="GV21" s="303"/>
      <c r="GW21" s="304"/>
      <c r="GX21" s="305">
        <f t="shared" si="38"/>
        <v>10.94</v>
      </c>
      <c r="GY21" s="302">
        <v>7.91</v>
      </c>
      <c r="GZ21" s="310"/>
      <c r="HA21" s="303"/>
      <c r="HB21" s="304"/>
      <c r="HC21" s="305">
        <f t="shared" si="39"/>
        <v>7.91</v>
      </c>
      <c r="HD21" s="302">
        <v>10.07</v>
      </c>
      <c r="HE21" s="303">
        <v>6.52</v>
      </c>
      <c r="HF21" s="303"/>
      <c r="HG21" s="304"/>
      <c r="HH21" s="305">
        <f t="shared" si="40"/>
        <v>16.59</v>
      </c>
      <c r="HI21" s="302">
        <v>6.95</v>
      </c>
      <c r="HJ21" s="303">
        <v>7.07</v>
      </c>
      <c r="HK21" s="303">
        <v>6.93</v>
      </c>
      <c r="HL21" s="304"/>
      <c r="HM21" s="305">
        <f t="shared" si="41"/>
        <v>20.95</v>
      </c>
      <c r="HN21" s="302">
        <v>6.11</v>
      </c>
      <c r="HO21" s="303">
        <v>7.41</v>
      </c>
      <c r="HP21" s="303"/>
      <c r="HQ21" s="304"/>
      <c r="HR21" s="305">
        <f t="shared" si="42"/>
        <v>13.52</v>
      </c>
      <c r="HS21" s="302">
        <v>10.08</v>
      </c>
      <c r="HT21" s="303">
        <v>17.53</v>
      </c>
      <c r="HU21" s="303"/>
      <c r="HV21" s="304"/>
      <c r="HW21" s="305">
        <f t="shared" si="43"/>
        <v>27.61</v>
      </c>
      <c r="HX21" s="302">
        <v>18.350000000000001</v>
      </c>
      <c r="HY21" s="303">
        <v>22.22</v>
      </c>
      <c r="HZ21" s="303"/>
      <c r="IA21" s="304"/>
      <c r="IB21" s="305">
        <f t="shared" si="44"/>
        <v>40.57</v>
      </c>
      <c r="IC21" s="302">
        <v>28.14</v>
      </c>
      <c r="ID21" s="308"/>
      <c r="IE21" s="303"/>
      <c r="IF21" s="304"/>
      <c r="IG21" s="305">
        <f t="shared" si="45"/>
        <v>28.14</v>
      </c>
      <c r="IH21" s="61">
        <v>15.56</v>
      </c>
      <c r="II21" s="62">
        <v>19.82</v>
      </c>
      <c r="IJ21" s="62"/>
      <c r="IK21" s="301"/>
      <c r="IL21" s="300">
        <f t="shared" si="46"/>
        <v>35.380000000000003</v>
      </c>
      <c r="IM21" s="61">
        <v>14.74</v>
      </c>
      <c r="IN21" s="62">
        <v>14.57</v>
      </c>
      <c r="IO21" s="301"/>
      <c r="IP21" s="296"/>
      <c r="IQ21" s="442">
        <f t="shared" si="47"/>
        <v>29.310000000000002</v>
      </c>
      <c r="IR21" s="442"/>
      <c r="IS21" s="455">
        <f t="shared" si="48"/>
        <v>260.8</v>
      </c>
      <c r="IT21" s="449">
        <v>8.8699999999999992</v>
      </c>
      <c r="IU21" s="309"/>
      <c r="IV21" s="33"/>
      <c r="IW21" s="296"/>
      <c r="IX21" s="298">
        <f t="shared" si="49"/>
        <v>8.8699999999999992</v>
      </c>
      <c r="IY21" s="32">
        <v>10.84</v>
      </c>
      <c r="IZ21" s="33">
        <v>7.76</v>
      </c>
      <c r="JA21" s="33"/>
      <c r="JB21" s="296"/>
      <c r="JC21" s="298">
        <f t="shared" si="50"/>
        <v>18.600000000000001</v>
      </c>
      <c r="JD21" s="32">
        <v>10.64</v>
      </c>
      <c r="JE21" s="33">
        <v>11.31</v>
      </c>
      <c r="JF21" s="33"/>
      <c r="JG21" s="296"/>
      <c r="JH21" s="298">
        <f t="shared" si="51"/>
        <v>21.950000000000003</v>
      </c>
      <c r="JI21" s="32">
        <v>17.760000000000002</v>
      </c>
      <c r="JJ21" s="309"/>
      <c r="JK21" s="33"/>
      <c r="JL21" s="296"/>
      <c r="JM21" s="298">
        <f t="shared" si="52"/>
        <v>17.760000000000002</v>
      </c>
      <c r="JN21" s="32">
        <v>7.73</v>
      </c>
      <c r="JO21" s="33">
        <v>13.36</v>
      </c>
      <c r="JP21" s="33"/>
      <c r="JQ21" s="296"/>
      <c r="JR21" s="298">
        <f t="shared" si="53"/>
        <v>21.09</v>
      </c>
      <c r="JS21" s="32">
        <v>11.27</v>
      </c>
      <c r="JT21" s="33">
        <v>9.6</v>
      </c>
      <c r="JU21" s="33">
        <v>8.8000000000000007</v>
      </c>
      <c r="JV21" s="296"/>
      <c r="JW21" s="298">
        <f t="shared" si="54"/>
        <v>29.669999999999998</v>
      </c>
      <c r="JX21" s="32">
        <v>7.83</v>
      </c>
      <c r="JY21" s="33">
        <v>7.3</v>
      </c>
      <c r="JZ21" s="33"/>
      <c r="KA21" s="296"/>
      <c r="KB21" s="298">
        <f t="shared" si="55"/>
        <v>15.129999999999999</v>
      </c>
      <c r="KC21" s="32">
        <v>8.49</v>
      </c>
      <c r="KD21" s="33">
        <v>8.61</v>
      </c>
      <c r="KE21" s="33">
        <v>6.52</v>
      </c>
      <c r="KF21" s="296"/>
      <c r="KG21" s="298">
        <f t="shared" si="56"/>
        <v>23.62</v>
      </c>
      <c r="KH21" s="32">
        <v>14.79</v>
      </c>
      <c r="KI21" s="33">
        <v>10.85</v>
      </c>
      <c r="KJ21" s="33">
        <v>0</v>
      </c>
      <c r="KK21" s="296">
        <v>0</v>
      </c>
      <c r="KL21" s="298">
        <f t="shared" si="57"/>
        <v>25.64</v>
      </c>
      <c r="KM21" s="32">
        <v>11.67</v>
      </c>
      <c r="KN21" s="33">
        <v>19.649999999999999</v>
      </c>
      <c r="KO21" s="33">
        <v>0</v>
      </c>
      <c r="KP21" s="296">
        <v>0</v>
      </c>
      <c r="KQ21" s="298">
        <f t="shared" si="58"/>
        <v>31.32</v>
      </c>
      <c r="KR21" s="32">
        <v>17.61</v>
      </c>
      <c r="KS21" s="33">
        <v>14.37</v>
      </c>
      <c r="KT21" s="33">
        <v>0</v>
      </c>
      <c r="KU21" s="296">
        <v>0</v>
      </c>
      <c r="KV21" s="298">
        <f t="shared" si="59"/>
        <v>31.979999999999997</v>
      </c>
      <c r="KW21" s="32">
        <v>13.41</v>
      </c>
      <c r="KX21" s="33">
        <v>0</v>
      </c>
      <c r="KY21" s="33">
        <v>0</v>
      </c>
      <c r="KZ21" s="296">
        <v>0</v>
      </c>
      <c r="LA21" s="298">
        <f t="shared" si="8"/>
        <v>13.41</v>
      </c>
      <c r="LB21" s="455">
        <f t="shared" si="60"/>
        <v>259.04000000000002</v>
      </c>
      <c r="LC21" s="32">
        <f t="shared" si="9"/>
        <v>17.559999999999999</v>
      </c>
      <c r="LD21" s="33">
        <f t="shared" si="10"/>
        <v>10.92</v>
      </c>
      <c r="LE21" s="33">
        <f t="shared" si="11"/>
        <v>0</v>
      </c>
      <c r="LF21" s="296">
        <f t="shared" si="12"/>
        <v>0</v>
      </c>
      <c r="LG21" s="298">
        <f t="shared" si="13"/>
        <v>28.479999999999997</v>
      </c>
      <c r="LH21" s="32"/>
      <c r="LI21" s="33"/>
      <c r="LJ21" s="33"/>
      <c r="LK21" s="296"/>
      <c r="LL21" s="298">
        <f t="shared" si="61"/>
        <v>0</v>
      </c>
      <c r="LM21" s="32"/>
      <c r="LN21" s="33"/>
      <c r="LO21" s="33"/>
      <c r="LP21" s="296"/>
      <c r="LQ21" s="298">
        <f t="shared" si="62"/>
        <v>0</v>
      </c>
      <c r="LR21" s="32"/>
      <c r="LS21" s="33"/>
      <c r="LT21" s="33"/>
      <c r="LU21" s="296"/>
      <c r="LV21" s="298">
        <f t="shared" si="63"/>
        <v>0</v>
      </c>
      <c r="LW21" s="32"/>
      <c r="LX21" s="33"/>
      <c r="LY21" s="33"/>
      <c r="LZ21" s="296"/>
      <c r="MA21" s="298">
        <f t="shared" si="64"/>
        <v>0</v>
      </c>
      <c r="MB21" s="32"/>
      <c r="MC21" s="33"/>
      <c r="MD21" s="33"/>
      <c r="ME21" s="296"/>
      <c r="MF21" s="298">
        <f t="shared" si="65"/>
        <v>0</v>
      </c>
      <c r="MG21" s="32"/>
      <c r="MH21" s="33"/>
      <c r="MI21" s="33"/>
      <c r="MJ21" s="296"/>
      <c r="MK21" s="298">
        <f t="shared" si="66"/>
        <v>0</v>
      </c>
      <c r="ML21" s="32"/>
      <c r="MM21" s="33"/>
      <c r="MN21" s="33"/>
      <c r="MO21" s="296"/>
      <c r="MP21" s="298">
        <f t="shared" si="67"/>
        <v>0</v>
      </c>
      <c r="MQ21" s="32"/>
      <c r="MR21" s="33"/>
      <c r="MS21" s="33"/>
      <c r="MT21" s="296"/>
      <c r="MU21" s="298">
        <f t="shared" si="68"/>
        <v>0</v>
      </c>
      <c r="MV21" s="32"/>
      <c r="MW21" s="33"/>
      <c r="MX21" s="33"/>
      <c r="MY21" s="296"/>
      <c r="MZ21" s="298">
        <f t="shared" si="69"/>
        <v>0</v>
      </c>
      <c r="NA21" s="32"/>
      <c r="NB21" s="33"/>
      <c r="NC21" s="33"/>
      <c r="ND21" s="296"/>
      <c r="NE21" s="298">
        <f t="shared" si="70"/>
        <v>0</v>
      </c>
      <c r="NF21" s="32"/>
      <c r="NG21" s="33"/>
      <c r="NH21" s="33"/>
      <c r="NI21" s="296"/>
      <c r="NJ21" s="298">
        <f t="shared" si="14"/>
        <v>0</v>
      </c>
      <c r="NK21" s="455">
        <f t="shared" si="71"/>
        <v>28.479999999999997</v>
      </c>
    </row>
    <row r="22" spans="1:375" ht="15.75" x14ac:dyDescent="0.25">
      <c r="A22" s="281"/>
      <c r="B22" s="282">
        <v>13</v>
      </c>
      <c r="C22" s="283">
        <v>60.8</v>
      </c>
      <c r="D22" s="284">
        <v>66.36</v>
      </c>
      <c r="E22" s="285"/>
      <c r="F22" s="286"/>
      <c r="G22" s="287"/>
      <c r="H22" s="288">
        <f t="shared" si="15"/>
        <v>66.36</v>
      </c>
      <c r="I22" s="289">
        <v>76.98</v>
      </c>
      <c r="J22" s="290"/>
      <c r="K22" s="290"/>
      <c r="L22" s="291"/>
      <c r="M22" s="256">
        <f t="shared" si="16"/>
        <v>76.98</v>
      </c>
      <c r="N22" s="289">
        <v>73.06</v>
      </c>
      <c r="O22" s="290"/>
      <c r="P22" s="290"/>
      <c r="Q22" s="291"/>
      <c r="R22" s="256">
        <f t="shared" si="0"/>
        <v>73.06</v>
      </c>
      <c r="S22" s="289">
        <v>46.75</v>
      </c>
      <c r="T22" s="290">
        <v>51.57</v>
      </c>
      <c r="U22" s="290"/>
      <c r="V22" s="291"/>
      <c r="W22" s="256">
        <f t="shared" si="1"/>
        <v>98.32</v>
      </c>
      <c r="X22" s="289">
        <v>60.5</v>
      </c>
      <c r="Y22" s="290"/>
      <c r="Z22" s="290"/>
      <c r="AA22" s="291"/>
      <c r="AB22" s="256">
        <f t="shared" si="17"/>
        <v>60.5</v>
      </c>
      <c r="AC22" s="292">
        <v>69.97</v>
      </c>
      <c r="AD22" s="293"/>
      <c r="AE22" s="293"/>
      <c r="AF22" s="294"/>
      <c r="AG22" s="260">
        <f t="shared" si="18"/>
        <v>69.97</v>
      </c>
      <c r="AH22" s="292">
        <v>45.5</v>
      </c>
      <c r="AI22" s="293">
        <v>47.04</v>
      </c>
      <c r="AJ22" s="293"/>
      <c r="AK22" s="294"/>
      <c r="AL22" s="295">
        <f t="shared" si="72"/>
        <v>92.539999999999992</v>
      </c>
      <c r="AM22" s="32">
        <v>64.430000000000007</v>
      </c>
      <c r="AN22" s="33">
        <v>57.06</v>
      </c>
      <c r="AO22" s="33"/>
      <c r="AP22" s="296"/>
      <c r="AQ22" s="297">
        <f t="shared" si="73"/>
        <v>121.49000000000001</v>
      </c>
      <c r="AR22" s="32">
        <v>84.91</v>
      </c>
      <c r="AS22" s="33">
        <v>44.04</v>
      </c>
      <c r="AT22" s="33"/>
      <c r="AU22" s="296"/>
      <c r="AV22" s="298">
        <f t="shared" si="74"/>
        <v>128.94999999999999</v>
      </c>
      <c r="AW22" s="32">
        <v>65.47</v>
      </c>
      <c r="AX22" s="33">
        <v>3.5</v>
      </c>
      <c r="AY22" s="33"/>
      <c r="AZ22" s="296"/>
      <c r="BA22" s="298">
        <f t="shared" si="75"/>
        <v>68.97</v>
      </c>
      <c r="BB22" s="32">
        <f>82.14+2.45</f>
        <v>84.59</v>
      </c>
      <c r="BC22" s="33">
        <f>48.02+1.43</f>
        <v>49.45</v>
      </c>
      <c r="BD22" s="33"/>
      <c r="BE22" s="296"/>
      <c r="BF22" s="298">
        <f t="shared" si="81"/>
        <v>134.04000000000002</v>
      </c>
      <c r="BG22" s="32">
        <v>61.94</v>
      </c>
      <c r="BH22" s="33">
        <f>60.15+1.58</f>
        <v>61.73</v>
      </c>
      <c r="BI22" s="33"/>
      <c r="BJ22" s="299"/>
      <c r="BK22" s="298">
        <f t="shared" si="76"/>
        <v>123.66999999999999</v>
      </c>
      <c r="BL22" s="32">
        <f>63.2+5.29</f>
        <v>68.490000000000009</v>
      </c>
      <c r="BM22" s="33">
        <v>44.73</v>
      </c>
      <c r="BN22" s="33"/>
      <c r="BO22" s="299"/>
      <c r="BP22" s="297">
        <f t="shared" si="77"/>
        <v>113.22</v>
      </c>
      <c r="BQ22" s="455">
        <f t="shared" si="2"/>
        <v>1161.71</v>
      </c>
      <c r="BR22" s="32">
        <f>30.27+0.73</f>
        <v>31</v>
      </c>
      <c r="BS22" s="43">
        <v>24.04</v>
      </c>
      <c r="BT22" s="43"/>
      <c r="BU22" s="781"/>
      <c r="BV22" s="782">
        <f t="shared" si="19"/>
        <v>55.04</v>
      </c>
      <c r="BW22" s="783">
        <v>17.38</v>
      </c>
      <c r="BX22" s="43">
        <v>16.79</v>
      </c>
      <c r="BY22" s="43">
        <v>15.09</v>
      </c>
      <c r="BZ22" s="781"/>
      <c r="CA22" s="784">
        <f t="shared" si="20"/>
        <v>49.260000000000005</v>
      </c>
      <c r="CB22" s="785">
        <v>21.21</v>
      </c>
      <c r="CC22" s="786">
        <v>15.68</v>
      </c>
      <c r="CD22" s="786">
        <v>18.170000000000002</v>
      </c>
      <c r="CE22" s="787"/>
      <c r="CF22" s="788">
        <f t="shared" si="78"/>
        <v>55.06</v>
      </c>
      <c r="CG22" s="785">
        <v>22.13</v>
      </c>
      <c r="CH22" s="786">
        <v>29.62</v>
      </c>
      <c r="CI22" s="786"/>
      <c r="CJ22" s="787"/>
      <c r="CK22" s="788">
        <f t="shared" si="79"/>
        <v>51.75</v>
      </c>
      <c r="CL22" s="785">
        <v>45.4</v>
      </c>
      <c r="CM22" s="786">
        <v>40.75</v>
      </c>
      <c r="CN22" s="786"/>
      <c r="CO22" s="787"/>
      <c r="CP22" s="788">
        <f t="shared" si="80"/>
        <v>86.15</v>
      </c>
      <c r="CQ22" s="789">
        <v>26.03</v>
      </c>
      <c r="CR22" s="367">
        <v>33.56</v>
      </c>
      <c r="CS22" s="367">
        <v>16.59</v>
      </c>
      <c r="CT22" s="790"/>
      <c r="CU22" s="791">
        <v>76.180000000000007</v>
      </c>
      <c r="CV22" s="789">
        <v>17.149999999999999</v>
      </c>
      <c r="CW22" s="367">
        <v>67.209999999999994</v>
      </c>
      <c r="CX22" s="367"/>
      <c r="CY22" s="790"/>
      <c r="CZ22" s="791">
        <f t="shared" si="3"/>
        <v>84.359999999999985</v>
      </c>
      <c r="DA22" s="789">
        <v>80.569999999999993</v>
      </c>
      <c r="DB22" s="367"/>
      <c r="DC22" s="367"/>
      <c r="DD22" s="790"/>
      <c r="DE22" s="791">
        <f t="shared" si="4"/>
        <v>80.569999999999993</v>
      </c>
      <c r="DF22" s="789">
        <v>96.34</v>
      </c>
      <c r="DG22" s="367"/>
      <c r="DH22" s="367"/>
      <c r="DI22" s="790"/>
      <c r="DJ22" s="791">
        <f t="shared" si="5"/>
        <v>96.34</v>
      </c>
      <c r="DK22" s="789">
        <v>113.44</v>
      </c>
      <c r="DL22" s="367"/>
      <c r="DM22" s="367"/>
      <c r="DN22" s="790"/>
      <c r="DO22" s="791">
        <f t="shared" si="21"/>
        <v>113.44</v>
      </c>
      <c r="DP22" s="789">
        <v>119.28</v>
      </c>
      <c r="DQ22" s="367"/>
      <c r="DR22" s="367"/>
      <c r="DS22" s="790"/>
      <c r="DT22" s="791">
        <f t="shared" si="22"/>
        <v>119.28</v>
      </c>
      <c r="DU22" s="789">
        <v>97.38</v>
      </c>
      <c r="DV22" s="367"/>
      <c r="DW22" s="367"/>
      <c r="DX22" s="790"/>
      <c r="DY22" s="791">
        <f t="shared" si="23"/>
        <v>97.38</v>
      </c>
      <c r="DZ22" s="455">
        <f t="shared" si="6"/>
        <v>964.80999999999983</v>
      </c>
      <c r="EA22" s="789">
        <v>65.260000000000005</v>
      </c>
      <c r="EB22" s="367">
        <v>42.5</v>
      </c>
      <c r="EC22" s="367"/>
      <c r="ED22" s="790"/>
      <c r="EE22" s="791">
        <f t="shared" si="24"/>
        <v>107.76</v>
      </c>
      <c r="EF22" s="789">
        <v>42.3</v>
      </c>
      <c r="EG22" s="367">
        <v>21.67</v>
      </c>
      <c r="EH22" s="367"/>
      <c r="EI22" s="790"/>
      <c r="EJ22" s="791">
        <f t="shared" si="25"/>
        <v>63.97</v>
      </c>
      <c r="EK22" s="789">
        <v>15.89</v>
      </c>
      <c r="EL22" s="367">
        <v>46.09</v>
      </c>
      <c r="EM22" s="367"/>
      <c r="EN22" s="790"/>
      <c r="EO22" s="791">
        <f t="shared" si="26"/>
        <v>61.980000000000004</v>
      </c>
      <c r="EP22" s="789">
        <v>47.14</v>
      </c>
      <c r="EQ22" s="367"/>
      <c r="ER22" s="367"/>
      <c r="ES22" s="790"/>
      <c r="ET22" s="791">
        <f t="shared" si="27"/>
        <v>47.14</v>
      </c>
      <c r="EU22" s="789">
        <v>52.74</v>
      </c>
      <c r="EV22" s="367">
        <v>33.159999999999997</v>
      </c>
      <c r="EW22" s="367"/>
      <c r="EX22" s="790"/>
      <c r="EY22" s="791">
        <f t="shared" si="28"/>
        <v>85.9</v>
      </c>
      <c r="EZ22" s="789">
        <v>35.33</v>
      </c>
      <c r="FA22" s="367">
        <v>35.04</v>
      </c>
      <c r="FB22" s="367">
        <v>7.22</v>
      </c>
      <c r="FC22" s="790"/>
      <c r="FD22" s="791">
        <f t="shared" si="29"/>
        <v>77.59</v>
      </c>
      <c r="FE22" s="789">
        <v>29.15</v>
      </c>
      <c r="FF22" s="367">
        <v>64.63</v>
      </c>
      <c r="FG22" s="367"/>
      <c r="FH22" s="790"/>
      <c r="FI22" s="791">
        <f t="shared" si="30"/>
        <v>93.78</v>
      </c>
      <c r="FJ22" s="789">
        <v>43.04</v>
      </c>
      <c r="FK22" s="367">
        <v>42.88</v>
      </c>
      <c r="FL22" s="367"/>
      <c r="FM22" s="790"/>
      <c r="FN22" s="791">
        <f t="shared" si="31"/>
        <v>85.92</v>
      </c>
      <c r="FO22" s="789">
        <v>51.48</v>
      </c>
      <c r="FP22" s="367">
        <v>58.16</v>
      </c>
      <c r="FQ22" s="367"/>
      <c r="FR22" s="790"/>
      <c r="FS22" s="791">
        <f t="shared" si="32"/>
        <v>109.63999999999999</v>
      </c>
      <c r="FT22" s="789">
        <v>82.53</v>
      </c>
      <c r="FU22" s="367">
        <v>11.9</v>
      </c>
      <c r="FV22" s="367"/>
      <c r="FW22" s="790"/>
      <c r="FX22" s="791">
        <f t="shared" si="33"/>
        <v>94.43</v>
      </c>
      <c r="FY22" s="789">
        <v>49.54</v>
      </c>
      <c r="FZ22" s="367">
        <v>63.08</v>
      </c>
      <c r="GA22" s="367"/>
      <c r="GB22" s="790"/>
      <c r="GC22" s="791">
        <f t="shared" si="34"/>
        <v>112.62</v>
      </c>
      <c r="GD22" s="789">
        <v>48.27</v>
      </c>
      <c r="GE22" s="367">
        <v>50.61</v>
      </c>
      <c r="GF22" s="367"/>
      <c r="GG22" s="790"/>
      <c r="GH22" s="791">
        <f t="shared" si="35"/>
        <v>98.88</v>
      </c>
      <c r="GI22" s="455">
        <f t="shared" si="7"/>
        <v>1039.6099999999999</v>
      </c>
      <c r="GJ22" s="302">
        <v>46.01</v>
      </c>
      <c r="GK22" s="303">
        <v>28.91</v>
      </c>
      <c r="GL22" s="303"/>
      <c r="GM22" s="304"/>
      <c r="GN22" s="305">
        <f t="shared" si="36"/>
        <v>74.92</v>
      </c>
      <c r="GO22" s="302">
        <v>29.21</v>
      </c>
      <c r="GP22" s="303">
        <v>27.67</v>
      </c>
      <c r="GQ22" s="303"/>
      <c r="GR22" s="304"/>
      <c r="GS22" s="305">
        <f t="shared" si="37"/>
        <v>56.88</v>
      </c>
      <c r="GT22" s="302">
        <v>23.1</v>
      </c>
      <c r="GU22" s="303">
        <v>21.69</v>
      </c>
      <c r="GV22" s="303"/>
      <c r="GW22" s="304"/>
      <c r="GX22" s="305">
        <f t="shared" si="38"/>
        <v>44.790000000000006</v>
      </c>
      <c r="GY22" s="302">
        <v>45.89</v>
      </c>
      <c r="GZ22" s="303">
        <v>22.12</v>
      </c>
      <c r="HA22" s="303"/>
      <c r="HB22" s="304"/>
      <c r="HC22" s="305">
        <f t="shared" si="39"/>
        <v>68.010000000000005</v>
      </c>
      <c r="HD22" s="302">
        <v>23.22</v>
      </c>
      <c r="HE22" s="303">
        <v>24.79</v>
      </c>
      <c r="HF22" s="303"/>
      <c r="HG22" s="304"/>
      <c r="HH22" s="305">
        <f t="shared" si="40"/>
        <v>48.01</v>
      </c>
      <c r="HI22" s="302">
        <v>25.94</v>
      </c>
      <c r="HJ22" s="303">
        <v>27.51</v>
      </c>
      <c r="HK22" s="303"/>
      <c r="HL22" s="304"/>
      <c r="HM22" s="305">
        <f t="shared" si="41"/>
        <v>53.45</v>
      </c>
      <c r="HN22" s="302">
        <v>25.66</v>
      </c>
      <c r="HO22" s="303">
        <v>29.12</v>
      </c>
      <c r="HP22" s="303">
        <v>16.309999999999999</v>
      </c>
      <c r="HQ22" s="304"/>
      <c r="HR22" s="305">
        <f t="shared" si="42"/>
        <v>71.09</v>
      </c>
      <c r="HS22" s="302">
        <v>38.74</v>
      </c>
      <c r="HT22" s="303">
        <v>58.15</v>
      </c>
      <c r="HU22" s="303"/>
      <c r="HV22" s="304"/>
      <c r="HW22" s="305">
        <f t="shared" si="43"/>
        <v>96.89</v>
      </c>
      <c r="HX22" s="302">
        <v>80.66</v>
      </c>
      <c r="HY22" s="308"/>
      <c r="HZ22" s="303"/>
      <c r="IA22" s="304"/>
      <c r="IB22" s="305">
        <f t="shared" si="44"/>
        <v>80.66</v>
      </c>
      <c r="IC22" s="302">
        <v>104.81</v>
      </c>
      <c r="ID22" s="303">
        <v>79.900000000000006</v>
      </c>
      <c r="IE22" s="303"/>
      <c r="IF22" s="304"/>
      <c r="IG22" s="305">
        <f t="shared" si="45"/>
        <v>184.71</v>
      </c>
      <c r="IH22" s="61">
        <f>44.77+3</f>
        <v>47.77</v>
      </c>
      <c r="II22" s="62">
        <f>35.09+3.849</f>
        <v>38.939000000000007</v>
      </c>
      <c r="IJ22" s="62">
        <v>52.42</v>
      </c>
      <c r="IK22" s="301"/>
      <c r="IL22" s="300">
        <f t="shared" si="46"/>
        <v>139.12900000000002</v>
      </c>
      <c r="IM22" s="61">
        <v>28.76</v>
      </c>
      <c r="IN22" s="62">
        <v>42.98</v>
      </c>
      <c r="IO22" s="301">
        <v>8.58</v>
      </c>
      <c r="IP22" s="296"/>
      <c r="IQ22" s="442">
        <f t="shared" si="47"/>
        <v>80.319999999999993</v>
      </c>
      <c r="IR22" s="442"/>
      <c r="IS22" s="455">
        <f t="shared" si="48"/>
        <v>998.85899999999992</v>
      </c>
      <c r="IT22" s="449">
        <v>56.69</v>
      </c>
      <c r="IU22" s="33">
        <v>20.399999999999999</v>
      </c>
      <c r="IV22" s="33">
        <v>14.31</v>
      </c>
      <c r="IW22" s="296"/>
      <c r="IX22" s="298">
        <f t="shared" si="49"/>
        <v>91.4</v>
      </c>
      <c r="IY22" s="32">
        <v>74.7</v>
      </c>
      <c r="IZ22" s="309"/>
      <c r="JA22" s="33"/>
      <c r="JB22" s="296"/>
      <c r="JC22" s="298">
        <f t="shared" si="50"/>
        <v>74.7</v>
      </c>
      <c r="JD22" s="32">
        <v>32.619999999999997</v>
      </c>
      <c r="JE22" s="33">
        <v>24.97</v>
      </c>
      <c r="JF22" s="33"/>
      <c r="JG22" s="296"/>
      <c r="JH22" s="298">
        <f t="shared" si="51"/>
        <v>57.589999999999996</v>
      </c>
      <c r="JI22" s="32">
        <v>47.86</v>
      </c>
      <c r="JJ22" s="309"/>
      <c r="JK22" s="33"/>
      <c r="JL22" s="296"/>
      <c r="JM22" s="298">
        <f t="shared" si="52"/>
        <v>47.86</v>
      </c>
      <c r="JN22" s="32">
        <v>38.229999999999997</v>
      </c>
      <c r="JO22" s="33">
        <v>22.22</v>
      </c>
      <c r="JP22" s="33">
        <v>30.11</v>
      </c>
      <c r="JQ22" s="296"/>
      <c r="JR22" s="298">
        <f t="shared" si="53"/>
        <v>90.56</v>
      </c>
      <c r="JS22" s="32">
        <v>29.55</v>
      </c>
      <c r="JT22" s="33">
        <v>26.67</v>
      </c>
      <c r="JU22" s="33"/>
      <c r="JV22" s="296"/>
      <c r="JW22" s="298">
        <f t="shared" si="54"/>
        <v>56.22</v>
      </c>
      <c r="JX22" s="32">
        <v>29.55</v>
      </c>
      <c r="JY22" s="33">
        <v>30.66</v>
      </c>
      <c r="JZ22" s="33">
        <v>29.32</v>
      </c>
      <c r="KA22" s="296"/>
      <c r="KB22" s="298">
        <f t="shared" si="55"/>
        <v>89.53</v>
      </c>
      <c r="KC22" s="32">
        <v>29.87</v>
      </c>
      <c r="KD22" s="33">
        <v>36.6</v>
      </c>
      <c r="KE22" s="33"/>
      <c r="KF22" s="296"/>
      <c r="KG22" s="298">
        <f t="shared" si="56"/>
        <v>66.47</v>
      </c>
      <c r="KH22" s="32">
        <v>39.58</v>
      </c>
      <c r="KI22" s="33">
        <v>52.31</v>
      </c>
      <c r="KJ22" s="33">
        <v>0</v>
      </c>
      <c r="KK22" s="296">
        <v>0</v>
      </c>
      <c r="KL22" s="298">
        <f t="shared" si="57"/>
        <v>91.89</v>
      </c>
      <c r="KM22" s="32">
        <v>46.48</v>
      </c>
      <c r="KN22" s="33">
        <v>69.669999999999987</v>
      </c>
      <c r="KO22" s="33">
        <v>0</v>
      </c>
      <c r="KP22" s="296">
        <v>0</v>
      </c>
      <c r="KQ22" s="298">
        <f t="shared" si="58"/>
        <v>116.14999999999998</v>
      </c>
      <c r="KR22" s="32">
        <v>78.239999999999995</v>
      </c>
      <c r="KS22" s="33">
        <v>65.34</v>
      </c>
      <c r="KT22" s="33">
        <v>0</v>
      </c>
      <c r="KU22" s="296">
        <v>0</v>
      </c>
      <c r="KV22" s="298">
        <f t="shared" si="59"/>
        <v>143.57999999999998</v>
      </c>
      <c r="KW22" s="32">
        <v>59.580000000000005</v>
      </c>
      <c r="KX22" s="33">
        <v>53.370000000000005</v>
      </c>
      <c r="KY22" s="33">
        <v>0</v>
      </c>
      <c r="KZ22" s="296">
        <v>0</v>
      </c>
      <c r="LA22" s="298">
        <f t="shared" si="8"/>
        <v>112.95000000000002</v>
      </c>
      <c r="LB22" s="455">
        <f t="shared" si="60"/>
        <v>1038.9000000000001</v>
      </c>
      <c r="LC22" s="32">
        <f t="shared" si="9"/>
        <v>59.519999999999996</v>
      </c>
      <c r="LD22" s="33">
        <f t="shared" si="10"/>
        <v>29.65</v>
      </c>
      <c r="LE22" s="33">
        <f t="shared" si="11"/>
        <v>0</v>
      </c>
      <c r="LF22" s="296">
        <f t="shared" si="12"/>
        <v>0</v>
      </c>
      <c r="LG22" s="298">
        <f t="shared" si="13"/>
        <v>89.169999999999987</v>
      </c>
      <c r="LH22" s="32"/>
      <c r="LI22" s="33"/>
      <c r="LJ22" s="33"/>
      <c r="LK22" s="296"/>
      <c r="LL22" s="298">
        <f t="shared" si="61"/>
        <v>0</v>
      </c>
      <c r="LM22" s="32"/>
      <c r="LN22" s="33"/>
      <c r="LO22" s="33"/>
      <c r="LP22" s="296"/>
      <c r="LQ22" s="298">
        <f t="shared" si="62"/>
        <v>0</v>
      </c>
      <c r="LR22" s="32"/>
      <c r="LS22" s="33"/>
      <c r="LT22" s="33"/>
      <c r="LU22" s="296"/>
      <c r="LV22" s="298">
        <f t="shared" si="63"/>
        <v>0</v>
      </c>
      <c r="LW22" s="32"/>
      <c r="LX22" s="33"/>
      <c r="LY22" s="33"/>
      <c r="LZ22" s="296"/>
      <c r="MA22" s="298">
        <f t="shared" si="64"/>
        <v>0</v>
      </c>
      <c r="MB22" s="32"/>
      <c r="MC22" s="33"/>
      <c r="MD22" s="33"/>
      <c r="ME22" s="296"/>
      <c r="MF22" s="298">
        <f t="shared" si="65"/>
        <v>0</v>
      </c>
      <c r="MG22" s="32"/>
      <c r="MH22" s="33"/>
      <c r="MI22" s="33"/>
      <c r="MJ22" s="296"/>
      <c r="MK22" s="298">
        <f t="shared" si="66"/>
        <v>0</v>
      </c>
      <c r="ML22" s="32"/>
      <c r="MM22" s="33"/>
      <c r="MN22" s="33"/>
      <c r="MO22" s="296"/>
      <c r="MP22" s="298">
        <f t="shared" si="67"/>
        <v>0</v>
      </c>
      <c r="MQ22" s="32"/>
      <c r="MR22" s="33"/>
      <c r="MS22" s="33"/>
      <c r="MT22" s="296"/>
      <c r="MU22" s="298">
        <f t="shared" si="68"/>
        <v>0</v>
      </c>
      <c r="MV22" s="32"/>
      <c r="MW22" s="33"/>
      <c r="MX22" s="33"/>
      <c r="MY22" s="296"/>
      <c r="MZ22" s="298">
        <f t="shared" si="69"/>
        <v>0</v>
      </c>
      <c r="NA22" s="32"/>
      <c r="NB22" s="33"/>
      <c r="NC22" s="33"/>
      <c r="ND22" s="296"/>
      <c r="NE22" s="298">
        <f t="shared" si="70"/>
        <v>0</v>
      </c>
      <c r="NF22" s="32"/>
      <c r="NG22" s="33"/>
      <c r="NH22" s="33"/>
      <c r="NI22" s="296"/>
      <c r="NJ22" s="298">
        <f t="shared" si="14"/>
        <v>0</v>
      </c>
      <c r="NK22" s="455">
        <f t="shared" si="71"/>
        <v>89.169999999999987</v>
      </c>
    </row>
    <row r="23" spans="1:375" ht="15.75" x14ac:dyDescent="0.25">
      <c r="A23" s="281"/>
      <c r="B23" s="282">
        <v>14</v>
      </c>
      <c r="C23" s="283">
        <v>41.6</v>
      </c>
      <c r="D23" s="284">
        <v>38.35</v>
      </c>
      <c r="E23" s="285"/>
      <c r="F23" s="286"/>
      <c r="G23" s="287"/>
      <c r="H23" s="288">
        <f t="shared" si="15"/>
        <v>38.35</v>
      </c>
      <c r="I23" s="289">
        <v>41.82</v>
      </c>
      <c r="J23" s="290"/>
      <c r="K23" s="290"/>
      <c r="L23" s="291"/>
      <c r="M23" s="256">
        <f t="shared" si="16"/>
        <v>41.82</v>
      </c>
      <c r="N23" s="289">
        <v>53.95</v>
      </c>
      <c r="O23" s="290"/>
      <c r="P23" s="290"/>
      <c r="Q23" s="291"/>
      <c r="R23" s="256">
        <f t="shared" si="0"/>
        <v>53.95</v>
      </c>
      <c r="S23" s="289">
        <v>51.45</v>
      </c>
      <c r="T23" s="290">
        <v>19.91</v>
      </c>
      <c r="U23" s="290"/>
      <c r="V23" s="291"/>
      <c r="W23" s="256">
        <f t="shared" si="1"/>
        <v>71.36</v>
      </c>
      <c r="X23" s="289">
        <v>6.95</v>
      </c>
      <c r="Y23" s="290">
        <v>47.02</v>
      </c>
      <c r="Z23" s="290"/>
      <c r="AA23" s="291"/>
      <c r="AB23" s="256">
        <f t="shared" si="17"/>
        <v>53.970000000000006</v>
      </c>
      <c r="AC23" s="292">
        <v>57.92</v>
      </c>
      <c r="AD23" s="293"/>
      <c r="AE23" s="293"/>
      <c r="AF23" s="294"/>
      <c r="AG23" s="260">
        <f t="shared" si="18"/>
        <v>57.92</v>
      </c>
      <c r="AH23" s="292">
        <f>61.18+1.71</f>
        <v>62.89</v>
      </c>
      <c r="AI23" s="293">
        <v>27.94</v>
      </c>
      <c r="AJ23" s="293"/>
      <c r="AK23" s="294"/>
      <c r="AL23" s="295">
        <f t="shared" si="72"/>
        <v>90.83</v>
      </c>
      <c r="AM23" s="32">
        <v>20.47</v>
      </c>
      <c r="AN23" s="33">
        <v>35.779000000000003</v>
      </c>
      <c r="AO23" s="33">
        <v>4.25</v>
      </c>
      <c r="AP23" s="296"/>
      <c r="AQ23" s="297">
        <f t="shared" si="73"/>
        <v>60.499000000000002</v>
      </c>
      <c r="AR23" s="32">
        <v>36.049999999999997</v>
      </c>
      <c r="AS23" s="33">
        <v>44.85</v>
      </c>
      <c r="AT23" s="33"/>
      <c r="AU23" s="296"/>
      <c r="AV23" s="298">
        <f t="shared" si="74"/>
        <v>80.900000000000006</v>
      </c>
      <c r="AW23" s="32">
        <v>70.13</v>
      </c>
      <c r="AX23" s="33"/>
      <c r="AY23" s="33"/>
      <c r="AZ23" s="296"/>
      <c r="BA23" s="298">
        <f t="shared" si="75"/>
        <v>70.13</v>
      </c>
      <c r="BB23" s="32">
        <v>54.78</v>
      </c>
      <c r="BC23" s="33">
        <f>37.09+2.11</f>
        <v>39.200000000000003</v>
      </c>
      <c r="BD23" s="33"/>
      <c r="BE23" s="296"/>
      <c r="BF23" s="298">
        <f t="shared" si="81"/>
        <v>93.98</v>
      </c>
      <c r="BG23" s="32">
        <f>31.43+0.99</f>
        <v>32.42</v>
      </c>
      <c r="BH23" s="33">
        <v>50.06</v>
      </c>
      <c r="BI23" s="33"/>
      <c r="BJ23" s="299"/>
      <c r="BK23" s="298">
        <f t="shared" si="76"/>
        <v>82.48</v>
      </c>
      <c r="BL23" s="32">
        <f>24.04+2.1</f>
        <v>26.14</v>
      </c>
      <c r="BM23" s="33"/>
      <c r="BN23" s="33"/>
      <c r="BO23" s="299"/>
      <c r="BP23" s="297">
        <f t="shared" si="77"/>
        <v>26.14</v>
      </c>
      <c r="BQ23" s="455">
        <f t="shared" si="2"/>
        <v>783.97900000000004</v>
      </c>
      <c r="BR23" s="32">
        <f>44.67+2.14</f>
        <v>46.81</v>
      </c>
      <c r="BS23" s="43">
        <v>18.75</v>
      </c>
      <c r="BT23" s="43"/>
      <c r="BU23" s="781"/>
      <c r="BV23" s="782">
        <f t="shared" si="19"/>
        <v>65.56</v>
      </c>
      <c r="BW23" s="783">
        <v>19.71</v>
      </c>
      <c r="BX23" s="43">
        <v>14.5</v>
      </c>
      <c r="BY23" s="43"/>
      <c r="BZ23" s="781"/>
      <c r="CA23" s="784">
        <f t="shared" si="20"/>
        <v>34.21</v>
      </c>
      <c r="CB23" s="785">
        <v>29.24</v>
      </c>
      <c r="CC23" s="786"/>
      <c r="CD23" s="786"/>
      <c r="CE23" s="787"/>
      <c r="CF23" s="788">
        <f t="shared" si="78"/>
        <v>29.24</v>
      </c>
      <c r="CG23" s="785">
        <v>28.13</v>
      </c>
      <c r="CH23" s="786"/>
      <c r="CI23" s="786"/>
      <c r="CJ23" s="787"/>
      <c r="CK23" s="788">
        <f t="shared" si="79"/>
        <v>28.13</v>
      </c>
      <c r="CL23" s="785">
        <v>49.87</v>
      </c>
      <c r="CM23" s="786">
        <v>36.75</v>
      </c>
      <c r="CN23" s="786"/>
      <c r="CO23" s="787"/>
      <c r="CP23" s="788">
        <f t="shared" si="80"/>
        <v>86.62</v>
      </c>
      <c r="CQ23" s="789">
        <v>26.37</v>
      </c>
      <c r="CR23" s="367">
        <v>18.55</v>
      </c>
      <c r="CS23" s="367"/>
      <c r="CT23" s="790"/>
      <c r="CU23" s="791">
        <v>44.92</v>
      </c>
      <c r="CV23" s="789">
        <v>29</v>
      </c>
      <c r="CW23" s="367">
        <v>33.590000000000003</v>
      </c>
      <c r="CX23" s="367"/>
      <c r="CY23" s="790"/>
      <c r="CZ23" s="791">
        <f t="shared" si="3"/>
        <v>62.59</v>
      </c>
      <c r="DA23" s="789">
        <v>49.78</v>
      </c>
      <c r="DB23" s="367"/>
      <c r="DC23" s="367"/>
      <c r="DD23" s="790"/>
      <c r="DE23" s="791">
        <f t="shared" si="4"/>
        <v>49.78</v>
      </c>
      <c r="DF23" s="789">
        <v>59</v>
      </c>
      <c r="DG23" s="367"/>
      <c r="DH23" s="367"/>
      <c r="DI23" s="790"/>
      <c r="DJ23" s="791">
        <f t="shared" si="5"/>
        <v>59</v>
      </c>
      <c r="DK23" s="789">
        <v>61.58</v>
      </c>
      <c r="DL23" s="367"/>
      <c r="DM23" s="367"/>
      <c r="DN23" s="790"/>
      <c r="DO23" s="791">
        <f t="shared" si="21"/>
        <v>61.58</v>
      </c>
      <c r="DP23" s="789">
        <v>64.37</v>
      </c>
      <c r="DQ23" s="367"/>
      <c r="DR23" s="367"/>
      <c r="DS23" s="790"/>
      <c r="DT23" s="791">
        <f t="shared" si="22"/>
        <v>64.37</v>
      </c>
      <c r="DU23" s="789">
        <v>63.52</v>
      </c>
      <c r="DV23" s="367"/>
      <c r="DW23" s="367"/>
      <c r="DX23" s="790"/>
      <c r="DY23" s="791">
        <f t="shared" si="23"/>
        <v>63.52</v>
      </c>
      <c r="DZ23" s="455">
        <f t="shared" si="6"/>
        <v>649.52</v>
      </c>
      <c r="EA23" s="789">
        <v>42.41</v>
      </c>
      <c r="EB23" s="367"/>
      <c r="EC23" s="367"/>
      <c r="ED23" s="790"/>
      <c r="EE23" s="791">
        <f t="shared" si="24"/>
        <v>42.41</v>
      </c>
      <c r="EF23" s="789">
        <v>45.37</v>
      </c>
      <c r="EG23" s="367"/>
      <c r="EH23" s="367"/>
      <c r="EI23" s="790"/>
      <c r="EJ23" s="791">
        <f t="shared" si="25"/>
        <v>45.37</v>
      </c>
      <c r="EK23" s="789">
        <v>31.07</v>
      </c>
      <c r="EL23" s="367">
        <v>26.98</v>
      </c>
      <c r="EM23" s="367"/>
      <c r="EN23" s="790"/>
      <c r="EO23" s="791">
        <f t="shared" si="26"/>
        <v>58.05</v>
      </c>
      <c r="EP23" s="789">
        <v>29.4</v>
      </c>
      <c r="EQ23" s="367">
        <v>7.83</v>
      </c>
      <c r="ER23" s="367"/>
      <c r="ES23" s="790"/>
      <c r="ET23" s="791">
        <f t="shared" si="27"/>
        <v>37.229999999999997</v>
      </c>
      <c r="EU23" s="789">
        <v>40.89</v>
      </c>
      <c r="EV23" s="367">
        <v>18.78</v>
      </c>
      <c r="EW23" s="367"/>
      <c r="EX23" s="790"/>
      <c r="EY23" s="791">
        <f t="shared" si="28"/>
        <v>59.67</v>
      </c>
      <c r="EZ23" s="789">
        <v>33.5</v>
      </c>
      <c r="FA23" s="367">
        <v>21.97</v>
      </c>
      <c r="FB23" s="367"/>
      <c r="FC23" s="790"/>
      <c r="FD23" s="791">
        <f t="shared" si="29"/>
        <v>55.47</v>
      </c>
      <c r="FE23" s="789">
        <v>26.71</v>
      </c>
      <c r="FF23" s="367">
        <v>24.97</v>
      </c>
      <c r="FG23" s="367"/>
      <c r="FH23" s="790"/>
      <c r="FI23" s="791">
        <f t="shared" si="30"/>
        <v>51.68</v>
      </c>
      <c r="FJ23" s="789">
        <v>38.979999999999997</v>
      </c>
      <c r="FK23" s="367">
        <v>19.809999999999999</v>
      </c>
      <c r="FL23" s="367"/>
      <c r="FM23" s="790"/>
      <c r="FN23" s="791">
        <f t="shared" si="31"/>
        <v>58.789999999999992</v>
      </c>
      <c r="FO23" s="789">
        <v>42.2</v>
      </c>
      <c r="FP23" s="367">
        <v>37.58</v>
      </c>
      <c r="FQ23" s="367"/>
      <c r="FR23" s="790"/>
      <c r="FS23" s="791">
        <f t="shared" si="32"/>
        <v>79.78</v>
      </c>
      <c r="FT23" s="789">
        <v>23.8</v>
      </c>
      <c r="FU23" s="367">
        <v>34.11</v>
      </c>
      <c r="FV23" s="367"/>
      <c r="FW23" s="790"/>
      <c r="FX23" s="791">
        <f t="shared" si="33"/>
        <v>57.91</v>
      </c>
      <c r="FY23" s="789">
        <v>40.729999999999997</v>
      </c>
      <c r="FZ23" s="367">
        <v>36.65</v>
      </c>
      <c r="GA23" s="367"/>
      <c r="GB23" s="790"/>
      <c r="GC23" s="791">
        <f t="shared" si="34"/>
        <v>77.38</v>
      </c>
      <c r="GD23" s="789">
        <v>29.96</v>
      </c>
      <c r="GE23" s="367">
        <v>33.44</v>
      </c>
      <c r="GF23" s="367"/>
      <c r="GG23" s="790"/>
      <c r="GH23" s="791">
        <f t="shared" si="35"/>
        <v>63.4</v>
      </c>
      <c r="GI23" s="455">
        <f t="shared" si="7"/>
        <v>687.13999999999987</v>
      </c>
      <c r="GJ23" s="302">
        <v>49.21</v>
      </c>
      <c r="GK23" s="303">
        <v>3.66</v>
      </c>
      <c r="GL23" s="303"/>
      <c r="GM23" s="304"/>
      <c r="GN23" s="305">
        <f t="shared" si="36"/>
        <v>52.870000000000005</v>
      </c>
      <c r="GO23" s="302">
        <v>15.54</v>
      </c>
      <c r="GP23" s="303">
        <v>23.28</v>
      </c>
      <c r="GQ23" s="303"/>
      <c r="GR23" s="304"/>
      <c r="GS23" s="305">
        <f t="shared" si="37"/>
        <v>38.82</v>
      </c>
      <c r="GT23" s="302">
        <v>12.49</v>
      </c>
      <c r="GU23" s="303">
        <v>6.09</v>
      </c>
      <c r="GV23" s="303"/>
      <c r="GW23" s="304"/>
      <c r="GX23" s="305">
        <f t="shared" si="38"/>
        <v>18.579999999999998</v>
      </c>
      <c r="GY23" s="302">
        <v>28.29</v>
      </c>
      <c r="GZ23" s="303">
        <v>19.72</v>
      </c>
      <c r="HA23" s="303"/>
      <c r="HB23" s="304"/>
      <c r="HC23" s="305">
        <f t="shared" si="39"/>
        <v>48.01</v>
      </c>
      <c r="HD23" s="302">
        <v>44.78</v>
      </c>
      <c r="HE23" s="303">
        <v>26.98</v>
      </c>
      <c r="HF23" s="303"/>
      <c r="HG23" s="304"/>
      <c r="HH23" s="305">
        <f t="shared" si="40"/>
        <v>71.760000000000005</v>
      </c>
      <c r="HI23" s="302">
        <v>25.46</v>
      </c>
      <c r="HJ23" s="303">
        <v>15.82</v>
      </c>
      <c r="HK23" s="303"/>
      <c r="HL23" s="304"/>
      <c r="HM23" s="305">
        <f t="shared" si="41"/>
        <v>41.28</v>
      </c>
      <c r="HN23" s="302">
        <v>41.1</v>
      </c>
      <c r="HO23" s="303">
        <v>11.93</v>
      </c>
      <c r="HP23" s="303"/>
      <c r="HQ23" s="304"/>
      <c r="HR23" s="305">
        <f t="shared" si="42"/>
        <v>53.03</v>
      </c>
      <c r="HS23" s="302">
        <v>87.25</v>
      </c>
      <c r="HT23" s="303">
        <v>17.93</v>
      </c>
      <c r="HU23" s="303"/>
      <c r="HV23" s="304"/>
      <c r="HW23" s="305">
        <f t="shared" si="43"/>
        <v>105.18</v>
      </c>
      <c r="HX23" s="302">
        <v>3.62</v>
      </c>
      <c r="HY23" s="303">
        <v>46.62</v>
      </c>
      <c r="HZ23" s="303">
        <v>34.22</v>
      </c>
      <c r="IA23" s="304"/>
      <c r="IB23" s="305">
        <f t="shared" si="44"/>
        <v>84.46</v>
      </c>
      <c r="IC23" s="302">
        <v>32.299999999999997</v>
      </c>
      <c r="ID23" s="303">
        <v>63.89</v>
      </c>
      <c r="IE23" s="303"/>
      <c r="IF23" s="304"/>
      <c r="IG23" s="305">
        <f t="shared" si="45"/>
        <v>96.19</v>
      </c>
      <c r="IH23" s="61">
        <f>28.86+2.636</f>
        <v>31.495999999999999</v>
      </c>
      <c r="II23" s="62">
        <v>27.1</v>
      </c>
      <c r="IJ23" s="62"/>
      <c r="IK23" s="301"/>
      <c r="IL23" s="300">
        <f t="shared" si="46"/>
        <v>58.596000000000004</v>
      </c>
      <c r="IM23" s="61">
        <v>59.76</v>
      </c>
      <c r="IN23" s="62">
        <v>34.15</v>
      </c>
      <c r="IO23" s="301"/>
      <c r="IP23" s="296"/>
      <c r="IQ23" s="442">
        <f t="shared" si="47"/>
        <v>93.91</v>
      </c>
      <c r="IR23" s="442"/>
      <c r="IS23" s="455">
        <f t="shared" si="48"/>
        <v>762.68600000000004</v>
      </c>
      <c r="IT23" s="449">
        <v>11.26</v>
      </c>
      <c r="IU23" s="33">
        <v>35.479999999999997</v>
      </c>
      <c r="IV23" s="33"/>
      <c r="IW23" s="296"/>
      <c r="IX23" s="298">
        <f t="shared" si="49"/>
        <v>46.739999999999995</v>
      </c>
      <c r="IY23" s="32">
        <v>35.03</v>
      </c>
      <c r="IZ23" s="33">
        <v>4.21</v>
      </c>
      <c r="JA23" s="33"/>
      <c r="JB23" s="296"/>
      <c r="JC23" s="298">
        <f t="shared" si="50"/>
        <v>39.24</v>
      </c>
      <c r="JD23" s="32">
        <v>22.95</v>
      </c>
      <c r="JE23" s="33">
        <v>9.1300000000000008</v>
      </c>
      <c r="JF23" s="33"/>
      <c r="JG23" s="296"/>
      <c r="JH23" s="298">
        <f t="shared" si="51"/>
        <v>32.08</v>
      </c>
      <c r="JI23" s="32">
        <v>52.23</v>
      </c>
      <c r="JJ23" s="33">
        <v>9.64</v>
      </c>
      <c r="JK23" s="33"/>
      <c r="JL23" s="296"/>
      <c r="JM23" s="298">
        <f t="shared" si="52"/>
        <v>61.87</v>
      </c>
      <c r="JN23" s="32">
        <v>44.44</v>
      </c>
      <c r="JO23" s="33">
        <v>11.04</v>
      </c>
      <c r="JP23" s="33"/>
      <c r="JQ23" s="296"/>
      <c r="JR23" s="298">
        <f t="shared" si="53"/>
        <v>55.48</v>
      </c>
      <c r="JS23" s="32">
        <v>37.78</v>
      </c>
      <c r="JT23" s="33">
        <v>39.17</v>
      </c>
      <c r="JU23" s="33"/>
      <c r="JV23" s="296"/>
      <c r="JW23" s="298">
        <f t="shared" si="54"/>
        <v>76.95</v>
      </c>
      <c r="JX23" s="32">
        <v>19.989999999999998</v>
      </c>
      <c r="JY23" s="33">
        <v>42.53</v>
      </c>
      <c r="JZ23" s="33"/>
      <c r="KA23" s="296"/>
      <c r="KB23" s="298">
        <f t="shared" si="55"/>
        <v>62.519999999999996</v>
      </c>
      <c r="KC23" s="32">
        <v>37.32</v>
      </c>
      <c r="KD23" s="33">
        <v>21.13</v>
      </c>
      <c r="KE23" s="33"/>
      <c r="KF23" s="296"/>
      <c r="KG23" s="298">
        <f t="shared" si="56"/>
        <v>58.45</v>
      </c>
      <c r="KH23" s="32">
        <v>62.89</v>
      </c>
      <c r="KI23" s="33">
        <v>13.16</v>
      </c>
      <c r="KJ23" s="33">
        <v>0</v>
      </c>
      <c r="KK23" s="296">
        <v>0</v>
      </c>
      <c r="KL23" s="298">
        <f t="shared" si="57"/>
        <v>76.05</v>
      </c>
      <c r="KM23" s="32">
        <v>65.399999999999991</v>
      </c>
      <c r="KN23" s="33">
        <v>0</v>
      </c>
      <c r="KO23" s="33">
        <v>0</v>
      </c>
      <c r="KP23" s="296">
        <v>0</v>
      </c>
      <c r="KQ23" s="298">
        <f t="shared" si="58"/>
        <v>65.399999999999991</v>
      </c>
      <c r="KR23" s="32">
        <v>54.75</v>
      </c>
      <c r="KS23" s="33">
        <v>38.659999999999997</v>
      </c>
      <c r="KT23" s="33">
        <v>0</v>
      </c>
      <c r="KU23" s="296">
        <v>0</v>
      </c>
      <c r="KV23" s="298">
        <f t="shared" si="59"/>
        <v>93.41</v>
      </c>
      <c r="KW23" s="32">
        <v>45.839999999999996</v>
      </c>
      <c r="KX23" s="33">
        <v>0</v>
      </c>
      <c r="KY23" s="33">
        <v>0</v>
      </c>
      <c r="KZ23" s="296">
        <v>0</v>
      </c>
      <c r="LA23" s="298">
        <f t="shared" si="8"/>
        <v>45.839999999999996</v>
      </c>
      <c r="LB23" s="455">
        <f t="shared" si="60"/>
        <v>714.03</v>
      </c>
      <c r="LC23" s="32">
        <f t="shared" si="9"/>
        <v>41.65</v>
      </c>
      <c r="LD23" s="33">
        <f t="shared" si="10"/>
        <v>18.02</v>
      </c>
      <c r="LE23" s="33">
        <f t="shared" si="11"/>
        <v>2.61</v>
      </c>
      <c r="LF23" s="296">
        <f t="shared" si="12"/>
        <v>0</v>
      </c>
      <c r="LG23" s="298">
        <f t="shared" si="13"/>
        <v>62.28</v>
      </c>
      <c r="LH23" s="32"/>
      <c r="LI23" s="33"/>
      <c r="LJ23" s="33"/>
      <c r="LK23" s="296"/>
      <c r="LL23" s="298">
        <f t="shared" si="61"/>
        <v>0</v>
      </c>
      <c r="LM23" s="32"/>
      <c r="LN23" s="33"/>
      <c r="LO23" s="33"/>
      <c r="LP23" s="296"/>
      <c r="LQ23" s="298">
        <f t="shared" si="62"/>
        <v>0</v>
      </c>
      <c r="LR23" s="32"/>
      <c r="LS23" s="33"/>
      <c r="LT23" s="33"/>
      <c r="LU23" s="296"/>
      <c r="LV23" s="298">
        <f t="shared" si="63"/>
        <v>0</v>
      </c>
      <c r="LW23" s="32"/>
      <c r="LX23" s="33"/>
      <c r="LY23" s="33"/>
      <c r="LZ23" s="296"/>
      <c r="MA23" s="298">
        <f t="shared" si="64"/>
        <v>0</v>
      </c>
      <c r="MB23" s="32"/>
      <c r="MC23" s="33"/>
      <c r="MD23" s="33"/>
      <c r="ME23" s="296"/>
      <c r="MF23" s="298">
        <f t="shared" si="65"/>
        <v>0</v>
      </c>
      <c r="MG23" s="32"/>
      <c r="MH23" s="33"/>
      <c r="MI23" s="33"/>
      <c r="MJ23" s="296"/>
      <c r="MK23" s="298">
        <f t="shared" si="66"/>
        <v>0</v>
      </c>
      <c r="ML23" s="32"/>
      <c r="MM23" s="33"/>
      <c r="MN23" s="33"/>
      <c r="MO23" s="296"/>
      <c r="MP23" s="298">
        <f t="shared" si="67"/>
        <v>0</v>
      </c>
      <c r="MQ23" s="32"/>
      <c r="MR23" s="33"/>
      <c r="MS23" s="33"/>
      <c r="MT23" s="296"/>
      <c r="MU23" s="298">
        <f t="shared" si="68"/>
        <v>0</v>
      </c>
      <c r="MV23" s="32"/>
      <c r="MW23" s="33"/>
      <c r="MX23" s="33"/>
      <c r="MY23" s="296"/>
      <c r="MZ23" s="298">
        <f t="shared" si="69"/>
        <v>0</v>
      </c>
      <c r="NA23" s="32"/>
      <c r="NB23" s="33"/>
      <c r="NC23" s="33"/>
      <c r="ND23" s="296"/>
      <c r="NE23" s="298">
        <f t="shared" si="70"/>
        <v>0</v>
      </c>
      <c r="NF23" s="32"/>
      <c r="NG23" s="33"/>
      <c r="NH23" s="33"/>
      <c r="NI23" s="296"/>
      <c r="NJ23" s="298">
        <f t="shared" si="14"/>
        <v>0</v>
      </c>
      <c r="NK23" s="455">
        <f t="shared" si="71"/>
        <v>62.28</v>
      </c>
    </row>
    <row r="24" spans="1:375" ht="15.75" x14ac:dyDescent="0.25">
      <c r="A24" s="281"/>
      <c r="B24" s="282">
        <v>15</v>
      </c>
      <c r="C24" s="283">
        <v>49.3</v>
      </c>
      <c r="D24" s="284">
        <v>21.71</v>
      </c>
      <c r="E24" s="285">
        <v>40.119999999999997</v>
      </c>
      <c r="F24" s="286"/>
      <c r="G24" s="287"/>
      <c r="H24" s="288">
        <f t="shared" si="15"/>
        <v>61.83</v>
      </c>
      <c r="I24" s="289">
        <v>62.85</v>
      </c>
      <c r="J24" s="290"/>
      <c r="K24" s="290"/>
      <c r="L24" s="291"/>
      <c r="M24" s="256">
        <f t="shared" si="16"/>
        <v>62.85</v>
      </c>
      <c r="N24" s="289">
        <v>36.03</v>
      </c>
      <c r="O24" s="290">
        <v>20.18</v>
      </c>
      <c r="P24" s="290"/>
      <c r="Q24" s="291"/>
      <c r="R24" s="256">
        <f t="shared" si="0"/>
        <v>56.21</v>
      </c>
      <c r="S24" s="289">
        <v>52.4</v>
      </c>
      <c r="T24" s="290">
        <v>4.5199999999999996</v>
      </c>
      <c r="U24" s="290"/>
      <c r="V24" s="291"/>
      <c r="W24" s="256">
        <f t="shared" si="1"/>
        <v>56.92</v>
      </c>
      <c r="X24" s="289">
        <v>21.06</v>
      </c>
      <c r="Y24" s="290">
        <v>25.49</v>
      </c>
      <c r="Z24" s="290">
        <v>23.97</v>
      </c>
      <c r="AA24" s="291"/>
      <c r="AB24" s="256">
        <f t="shared" si="17"/>
        <v>70.52</v>
      </c>
      <c r="AC24" s="292">
        <v>40.29</v>
      </c>
      <c r="AD24" s="293">
        <v>30.38</v>
      </c>
      <c r="AE24" s="293"/>
      <c r="AF24" s="294"/>
      <c r="AG24" s="260">
        <f t="shared" si="18"/>
        <v>70.67</v>
      </c>
      <c r="AH24" s="292">
        <v>12.28</v>
      </c>
      <c r="AI24" s="293">
        <v>16.309999999999999</v>
      </c>
      <c r="AJ24" s="320">
        <v>17.55</v>
      </c>
      <c r="AK24" s="294"/>
      <c r="AL24" s="295">
        <f t="shared" si="72"/>
        <v>46.14</v>
      </c>
      <c r="AM24" s="32">
        <v>26.32</v>
      </c>
      <c r="AN24" s="33">
        <v>28.08</v>
      </c>
      <c r="AO24" s="33"/>
      <c r="AP24" s="296"/>
      <c r="AQ24" s="297">
        <f t="shared" si="73"/>
        <v>54.4</v>
      </c>
      <c r="AR24" s="32">
        <v>40.74</v>
      </c>
      <c r="AS24" s="33">
        <v>43.42</v>
      </c>
      <c r="AT24" s="33"/>
      <c r="AU24" s="296"/>
      <c r="AV24" s="298">
        <f t="shared" si="74"/>
        <v>84.16</v>
      </c>
      <c r="AW24" s="32">
        <v>41.24</v>
      </c>
      <c r="AX24" s="33"/>
      <c r="AY24" s="33"/>
      <c r="AZ24" s="296"/>
      <c r="BA24" s="298">
        <f>SUM(AW24:AZ24)</f>
        <v>41.24</v>
      </c>
      <c r="BB24" s="32">
        <v>77</v>
      </c>
      <c r="BC24" s="33">
        <v>59.91</v>
      </c>
      <c r="BD24" s="33"/>
      <c r="BE24" s="296"/>
      <c r="BF24" s="298">
        <f>SUM(BB24:BE24)</f>
        <v>136.91</v>
      </c>
      <c r="BG24" s="32">
        <v>41.24</v>
      </c>
      <c r="BH24" s="33">
        <v>27.29</v>
      </c>
      <c r="BI24" s="33"/>
      <c r="BJ24" s="299"/>
      <c r="BK24" s="298">
        <f t="shared" si="76"/>
        <v>68.53</v>
      </c>
      <c r="BL24" s="32">
        <v>28.63</v>
      </c>
      <c r="BM24" s="33">
        <v>17.63</v>
      </c>
      <c r="BN24" s="33"/>
      <c r="BO24" s="299"/>
      <c r="BP24" s="297">
        <f t="shared" si="77"/>
        <v>46.26</v>
      </c>
      <c r="BQ24" s="455">
        <f t="shared" si="2"/>
        <v>794.81</v>
      </c>
      <c r="BR24" s="32">
        <v>15.21</v>
      </c>
      <c r="BS24" s="43">
        <v>10.43</v>
      </c>
      <c r="BT24" s="43"/>
      <c r="BU24" s="781"/>
      <c r="BV24" s="782">
        <f t="shared" si="19"/>
        <v>25.64</v>
      </c>
      <c r="BW24" s="783">
        <v>10.16</v>
      </c>
      <c r="BX24" s="43">
        <v>9.1999999999999993</v>
      </c>
      <c r="BY24" s="43"/>
      <c r="BZ24" s="781"/>
      <c r="CA24" s="784">
        <f t="shared" si="20"/>
        <v>19.36</v>
      </c>
      <c r="CB24" s="785">
        <v>6.11</v>
      </c>
      <c r="CC24" s="786">
        <v>19.52</v>
      </c>
      <c r="CD24" s="786">
        <v>10.44</v>
      </c>
      <c r="CE24" s="787"/>
      <c r="CF24" s="788">
        <f t="shared" si="78"/>
        <v>36.07</v>
      </c>
      <c r="CG24" s="785">
        <v>20.309999999999999</v>
      </c>
      <c r="CH24" s="786">
        <v>16.690000000000001</v>
      </c>
      <c r="CI24" s="786"/>
      <c r="CJ24" s="787"/>
      <c r="CK24" s="791">
        <f t="shared" si="79"/>
        <v>37</v>
      </c>
      <c r="CL24" s="785">
        <v>26.4</v>
      </c>
      <c r="CM24" s="786">
        <v>22.59</v>
      </c>
      <c r="CN24" s="786"/>
      <c r="CO24" s="787"/>
      <c r="CP24" s="788">
        <f t="shared" si="80"/>
        <v>48.989999999999995</v>
      </c>
      <c r="CQ24" s="789">
        <v>23.41</v>
      </c>
      <c r="CR24" s="367">
        <v>23.85</v>
      </c>
      <c r="CS24" s="367">
        <v>34.479999999999997</v>
      </c>
      <c r="CT24" s="790"/>
      <c r="CU24" s="791">
        <v>81.740000000000009</v>
      </c>
      <c r="CV24" s="789">
        <v>34.39</v>
      </c>
      <c r="CW24" s="367">
        <v>25.83</v>
      </c>
      <c r="CX24" s="367"/>
      <c r="CY24" s="790"/>
      <c r="CZ24" s="791">
        <f t="shared" si="3"/>
        <v>60.22</v>
      </c>
      <c r="DA24" s="789">
        <v>39.25</v>
      </c>
      <c r="DB24" s="367">
        <v>33.590000000000003</v>
      </c>
      <c r="DC24" s="367"/>
      <c r="DD24" s="790"/>
      <c r="DE24" s="791">
        <f t="shared" si="4"/>
        <v>72.84</v>
      </c>
      <c r="DF24" s="789">
        <v>50.53</v>
      </c>
      <c r="DG24" s="367"/>
      <c r="DH24" s="367"/>
      <c r="DI24" s="790"/>
      <c r="DJ24" s="791">
        <f t="shared" si="5"/>
        <v>50.53</v>
      </c>
      <c r="DK24" s="789">
        <v>47.75</v>
      </c>
      <c r="DL24" s="367">
        <v>47.01</v>
      </c>
      <c r="DM24" s="367">
        <v>15.84</v>
      </c>
      <c r="DN24" s="790"/>
      <c r="DO24" s="791">
        <f t="shared" si="21"/>
        <v>110.6</v>
      </c>
      <c r="DP24" s="789">
        <v>23.17</v>
      </c>
      <c r="DQ24" s="367">
        <v>38.36</v>
      </c>
      <c r="DR24" s="367"/>
      <c r="DS24" s="790"/>
      <c r="DT24" s="791">
        <f t="shared" si="22"/>
        <v>61.53</v>
      </c>
      <c r="DU24" s="789">
        <v>44.31</v>
      </c>
      <c r="DV24" s="367">
        <v>37.89</v>
      </c>
      <c r="DW24" s="367"/>
      <c r="DX24" s="790"/>
      <c r="DY24" s="791">
        <f t="shared" si="23"/>
        <v>82.2</v>
      </c>
      <c r="DZ24" s="455">
        <f t="shared" si="6"/>
        <v>686.72</v>
      </c>
      <c r="EA24" s="789">
        <v>69.069999999999993</v>
      </c>
      <c r="EB24" s="367"/>
      <c r="EC24" s="367"/>
      <c r="ED24" s="790"/>
      <c r="EE24" s="791">
        <f t="shared" si="24"/>
        <v>69.069999999999993</v>
      </c>
      <c r="EF24" s="789">
        <v>29.2</v>
      </c>
      <c r="EG24" s="367">
        <v>27.56</v>
      </c>
      <c r="EH24" s="367"/>
      <c r="EI24" s="790"/>
      <c r="EJ24" s="791">
        <f t="shared" si="25"/>
        <v>56.76</v>
      </c>
      <c r="EK24" s="789">
        <v>28.55</v>
      </c>
      <c r="EL24" s="367">
        <v>32.36</v>
      </c>
      <c r="EM24" s="367"/>
      <c r="EN24" s="790"/>
      <c r="EO24" s="791">
        <f t="shared" si="26"/>
        <v>60.91</v>
      </c>
      <c r="EP24" s="789">
        <v>17.399999999999999</v>
      </c>
      <c r="EQ24" s="367">
        <v>27.62</v>
      </c>
      <c r="ER24" s="367"/>
      <c r="ES24" s="790"/>
      <c r="ET24" s="791">
        <f t="shared" si="27"/>
        <v>45.019999999999996</v>
      </c>
      <c r="EU24" s="789">
        <v>26.58</v>
      </c>
      <c r="EV24" s="367">
        <v>25.67</v>
      </c>
      <c r="EW24" s="367"/>
      <c r="EX24" s="790"/>
      <c r="EY24" s="791">
        <f t="shared" si="28"/>
        <v>52.25</v>
      </c>
      <c r="EZ24" s="789">
        <v>24.15</v>
      </c>
      <c r="FA24" s="367">
        <v>35.33</v>
      </c>
      <c r="FB24" s="367"/>
      <c r="FC24" s="790"/>
      <c r="FD24" s="791">
        <f t="shared" si="29"/>
        <v>59.48</v>
      </c>
      <c r="FE24" s="789">
        <v>36.19</v>
      </c>
      <c r="FF24" s="367">
        <v>33.79</v>
      </c>
      <c r="FG24" s="367"/>
      <c r="FH24" s="790"/>
      <c r="FI24" s="791">
        <f t="shared" si="30"/>
        <v>69.97999999999999</v>
      </c>
      <c r="FJ24" s="789">
        <v>35.299999999999997</v>
      </c>
      <c r="FK24" s="367">
        <v>30.08</v>
      </c>
      <c r="FL24" s="367"/>
      <c r="FM24" s="790"/>
      <c r="FN24" s="791">
        <f t="shared" si="31"/>
        <v>65.38</v>
      </c>
      <c r="FO24" s="789">
        <v>34.71</v>
      </c>
      <c r="FP24" s="367">
        <v>34.92</v>
      </c>
      <c r="FQ24" s="367"/>
      <c r="FR24" s="790"/>
      <c r="FS24" s="791">
        <f t="shared" si="32"/>
        <v>69.63</v>
      </c>
      <c r="FT24" s="789">
        <v>39.159999999999997</v>
      </c>
      <c r="FU24" s="367">
        <v>36.33</v>
      </c>
      <c r="FV24" s="367"/>
      <c r="FW24" s="790"/>
      <c r="FX24" s="791">
        <f t="shared" si="33"/>
        <v>75.489999999999995</v>
      </c>
      <c r="FY24" s="789">
        <v>35.28</v>
      </c>
      <c r="FZ24" s="367">
        <v>35.869999999999997</v>
      </c>
      <c r="GA24" s="367"/>
      <c r="GB24" s="790"/>
      <c r="GC24" s="791">
        <f t="shared" si="34"/>
        <v>71.150000000000006</v>
      </c>
      <c r="GD24" s="789">
        <v>28</v>
      </c>
      <c r="GE24" s="367">
        <v>30.24</v>
      </c>
      <c r="GF24" s="367"/>
      <c r="GG24" s="790"/>
      <c r="GH24" s="791">
        <f t="shared" si="35"/>
        <v>58.239999999999995</v>
      </c>
      <c r="GI24" s="455">
        <f t="shared" si="7"/>
        <v>753.36</v>
      </c>
      <c r="GJ24" s="302">
        <v>22.07</v>
      </c>
      <c r="GK24" s="303">
        <v>15.31</v>
      </c>
      <c r="GL24" s="303"/>
      <c r="GM24" s="304"/>
      <c r="GN24" s="305">
        <f t="shared" si="36"/>
        <v>37.380000000000003</v>
      </c>
      <c r="GO24" s="302">
        <v>9.6199999999999992</v>
      </c>
      <c r="GP24" s="303">
        <v>7.33</v>
      </c>
      <c r="GQ24" s="303"/>
      <c r="GR24" s="304"/>
      <c r="GS24" s="305">
        <f t="shared" si="37"/>
        <v>16.95</v>
      </c>
      <c r="GT24" s="302">
        <v>8.48</v>
      </c>
      <c r="GU24" s="303">
        <v>4.96</v>
      </c>
      <c r="GV24" s="303"/>
      <c r="GW24" s="304"/>
      <c r="GX24" s="305">
        <f t="shared" si="38"/>
        <v>13.440000000000001</v>
      </c>
      <c r="GY24" s="302">
        <v>14.53</v>
      </c>
      <c r="GZ24" s="310"/>
      <c r="HA24" s="303"/>
      <c r="HB24" s="304"/>
      <c r="HC24" s="305">
        <f t="shared" si="39"/>
        <v>14.53</v>
      </c>
      <c r="HD24" s="302">
        <v>7.23</v>
      </c>
      <c r="HE24" s="303">
        <v>10.7</v>
      </c>
      <c r="HF24" s="303">
        <v>14.57</v>
      </c>
      <c r="HG24" s="304"/>
      <c r="HH24" s="305">
        <f t="shared" si="40"/>
        <v>32.5</v>
      </c>
      <c r="HI24" s="302">
        <v>26.78</v>
      </c>
      <c r="HJ24" s="303">
        <v>22.72</v>
      </c>
      <c r="HK24" s="303"/>
      <c r="HL24" s="304"/>
      <c r="HM24" s="305">
        <f t="shared" si="41"/>
        <v>49.5</v>
      </c>
      <c r="HN24" s="302">
        <v>20.97</v>
      </c>
      <c r="HO24" s="303">
        <v>13.11</v>
      </c>
      <c r="HP24" s="303"/>
      <c r="HQ24" s="304"/>
      <c r="HR24" s="305">
        <f t="shared" si="42"/>
        <v>34.08</v>
      </c>
      <c r="HS24" s="302">
        <v>34.42</v>
      </c>
      <c r="HT24" s="303">
        <v>62.02</v>
      </c>
      <c r="HU24" s="303"/>
      <c r="HV24" s="304"/>
      <c r="HW24" s="305">
        <f t="shared" si="43"/>
        <v>96.44</v>
      </c>
      <c r="HX24" s="302">
        <v>79.52</v>
      </c>
      <c r="HY24" s="308"/>
      <c r="HZ24" s="303"/>
      <c r="IA24" s="304"/>
      <c r="IB24" s="305">
        <f t="shared" si="44"/>
        <v>79.52</v>
      </c>
      <c r="IC24" s="302">
        <f>69.24+0.55</f>
        <v>69.789999999999992</v>
      </c>
      <c r="ID24" s="303">
        <v>37.229999999999997</v>
      </c>
      <c r="IE24" s="303"/>
      <c r="IF24" s="304"/>
      <c r="IG24" s="305">
        <f t="shared" si="45"/>
        <v>107.01999999999998</v>
      </c>
      <c r="IH24" s="61">
        <v>46.04</v>
      </c>
      <c r="II24" s="62">
        <v>31.87</v>
      </c>
      <c r="IJ24" s="62"/>
      <c r="IK24" s="301"/>
      <c r="IL24" s="300">
        <f t="shared" si="46"/>
        <v>77.91</v>
      </c>
      <c r="IM24" s="61">
        <v>34.21</v>
      </c>
      <c r="IN24" s="62">
        <v>26.28</v>
      </c>
      <c r="IO24" s="301"/>
      <c r="IP24" s="296"/>
      <c r="IQ24" s="442">
        <f t="shared" si="47"/>
        <v>60.49</v>
      </c>
      <c r="IR24" s="442"/>
      <c r="IS24" s="455">
        <f t="shared" si="48"/>
        <v>619.76</v>
      </c>
      <c r="IT24" s="449">
        <v>19.399999999999999</v>
      </c>
      <c r="IU24" s="33">
        <v>38.770000000000003</v>
      </c>
      <c r="IV24" s="33"/>
      <c r="IW24" s="296"/>
      <c r="IX24" s="298">
        <f t="shared" si="49"/>
        <v>58.17</v>
      </c>
      <c r="IY24" s="32">
        <v>39.159999999999997</v>
      </c>
      <c r="IZ24" s="33">
        <v>20.38</v>
      </c>
      <c r="JA24" s="33"/>
      <c r="JB24" s="296"/>
      <c r="JC24" s="298">
        <f t="shared" si="50"/>
        <v>59.539999999999992</v>
      </c>
      <c r="JD24" s="32">
        <v>18.46</v>
      </c>
      <c r="JE24" s="33">
        <v>29.86</v>
      </c>
      <c r="JF24" s="33"/>
      <c r="JG24" s="296"/>
      <c r="JH24" s="298">
        <f t="shared" si="51"/>
        <v>48.32</v>
      </c>
      <c r="JI24" s="32">
        <v>46.6</v>
      </c>
      <c r="JJ24" s="309"/>
      <c r="JK24" s="33"/>
      <c r="JL24" s="296"/>
      <c r="JM24" s="298">
        <f t="shared" si="52"/>
        <v>46.6</v>
      </c>
      <c r="JN24" s="32">
        <v>28.7</v>
      </c>
      <c r="JO24" s="33">
        <v>4.9000000000000004</v>
      </c>
      <c r="JP24" s="33">
        <v>25.76</v>
      </c>
      <c r="JQ24" s="296"/>
      <c r="JR24" s="298">
        <f t="shared" si="53"/>
        <v>59.36</v>
      </c>
      <c r="JS24" s="32">
        <v>21.2</v>
      </c>
      <c r="JT24" s="33">
        <v>19.14</v>
      </c>
      <c r="JU24" s="33">
        <v>14.52</v>
      </c>
      <c r="JV24" s="296"/>
      <c r="JW24" s="298">
        <f t="shared" si="54"/>
        <v>54.86</v>
      </c>
      <c r="JX24" s="32">
        <v>34.090000000000003</v>
      </c>
      <c r="JY24" s="33">
        <v>16.93</v>
      </c>
      <c r="JZ24" s="33"/>
      <c r="KA24" s="296"/>
      <c r="KB24" s="298">
        <f t="shared" si="55"/>
        <v>51.02</v>
      </c>
      <c r="KC24" s="32">
        <v>34.950000000000003</v>
      </c>
      <c r="KD24" s="33">
        <v>16.77</v>
      </c>
      <c r="KE24" s="33"/>
      <c r="KF24" s="296"/>
      <c r="KG24" s="298">
        <f t="shared" si="56"/>
        <v>51.72</v>
      </c>
      <c r="KH24" s="32">
        <v>32.64</v>
      </c>
      <c r="KI24" s="33">
        <v>23.779999999999998</v>
      </c>
      <c r="KJ24" s="33">
        <v>0</v>
      </c>
      <c r="KK24" s="296">
        <v>0</v>
      </c>
      <c r="KL24" s="298">
        <f t="shared" si="57"/>
        <v>56.42</v>
      </c>
      <c r="KM24" s="32">
        <v>56.39</v>
      </c>
      <c r="KN24" s="33">
        <v>60.65</v>
      </c>
      <c r="KO24" s="33">
        <v>0</v>
      </c>
      <c r="KP24" s="296">
        <v>0</v>
      </c>
      <c r="KQ24" s="298">
        <f t="shared" si="58"/>
        <v>117.03999999999999</v>
      </c>
      <c r="KR24" s="32">
        <v>49.78</v>
      </c>
      <c r="KS24" s="33">
        <v>0</v>
      </c>
      <c r="KT24" s="33">
        <v>0</v>
      </c>
      <c r="KU24" s="296">
        <v>0</v>
      </c>
      <c r="KV24" s="298">
        <f t="shared" si="59"/>
        <v>49.78</v>
      </c>
      <c r="KW24" s="32">
        <v>70.900000000000006</v>
      </c>
      <c r="KX24" s="33">
        <v>53.16</v>
      </c>
      <c r="KY24" s="33">
        <v>0</v>
      </c>
      <c r="KZ24" s="296">
        <v>0</v>
      </c>
      <c r="LA24" s="298">
        <f t="shared" si="8"/>
        <v>124.06</v>
      </c>
      <c r="LB24" s="455">
        <f t="shared" si="60"/>
        <v>776.8900000000001</v>
      </c>
      <c r="LC24" s="32">
        <f t="shared" si="9"/>
        <v>33.380000000000003</v>
      </c>
      <c r="LD24" s="33">
        <f t="shared" si="10"/>
        <v>10.51</v>
      </c>
      <c r="LE24" s="33">
        <f t="shared" si="11"/>
        <v>20.07</v>
      </c>
      <c r="LF24" s="296">
        <f t="shared" si="12"/>
        <v>0</v>
      </c>
      <c r="LG24" s="298">
        <f t="shared" si="13"/>
        <v>63.96</v>
      </c>
      <c r="LH24" s="32"/>
      <c r="LI24" s="33"/>
      <c r="LJ24" s="33"/>
      <c r="LK24" s="296"/>
      <c r="LL24" s="298">
        <f t="shared" si="61"/>
        <v>0</v>
      </c>
      <c r="LM24" s="32"/>
      <c r="LN24" s="33"/>
      <c r="LO24" s="33"/>
      <c r="LP24" s="296"/>
      <c r="LQ24" s="298">
        <f t="shared" si="62"/>
        <v>0</v>
      </c>
      <c r="LR24" s="32"/>
      <c r="LS24" s="33"/>
      <c r="LT24" s="33"/>
      <c r="LU24" s="296"/>
      <c r="LV24" s="298">
        <f t="shared" si="63"/>
        <v>0</v>
      </c>
      <c r="LW24" s="32"/>
      <c r="LX24" s="33"/>
      <c r="LY24" s="33"/>
      <c r="LZ24" s="296"/>
      <c r="MA24" s="298">
        <f t="shared" si="64"/>
        <v>0</v>
      </c>
      <c r="MB24" s="32"/>
      <c r="MC24" s="33"/>
      <c r="MD24" s="33"/>
      <c r="ME24" s="296"/>
      <c r="MF24" s="298">
        <f t="shared" si="65"/>
        <v>0</v>
      </c>
      <c r="MG24" s="32"/>
      <c r="MH24" s="33"/>
      <c r="MI24" s="33"/>
      <c r="MJ24" s="296"/>
      <c r="MK24" s="298">
        <f t="shared" si="66"/>
        <v>0</v>
      </c>
      <c r="ML24" s="32"/>
      <c r="MM24" s="33"/>
      <c r="MN24" s="33"/>
      <c r="MO24" s="296"/>
      <c r="MP24" s="298">
        <f t="shared" si="67"/>
        <v>0</v>
      </c>
      <c r="MQ24" s="32"/>
      <c r="MR24" s="33"/>
      <c r="MS24" s="33"/>
      <c r="MT24" s="296"/>
      <c r="MU24" s="298">
        <f t="shared" si="68"/>
        <v>0</v>
      </c>
      <c r="MV24" s="32"/>
      <c r="MW24" s="33"/>
      <c r="MX24" s="33"/>
      <c r="MY24" s="296"/>
      <c r="MZ24" s="298">
        <f t="shared" si="69"/>
        <v>0</v>
      </c>
      <c r="NA24" s="32"/>
      <c r="NB24" s="33"/>
      <c r="NC24" s="33"/>
      <c r="ND24" s="296"/>
      <c r="NE24" s="298">
        <f t="shared" si="70"/>
        <v>0</v>
      </c>
      <c r="NF24" s="32"/>
      <c r="NG24" s="33"/>
      <c r="NH24" s="33"/>
      <c r="NI24" s="296"/>
      <c r="NJ24" s="298">
        <f t="shared" si="14"/>
        <v>0</v>
      </c>
      <c r="NK24" s="455">
        <f t="shared" si="71"/>
        <v>63.96</v>
      </c>
    </row>
    <row r="25" spans="1:375" ht="15.75" x14ac:dyDescent="0.25">
      <c r="A25" s="281"/>
      <c r="B25" s="282">
        <v>16</v>
      </c>
      <c r="C25" s="283">
        <v>53.2</v>
      </c>
      <c r="D25" s="284">
        <v>14.96</v>
      </c>
      <c r="E25" s="285">
        <v>42.95</v>
      </c>
      <c r="F25" s="286"/>
      <c r="G25" s="287"/>
      <c r="H25" s="288">
        <f t="shared" si="15"/>
        <v>57.910000000000004</v>
      </c>
      <c r="I25" s="289">
        <v>18.61</v>
      </c>
      <c r="J25" s="307">
        <v>9</v>
      </c>
      <c r="K25" s="290"/>
      <c r="L25" s="291"/>
      <c r="M25" s="256">
        <f t="shared" si="16"/>
        <v>27.61</v>
      </c>
      <c r="N25" s="289">
        <v>54.79</v>
      </c>
      <c r="O25" s="307">
        <v>35.92</v>
      </c>
      <c r="P25" s="290"/>
      <c r="Q25" s="291"/>
      <c r="R25" s="256">
        <f t="shared" si="0"/>
        <v>90.710000000000008</v>
      </c>
      <c r="S25" s="289">
        <v>26.22</v>
      </c>
      <c r="T25" s="307">
        <v>59.21</v>
      </c>
      <c r="U25" s="290"/>
      <c r="V25" s="291"/>
      <c r="W25" s="256">
        <f t="shared" si="1"/>
        <v>85.43</v>
      </c>
      <c r="X25" s="289">
        <v>26.07</v>
      </c>
      <c r="Y25" s="307">
        <v>26.88</v>
      </c>
      <c r="Z25" s="290"/>
      <c r="AA25" s="291"/>
      <c r="AB25" s="256">
        <f t="shared" si="17"/>
        <v>52.95</v>
      </c>
      <c r="AC25" s="292">
        <v>12.15</v>
      </c>
      <c r="AD25" s="320">
        <v>59.77</v>
      </c>
      <c r="AE25" s="293"/>
      <c r="AF25" s="294"/>
      <c r="AG25" s="260">
        <f t="shared" si="18"/>
        <v>71.92</v>
      </c>
      <c r="AH25" s="292">
        <v>24.72</v>
      </c>
      <c r="AI25" s="320">
        <v>21.08</v>
      </c>
      <c r="AJ25" s="320">
        <v>23.55</v>
      </c>
      <c r="AK25" s="294"/>
      <c r="AL25" s="295">
        <f t="shared" si="72"/>
        <v>69.349999999999994</v>
      </c>
      <c r="AM25" s="32">
        <v>33.42</v>
      </c>
      <c r="AN25" s="33">
        <v>45.56</v>
      </c>
      <c r="AO25" s="33"/>
      <c r="AP25" s="296"/>
      <c r="AQ25" s="297">
        <f t="shared" si="73"/>
        <v>78.98</v>
      </c>
      <c r="AR25" s="32">
        <v>40.56</v>
      </c>
      <c r="AS25" s="33">
        <v>50.51</v>
      </c>
      <c r="AT25" s="33"/>
      <c r="AU25" s="296"/>
      <c r="AV25" s="298">
        <f t="shared" si="74"/>
        <v>91.07</v>
      </c>
      <c r="AW25" s="32">
        <v>49.31</v>
      </c>
      <c r="AX25" s="33">
        <v>16.98</v>
      </c>
      <c r="AY25" s="33"/>
      <c r="AZ25" s="296"/>
      <c r="BA25" s="298">
        <f>SUM(AW25:AZ25)</f>
        <v>66.290000000000006</v>
      </c>
      <c r="BB25" s="32">
        <v>57.32</v>
      </c>
      <c r="BC25" s="33">
        <v>64.59</v>
      </c>
      <c r="BD25" s="33"/>
      <c r="BE25" s="296"/>
      <c r="BF25" s="298">
        <f>SUM(BB25:BE25)</f>
        <v>121.91</v>
      </c>
      <c r="BG25" s="32">
        <v>48.97</v>
      </c>
      <c r="BH25" s="33">
        <v>33.83</v>
      </c>
      <c r="BI25" s="33"/>
      <c r="BJ25" s="299"/>
      <c r="BK25" s="298">
        <f t="shared" si="76"/>
        <v>82.8</v>
      </c>
      <c r="BL25" s="32">
        <v>38.06</v>
      </c>
      <c r="BM25" s="33">
        <v>28.88</v>
      </c>
      <c r="BN25" s="33"/>
      <c r="BO25" s="299"/>
      <c r="BP25" s="297">
        <f t="shared" si="77"/>
        <v>66.94</v>
      </c>
      <c r="BQ25" s="455">
        <f t="shared" si="2"/>
        <v>905.95999999999981</v>
      </c>
      <c r="BR25" s="32">
        <v>22.35</v>
      </c>
      <c r="BS25" s="43">
        <v>24.13</v>
      </c>
      <c r="BT25" s="43"/>
      <c r="BU25" s="781"/>
      <c r="BV25" s="782">
        <f t="shared" si="19"/>
        <v>46.480000000000004</v>
      </c>
      <c r="BW25" s="783">
        <v>15.88</v>
      </c>
      <c r="BX25" s="43">
        <v>17.579999999999998</v>
      </c>
      <c r="BY25" s="43">
        <v>13.91</v>
      </c>
      <c r="BZ25" s="781"/>
      <c r="CA25" s="784">
        <f t="shared" si="20"/>
        <v>47.370000000000005</v>
      </c>
      <c r="CB25" s="785">
        <v>22.2</v>
      </c>
      <c r="CC25" s="786">
        <v>22.79</v>
      </c>
      <c r="CD25" s="786"/>
      <c r="CE25" s="787"/>
      <c r="CF25" s="788">
        <f t="shared" si="78"/>
        <v>44.989999999999995</v>
      </c>
      <c r="CG25" s="785">
        <v>27.61</v>
      </c>
      <c r="CH25" s="786">
        <v>24.06</v>
      </c>
      <c r="CI25" s="786"/>
      <c r="CJ25" s="787"/>
      <c r="CK25" s="788">
        <f t="shared" si="79"/>
        <v>51.67</v>
      </c>
      <c r="CL25" s="785">
        <v>38.86</v>
      </c>
      <c r="CM25" s="786">
        <v>32.630000000000003</v>
      </c>
      <c r="CN25" s="786"/>
      <c r="CO25" s="787"/>
      <c r="CP25" s="788">
        <f t="shared" si="80"/>
        <v>71.490000000000009</v>
      </c>
      <c r="CQ25" s="789">
        <v>35.31</v>
      </c>
      <c r="CR25" s="367">
        <v>29.26</v>
      </c>
      <c r="CS25" s="367">
        <v>47.67</v>
      </c>
      <c r="CT25" s="790"/>
      <c r="CU25" s="791">
        <v>112.24000000000001</v>
      </c>
      <c r="CV25" s="789">
        <v>42.98</v>
      </c>
      <c r="CW25" s="367">
        <v>48.61</v>
      </c>
      <c r="CX25" s="367"/>
      <c r="CY25" s="790"/>
      <c r="CZ25" s="791">
        <f t="shared" si="3"/>
        <v>91.59</v>
      </c>
      <c r="DA25" s="789">
        <v>56.14</v>
      </c>
      <c r="DB25" s="367">
        <v>49.03</v>
      </c>
      <c r="DC25" s="367"/>
      <c r="DD25" s="790"/>
      <c r="DE25" s="791">
        <f t="shared" si="4"/>
        <v>105.17</v>
      </c>
      <c r="DF25" s="789">
        <v>32.979999999999997</v>
      </c>
      <c r="DG25" s="367">
        <v>31.83</v>
      </c>
      <c r="DH25" s="367">
        <v>38.700000000000003</v>
      </c>
      <c r="DI25" s="790"/>
      <c r="DJ25" s="791">
        <f t="shared" si="5"/>
        <v>103.51</v>
      </c>
      <c r="DK25" s="789">
        <v>74.150000000000006</v>
      </c>
      <c r="DL25" s="367">
        <v>44.78</v>
      </c>
      <c r="DM25" s="367"/>
      <c r="DN25" s="790"/>
      <c r="DO25" s="791">
        <f t="shared" si="21"/>
        <v>118.93</v>
      </c>
      <c r="DP25" s="789">
        <v>81.400000000000006</v>
      </c>
      <c r="DQ25" s="367"/>
      <c r="DR25" s="367"/>
      <c r="DS25" s="790"/>
      <c r="DT25" s="791">
        <f t="shared" si="22"/>
        <v>81.400000000000006</v>
      </c>
      <c r="DU25" s="789">
        <v>19.440000000000001</v>
      </c>
      <c r="DV25" s="367">
        <v>76.88</v>
      </c>
      <c r="DW25" s="367"/>
      <c r="DX25" s="790"/>
      <c r="DY25" s="791">
        <f t="shared" si="23"/>
        <v>96.32</v>
      </c>
      <c r="DZ25" s="455">
        <f t="shared" si="6"/>
        <v>971.16000000000008</v>
      </c>
      <c r="EA25" s="789">
        <v>65.75</v>
      </c>
      <c r="EB25" s="367"/>
      <c r="EC25" s="367"/>
      <c r="ED25" s="790"/>
      <c r="EE25" s="791">
        <f t="shared" si="24"/>
        <v>65.75</v>
      </c>
      <c r="EF25" s="789">
        <v>59.36</v>
      </c>
      <c r="EG25" s="367">
        <v>22.89</v>
      </c>
      <c r="EH25" s="367"/>
      <c r="EI25" s="790"/>
      <c r="EJ25" s="791">
        <f t="shared" si="25"/>
        <v>82.25</v>
      </c>
      <c r="EK25" s="789">
        <v>34.39</v>
      </c>
      <c r="EL25" s="367">
        <v>40.92</v>
      </c>
      <c r="EM25" s="367"/>
      <c r="EN25" s="790"/>
      <c r="EO25" s="791">
        <f t="shared" si="26"/>
        <v>75.31</v>
      </c>
      <c r="EP25" s="789">
        <v>25.15</v>
      </c>
      <c r="EQ25" s="367">
        <v>24.35</v>
      </c>
      <c r="ER25" s="367"/>
      <c r="ES25" s="790"/>
      <c r="ET25" s="791">
        <f t="shared" si="27"/>
        <v>49.5</v>
      </c>
      <c r="EU25" s="789">
        <v>32.42</v>
      </c>
      <c r="EV25" s="367">
        <v>34.630000000000003</v>
      </c>
      <c r="EW25" s="367"/>
      <c r="EX25" s="790"/>
      <c r="EY25" s="791">
        <f t="shared" si="28"/>
        <v>67.050000000000011</v>
      </c>
      <c r="EZ25" s="789">
        <v>28.11</v>
      </c>
      <c r="FA25" s="367">
        <v>36.36</v>
      </c>
      <c r="FB25" s="367"/>
      <c r="FC25" s="790"/>
      <c r="FD25" s="791">
        <f t="shared" si="29"/>
        <v>64.47</v>
      </c>
      <c r="FE25" s="789">
        <v>43.97</v>
      </c>
      <c r="FF25" s="367">
        <v>59.64</v>
      </c>
      <c r="FG25" s="367"/>
      <c r="FH25" s="790"/>
      <c r="FI25" s="791">
        <f t="shared" si="30"/>
        <v>103.61</v>
      </c>
      <c r="FJ25" s="789">
        <v>39.450000000000003</v>
      </c>
      <c r="FK25" s="367">
        <v>53.72</v>
      </c>
      <c r="FL25" s="367"/>
      <c r="FM25" s="790"/>
      <c r="FN25" s="791">
        <f t="shared" si="31"/>
        <v>93.17</v>
      </c>
      <c r="FO25" s="789">
        <v>49.85</v>
      </c>
      <c r="FP25" s="367">
        <v>41.52</v>
      </c>
      <c r="FQ25" s="367"/>
      <c r="FR25" s="790"/>
      <c r="FS25" s="791">
        <f t="shared" si="32"/>
        <v>91.37</v>
      </c>
      <c r="FT25" s="789">
        <v>44.32</v>
      </c>
      <c r="FU25" s="367">
        <v>39.83</v>
      </c>
      <c r="FV25" s="367"/>
      <c r="FW25" s="790"/>
      <c r="FX25" s="791">
        <f t="shared" si="33"/>
        <v>84.15</v>
      </c>
      <c r="FY25" s="789">
        <v>37.49</v>
      </c>
      <c r="FZ25" s="367">
        <v>45.84</v>
      </c>
      <c r="GA25" s="367"/>
      <c r="GB25" s="790"/>
      <c r="GC25" s="791">
        <f t="shared" si="34"/>
        <v>83.330000000000013</v>
      </c>
      <c r="GD25" s="789">
        <v>34.6</v>
      </c>
      <c r="GE25" s="367">
        <v>30.89</v>
      </c>
      <c r="GF25" s="367"/>
      <c r="GG25" s="790"/>
      <c r="GH25" s="791">
        <f t="shared" si="35"/>
        <v>65.490000000000009</v>
      </c>
      <c r="GI25" s="455">
        <f t="shared" si="7"/>
        <v>925.45</v>
      </c>
      <c r="GJ25" s="302">
        <v>24.88</v>
      </c>
      <c r="GK25" s="303">
        <v>23.45</v>
      </c>
      <c r="GL25" s="303"/>
      <c r="GM25" s="304"/>
      <c r="GN25" s="305">
        <f t="shared" si="36"/>
        <v>48.33</v>
      </c>
      <c r="GO25" s="302">
        <v>20.88</v>
      </c>
      <c r="GP25" s="303">
        <v>13.31</v>
      </c>
      <c r="GQ25" s="303"/>
      <c r="GR25" s="304"/>
      <c r="GS25" s="305">
        <f t="shared" si="37"/>
        <v>34.19</v>
      </c>
      <c r="GT25" s="302">
        <v>12.31</v>
      </c>
      <c r="GU25" s="303">
        <v>11.32</v>
      </c>
      <c r="GV25" s="303"/>
      <c r="GW25" s="304"/>
      <c r="GX25" s="305">
        <f t="shared" si="38"/>
        <v>23.630000000000003</v>
      </c>
      <c r="GY25" s="302">
        <v>32.729999999999997</v>
      </c>
      <c r="GZ25" s="303">
        <v>22.68</v>
      </c>
      <c r="HA25" s="303"/>
      <c r="HB25" s="304"/>
      <c r="HC25" s="305">
        <f t="shared" si="39"/>
        <v>55.41</v>
      </c>
      <c r="HD25" s="302">
        <v>20.99</v>
      </c>
      <c r="HE25" s="303">
        <v>19.54</v>
      </c>
      <c r="HF25" s="303"/>
      <c r="HG25" s="304"/>
      <c r="HH25" s="305">
        <f t="shared" si="40"/>
        <v>40.53</v>
      </c>
      <c r="HI25" s="302">
        <v>30.08</v>
      </c>
      <c r="HJ25" s="303">
        <v>38.6</v>
      </c>
      <c r="HK25" s="303"/>
      <c r="HL25" s="304"/>
      <c r="HM25" s="305">
        <f t="shared" si="41"/>
        <v>68.680000000000007</v>
      </c>
      <c r="HN25" s="302">
        <v>34.64</v>
      </c>
      <c r="HO25" s="303">
        <v>33.57</v>
      </c>
      <c r="HP25" s="303"/>
      <c r="HQ25" s="304"/>
      <c r="HR25" s="305">
        <f t="shared" si="42"/>
        <v>68.210000000000008</v>
      </c>
      <c r="HS25" s="302">
        <v>40.1</v>
      </c>
      <c r="HT25" s="303">
        <v>75.62</v>
      </c>
      <c r="HU25" s="303"/>
      <c r="HV25" s="304"/>
      <c r="HW25" s="305">
        <f t="shared" si="43"/>
        <v>115.72</v>
      </c>
      <c r="HX25" s="302">
        <v>88.25</v>
      </c>
      <c r="HY25" s="308"/>
      <c r="HZ25" s="303"/>
      <c r="IA25" s="304"/>
      <c r="IB25" s="305">
        <f t="shared" si="44"/>
        <v>88.25</v>
      </c>
      <c r="IC25" s="302">
        <f>75.24+1.15</f>
        <v>76.39</v>
      </c>
      <c r="ID25" s="303">
        <v>39.22</v>
      </c>
      <c r="IE25" s="303"/>
      <c r="IF25" s="304"/>
      <c r="IG25" s="305">
        <f t="shared" si="45"/>
        <v>115.61</v>
      </c>
      <c r="IH25" s="61">
        <v>51.38</v>
      </c>
      <c r="II25" s="62">
        <v>39.630000000000003</v>
      </c>
      <c r="IJ25" s="62"/>
      <c r="IK25" s="301"/>
      <c r="IL25" s="300">
        <f t="shared" si="46"/>
        <v>91.01</v>
      </c>
      <c r="IM25" s="61">
        <v>28.6</v>
      </c>
      <c r="IN25" s="62">
        <v>27.35</v>
      </c>
      <c r="IO25" s="301">
        <v>31.71</v>
      </c>
      <c r="IP25" s="296"/>
      <c r="IQ25" s="442">
        <f t="shared" si="47"/>
        <v>87.66</v>
      </c>
      <c r="IR25" s="442"/>
      <c r="IS25" s="455">
        <f t="shared" si="48"/>
        <v>837.23</v>
      </c>
      <c r="IT25" s="449">
        <v>42.08</v>
      </c>
      <c r="IU25" s="309"/>
      <c r="IV25" s="33"/>
      <c r="IW25" s="296"/>
      <c r="IX25" s="298">
        <f t="shared" si="49"/>
        <v>42.08</v>
      </c>
      <c r="IY25" s="32">
        <v>41.72</v>
      </c>
      <c r="IZ25" s="33">
        <v>23.95</v>
      </c>
      <c r="JA25" s="33"/>
      <c r="JB25" s="296"/>
      <c r="JC25" s="298">
        <f t="shared" si="50"/>
        <v>65.67</v>
      </c>
      <c r="JD25" s="32">
        <v>30.97</v>
      </c>
      <c r="JE25" s="33">
        <v>31.66</v>
      </c>
      <c r="JF25" s="33"/>
      <c r="JG25" s="296"/>
      <c r="JH25" s="298">
        <f t="shared" si="51"/>
        <v>62.629999999999995</v>
      </c>
      <c r="JI25" s="32">
        <v>59.59</v>
      </c>
      <c r="JJ25" s="309"/>
      <c r="JK25" s="33"/>
      <c r="JL25" s="296"/>
      <c r="JM25" s="298">
        <f t="shared" si="52"/>
        <v>59.59</v>
      </c>
      <c r="JN25" s="32">
        <v>30.95</v>
      </c>
      <c r="JO25" s="33">
        <v>12.7</v>
      </c>
      <c r="JP25" s="33">
        <v>29.5</v>
      </c>
      <c r="JQ25" s="296"/>
      <c r="JR25" s="298">
        <f t="shared" si="53"/>
        <v>73.150000000000006</v>
      </c>
      <c r="JS25" s="32">
        <v>24.06</v>
      </c>
      <c r="JT25" s="33">
        <v>20.55</v>
      </c>
      <c r="JU25" s="33">
        <v>25.26</v>
      </c>
      <c r="JV25" s="296"/>
      <c r="JW25" s="298">
        <f t="shared" si="54"/>
        <v>69.87</v>
      </c>
      <c r="JX25" s="32">
        <v>40.61</v>
      </c>
      <c r="JY25" s="33">
        <v>35.590000000000003</v>
      </c>
      <c r="JZ25" s="33"/>
      <c r="KA25" s="296"/>
      <c r="KB25" s="298">
        <f t="shared" si="55"/>
        <v>76.2</v>
      </c>
      <c r="KC25" s="32">
        <v>41.16</v>
      </c>
      <c r="KD25" s="33">
        <v>37.65</v>
      </c>
      <c r="KE25" s="33"/>
      <c r="KF25" s="296"/>
      <c r="KG25" s="298">
        <f t="shared" si="56"/>
        <v>78.81</v>
      </c>
      <c r="KH25" s="32">
        <v>37.260000000000005</v>
      </c>
      <c r="KI25" s="33">
        <v>44.15</v>
      </c>
      <c r="KJ25" s="33">
        <v>0</v>
      </c>
      <c r="KK25" s="296">
        <v>0</v>
      </c>
      <c r="KL25" s="298">
        <f t="shared" si="57"/>
        <v>81.41</v>
      </c>
      <c r="KM25" s="32">
        <v>38.340000000000003</v>
      </c>
      <c r="KN25" s="33">
        <v>62.370000000000005</v>
      </c>
      <c r="KO25" s="33">
        <v>0</v>
      </c>
      <c r="KP25" s="296">
        <v>0</v>
      </c>
      <c r="KQ25" s="298">
        <f t="shared" si="58"/>
        <v>100.71000000000001</v>
      </c>
      <c r="KR25" s="32">
        <v>48.72</v>
      </c>
      <c r="KS25" s="33">
        <v>30.18</v>
      </c>
      <c r="KT25" s="33">
        <v>0</v>
      </c>
      <c r="KU25" s="296">
        <v>0</v>
      </c>
      <c r="KV25" s="298">
        <f t="shared" si="59"/>
        <v>78.900000000000006</v>
      </c>
      <c r="KW25" s="32">
        <v>53.38</v>
      </c>
      <c r="KX25" s="33">
        <v>58.28</v>
      </c>
      <c r="KY25" s="33">
        <v>0</v>
      </c>
      <c r="KZ25" s="296">
        <v>0</v>
      </c>
      <c r="LA25" s="298">
        <f t="shared" si="8"/>
        <v>111.66</v>
      </c>
      <c r="LB25" s="455">
        <f t="shared" si="60"/>
        <v>900.68</v>
      </c>
      <c r="LC25" s="32">
        <f t="shared" si="9"/>
        <v>36.950000000000003</v>
      </c>
      <c r="LD25" s="33">
        <f t="shared" si="10"/>
        <v>21.07</v>
      </c>
      <c r="LE25" s="33">
        <f t="shared" si="11"/>
        <v>22.21</v>
      </c>
      <c r="LF25" s="296">
        <f t="shared" si="12"/>
        <v>0</v>
      </c>
      <c r="LG25" s="298">
        <f t="shared" si="13"/>
        <v>80.23</v>
      </c>
      <c r="LH25" s="32"/>
      <c r="LI25" s="33"/>
      <c r="LJ25" s="33"/>
      <c r="LK25" s="296"/>
      <c r="LL25" s="298">
        <f t="shared" si="61"/>
        <v>0</v>
      </c>
      <c r="LM25" s="32"/>
      <c r="LN25" s="33"/>
      <c r="LO25" s="33"/>
      <c r="LP25" s="296"/>
      <c r="LQ25" s="298">
        <f t="shared" si="62"/>
        <v>0</v>
      </c>
      <c r="LR25" s="32"/>
      <c r="LS25" s="33"/>
      <c r="LT25" s="33"/>
      <c r="LU25" s="296"/>
      <c r="LV25" s="298">
        <f t="shared" si="63"/>
        <v>0</v>
      </c>
      <c r="LW25" s="32"/>
      <c r="LX25" s="33"/>
      <c r="LY25" s="33"/>
      <c r="LZ25" s="296"/>
      <c r="MA25" s="298">
        <f t="shared" si="64"/>
        <v>0</v>
      </c>
      <c r="MB25" s="32"/>
      <c r="MC25" s="33"/>
      <c r="MD25" s="33"/>
      <c r="ME25" s="296"/>
      <c r="MF25" s="298">
        <f t="shared" si="65"/>
        <v>0</v>
      </c>
      <c r="MG25" s="32"/>
      <c r="MH25" s="33"/>
      <c r="MI25" s="33"/>
      <c r="MJ25" s="296"/>
      <c r="MK25" s="298">
        <f t="shared" si="66"/>
        <v>0</v>
      </c>
      <c r="ML25" s="32"/>
      <c r="MM25" s="33"/>
      <c r="MN25" s="33"/>
      <c r="MO25" s="296"/>
      <c r="MP25" s="298">
        <f t="shared" si="67"/>
        <v>0</v>
      </c>
      <c r="MQ25" s="32"/>
      <c r="MR25" s="33"/>
      <c r="MS25" s="33"/>
      <c r="MT25" s="296"/>
      <c r="MU25" s="298">
        <f t="shared" si="68"/>
        <v>0</v>
      </c>
      <c r="MV25" s="32"/>
      <c r="MW25" s="33"/>
      <c r="MX25" s="33"/>
      <c r="MY25" s="296"/>
      <c r="MZ25" s="298">
        <f t="shared" si="69"/>
        <v>0</v>
      </c>
      <c r="NA25" s="32"/>
      <c r="NB25" s="33"/>
      <c r="NC25" s="33"/>
      <c r="ND25" s="296"/>
      <c r="NE25" s="298">
        <f t="shared" si="70"/>
        <v>0</v>
      </c>
      <c r="NF25" s="32"/>
      <c r="NG25" s="33"/>
      <c r="NH25" s="33"/>
      <c r="NI25" s="296"/>
      <c r="NJ25" s="298">
        <f t="shared" si="14"/>
        <v>0</v>
      </c>
      <c r="NK25" s="455">
        <f t="shared" si="71"/>
        <v>80.23</v>
      </c>
    </row>
    <row r="26" spans="1:375" ht="15.75" x14ac:dyDescent="0.25">
      <c r="A26" s="281"/>
      <c r="B26" s="282">
        <v>17</v>
      </c>
      <c r="C26" s="283">
        <v>45.7</v>
      </c>
      <c r="D26" s="284">
        <v>34.11</v>
      </c>
      <c r="E26" s="285">
        <v>30.05</v>
      </c>
      <c r="F26" s="286"/>
      <c r="G26" s="287"/>
      <c r="H26" s="288">
        <f t="shared" si="15"/>
        <v>64.16</v>
      </c>
      <c r="I26" s="289">
        <v>73.510000000000005</v>
      </c>
      <c r="J26" s="290"/>
      <c r="K26" s="290"/>
      <c r="L26" s="291"/>
      <c r="M26" s="256">
        <f t="shared" si="16"/>
        <v>73.510000000000005</v>
      </c>
      <c r="N26" s="289">
        <v>39.54</v>
      </c>
      <c r="O26" s="290">
        <v>36.97</v>
      </c>
      <c r="P26" s="290"/>
      <c r="Q26" s="291"/>
      <c r="R26" s="256">
        <f t="shared" si="0"/>
        <v>76.509999999999991</v>
      </c>
      <c r="S26" s="289">
        <v>46.48</v>
      </c>
      <c r="T26" s="290">
        <v>8.3000000000000007</v>
      </c>
      <c r="U26" s="290">
        <v>23.39</v>
      </c>
      <c r="V26" s="291"/>
      <c r="W26" s="256">
        <f t="shared" si="1"/>
        <v>78.17</v>
      </c>
      <c r="X26" s="289">
        <v>21.41</v>
      </c>
      <c r="Y26" s="290">
        <v>20.25</v>
      </c>
      <c r="Z26" s="290">
        <v>4.78</v>
      </c>
      <c r="AA26" s="291"/>
      <c r="AB26" s="256">
        <f t="shared" si="17"/>
        <v>46.44</v>
      </c>
      <c r="AC26" s="292">
        <v>23.8</v>
      </c>
      <c r="AD26" s="293">
        <v>26.03</v>
      </c>
      <c r="AE26" s="293">
        <v>18.46</v>
      </c>
      <c r="AF26" s="294"/>
      <c r="AG26" s="260">
        <f t="shared" si="18"/>
        <v>68.289999999999992</v>
      </c>
      <c r="AH26" s="292">
        <v>19.75</v>
      </c>
      <c r="AI26" s="293">
        <v>21.8</v>
      </c>
      <c r="AJ26" s="320">
        <v>19.38</v>
      </c>
      <c r="AK26" s="294"/>
      <c r="AL26" s="295">
        <f t="shared" si="72"/>
        <v>60.929999999999993</v>
      </c>
      <c r="AM26" s="32">
        <v>27.51</v>
      </c>
      <c r="AN26" s="33">
        <v>48.33</v>
      </c>
      <c r="AO26" s="33"/>
      <c r="AP26" s="296"/>
      <c r="AQ26" s="297">
        <f t="shared" si="73"/>
        <v>75.84</v>
      </c>
      <c r="AR26" s="32">
        <v>42.55</v>
      </c>
      <c r="AS26" s="33">
        <v>56.3</v>
      </c>
      <c r="AT26" s="33"/>
      <c r="AU26" s="296"/>
      <c r="AV26" s="298">
        <f t="shared" si="74"/>
        <v>98.85</v>
      </c>
      <c r="AW26" s="32">
        <v>47.33</v>
      </c>
      <c r="AX26" s="33">
        <v>62.14</v>
      </c>
      <c r="AY26" s="33"/>
      <c r="AZ26" s="296"/>
      <c r="BA26" s="298">
        <f t="shared" si="75"/>
        <v>109.47</v>
      </c>
      <c r="BB26" s="32">
        <v>59.55</v>
      </c>
      <c r="BC26" s="33"/>
      <c r="BD26" s="33"/>
      <c r="BE26" s="296"/>
      <c r="BF26" s="298">
        <f>SUM(BB26:BE26)</f>
        <v>59.55</v>
      </c>
      <c r="BG26" s="32">
        <v>40.1</v>
      </c>
      <c r="BH26" s="33">
        <v>29.91</v>
      </c>
      <c r="BI26" s="33"/>
      <c r="BJ26" s="299"/>
      <c r="BK26" s="298">
        <f t="shared" si="76"/>
        <v>70.010000000000005</v>
      </c>
      <c r="BL26" s="32">
        <v>34.9</v>
      </c>
      <c r="BM26" s="33">
        <v>24.02</v>
      </c>
      <c r="BN26" s="33"/>
      <c r="BO26" s="299"/>
      <c r="BP26" s="297">
        <f t="shared" si="77"/>
        <v>58.92</v>
      </c>
      <c r="BQ26" s="455">
        <f t="shared" si="2"/>
        <v>876.4899999999999</v>
      </c>
      <c r="BR26" s="32">
        <v>21.33</v>
      </c>
      <c r="BS26" s="43">
        <v>15.22</v>
      </c>
      <c r="BT26" s="43"/>
      <c r="BU26" s="781"/>
      <c r="BV26" s="782">
        <f t="shared" si="19"/>
        <v>36.549999999999997</v>
      </c>
      <c r="BW26" s="783">
        <v>12.84</v>
      </c>
      <c r="BX26" s="43">
        <v>18.02</v>
      </c>
      <c r="BY26" s="43">
        <v>13.3</v>
      </c>
      <c r="BZ26" s="781"/>
      <c r="CA26" s="784">
        <f t="shared" si="20"/>
        <v>44.16</v>
      </c>
      <c r="CB26" s="789">
        <v>20</v>
      </c>
      <c r="CC26" s="786">
        <v>20.82</v>
      </c>
      <c r="CD26" s="786"/>
      <c r="CE26" s="787"/>
      <c r="CF26" s="788">
        <f t="shared" si="78"/>
        <v>40.82</v>
      </c>
      <c r="CG26" s="789">
        <v>27.26</v>
      </c>
      <c r="CH26" s="786">
        <v>24.28</v>
      </c>
      <c r="CI26" s="786"/>
      <c r="CJ26" s="787"/>
      <c r="CK26" s="788">
        <f t="shared" si="79"/>
        <v>51.540000000000006</v>
      </c>
      <c r="CL26" s="789">
        <v>30.72</v>
      </c>
      <c r="CM26" s="786">
        <v>35.159999999999997</v>
      </c>
      <c r="CN26" s="786">
        <v>8.57</v>
      </c>
      <c r="CO26" s="787"/>
      <c r="CP26" s="788">
        <f t="shared" si="80"/>
        <v>74.449999999999989</v>
      </c>
      <c r="CQ26" s="789">
        <v>21.85</v>
      </c>
      <c r="CR26" s="367">
        <v>29.43</v>
      </c>
      <c r="CS26" s="367">
        <v>50.87</v>
      </c>
      <c r="CT26" s="790"/>
      <c r="CU26" s="791">
        <v>102.15</v>
      </c>
      <c r="CV26" s="789">
        <v>44.79</v>
      </c>
      <c r="CW26" s="367">
        <v>34.85</v>
      </c>
      <c r="CX26" s="367"/>
      <c r="CY26" s="790"/>
      <c r="CZ26" s="791">
        <f t="shared" si="3"/>
        <v>79.64</v>
      </c>
      <c r="DA26" s="789">
        <v>49.65</v>
      </c>
      <c r="DB26" s="367">
        <v>45.26</v>
      </c>
      <c r="DC26" s="367">
        <v>36.020000000000003</v>
      </c>
      <c r="DD26" s="790"/>
      <c r="DE26" s="791">
        <f t="shared" si="4"/>
        <v>130.93</v>
      </c>
      <c r="DF26" s="789">
        <v>31.99</v>
      </c>
      <c r="DG26" s="367">
        <v>46.14</v>
      </c>
      <c r="DH26" s="367"/>
      <c r="DI26" s="790"/>
      <c r="DJ26" s="791">
        <f t="shared" si="5"/>
        <v>78.13</v>
      </c>
      <c r="DK26" s="789">
        <v>52.06</v>
      </c>
      <c r="DL26" s="367">
        <v>37.090000000000003</v>
      </c>
      <c r="DM26" s="367"/>
      <c r="DN26" s="790"/>
      <c r="DO26" s="791">
        <f t="shared" si="21"/>
        <v>89.15</v>
      </c>
      <c r="DP26" s="789">
        <v>36.229999999999997</v>
      </c>
      <c r="DQ26" s="367">
        <v>23.94</v>
      </c>
      <c r="DR26" s="367"/>
      <c r="DS26" s="790"/>
      <c r="DT26" s="791">
        <f t="shared" si="22"/>
        <v>60.17</v>
      </c>
      <c r="DU26" s="789">
        <v>52.15</v>
      </c>
      <c r="DV26" s="367">
        <v>31.2</v>
      </c>
      <c r="DW26" s="367"/>
      <c r="DX26" s="790"/>
      <c r="DY26" s="791">
        <f t="shared" si="23"/>
        <v>83.35</v>
      </c>
      <c r="DZ26" s="455">
        <f t="shared" si="6"/>
        <v>871.04</v>
      </c>
      <c r="EA26" s="789">
        <v>28.3</v>
      </c>
      <c r="EB26" s="367">
        <v>20.07</v>
      </c>
      <c r="EC26" s="367"/>
      <c r="ED26" s="790"/>
      <c r="EE26" s="791">
        <f t="shared" si="24"/>
        <v>48.370000000000005</v>
      </c>
      <c r="EF26" s="789">
        <v>32.46</v>
      </c>
      <c r="EG26" s="367"/>
      <c r="EH26" s="367"/>
      <c r="EI26" s="790"/>
      <c r="EJ26" s="791">
        <f t="shared" si="25"/>
        <v>32.46</v>
      </c>
      <c r="EK26" s="789">
        <v>21.83</v>
      </c>
      <c r="EL26" s="367">
        <v>34.68</v>
      </c>
      <c r="EM26" s="367"/>
      <c r="EN26" s="790"/>
      <c r="EO26" s="791">
        <f t="shared" si="26"/>
        <v>56.51</v>
      </c>
      <c r="EP26" s="789">
        <v>20.18</v>
      </c>
      <c r="EQ26" s="367">
        <v>26.37</v>
      </c>
      <c r="ER26" s="367"/>
      <c r="ES26" s="790"/>
      <c r="ET26" s="791">
        <f t="shared" si="27"/>
        <v>46.55</v>
      </c>
      <c r="EU26" s="789">
        <v>32.07</v>
      </c>
      <c r="EV26" s="367">
        <v>31.66</v>
      </c>
      <c r="EW26" s="367"/>
      <c r="EX26" s="790"/>
      <c r="EY26" s="791">
        <f t="shared" si="28"/>
        <v>63.730000000000004</v>
      </c>
      <c r="EZ26" s="789">
        <v>27.05</v>
      </c>
      <c r="FA26" s="367">
        <v>36.35</v>
      </c>
      <c r="FB26" s="367"/>
      <c r="FC26" s="790"/>
      <c r="FD26" s="791">
        <f t="shared" si="29"/>
        <v>63.400000000000006</v>
      </c>
      <c r="FE26" s="789">
        <v>30.12</v>
      </c>
      <c r="FF26" s="367">
        <v>36.28</v>
      </c>
      <c r="FG26" s="367"/>
      <c r="FH26" s="790"/>
      <c r="FI26" s="791">
        <f t="shared" si="30"/>
        <v>66.400000000000006</v>
      </c>
      <c r="FJ26" s="789">
        <v>38.65</v>
      </c>
      <c r="FK26" s="367">
        <v>41.43</v>
      </c>
      <c r="FL26" s="367"/>
      <c r="FM26" s="790"/>
      <c r="FN26" s="791">
        <f t="shared" si="31"/>
        <v>80.08</v>
      </c>
      <c r="FO26" s="789">
        <v>40.409999999999997</v>
      </c>
      <c r="FP26" s="367">
        <v>39.549999999999997</v>
      </c>
      <c r="FQ26" s="367"/>
      <c r="FR26" s="790"/>
      <c r="FS26" s="791">
        <f t="shared" si="32"/>
        <v>79.959999999999994</v>
      </c>
      <c r="FT26" s="789">
        <v>38.57</v>
      </c>
      <c r="FU26" s="367">
        <v>39.17</v>
      </c>
      <c r="FV26" s="367"/>
      <c r="FW26" s="790"/>
      <c r="FX26" s="791">
        <f t="shared" si="33"/>
        <v>77.740000000000009</v>
      </c>
      <c r="FY26" s="789">
        <v>37.03</v>
      </c>
      <c r="FZ26" s="367">
        <v>32.01</v>
      </c>
      <c r="GA26" s="367"/>
      <c r="GB26" s="790"/>
      <c r="GC26" s="791">
        <f t="shared" si="34"/>
        <v>69.039999999999992</v>
      </c>
      <c r="GD26" s="789">
        <v>27.48</v>
      </c>
      <c r="GE26" s="367">
        <v>24.71</v>
      </c>
      <c r="GF26" s="367"/>
      <c r="GG26" s="790"/>
      <c r="GH26" s="791">
        <f t="shared" si="35"/>
        <v>52.19</v>
      </c>
      <c r="GI26" s="455">
        <f t="shared" si="7"/>
        <v>736.42999999999984</v>
      </c>
      <c r="GJ26" s="302">
        <v>25.52</v>
      </c>
      <c r="GK26" s="303">
        <v>20.25</v>
      </c>
      <c r="GL26" s="303"/>
      <c r="GM26" s="304"/>
      <c r="GN26" s="305">
        <f t="shared" si="36"/>
        <v>45.769999999999996</v>
      </c>
      <c r="GO26" s="302">
        <v>16</v>
      </c>
      <c r="GP26" s="303">
        <v>10.55</v>
      </c>
      <c r="GQ26" s="303"/>
      <c r="GR26" s="304"/>
      <c r="GS26" s="305">
        <f t="shared" si="37"/>
        <v>26.55</v>
      </c>
      <c r="GT26" s="302">
        <v>13.09</v>
      </c>
      <c r="GU26" s="303">
        <v>8.3699999999999992</v>
      </c>
      <c r="GV26" s="303"/>
      <c r="GW26" s="304"/>
      <c r="GX26" s="305">
        <f t="shared" si="38"/>
        <v>21.46</v>
      </c>
      <c r="GY26" s="302">
        <v>22.98</v>
      </c>
      <c r="GZ26" s="303">
        <v>34.08</v>
      </c>
      <c r="HA26" s="303"/>
      <c r="HB26" s="304"/>
      <c r="HC26" s="305">
        <f t="shared" si="39"/>
        <v>57.06</v>
      </c>
      <c r="HD26" s="302">
        <v>29.02</v>
      </c>
      <c r="HE26" s="303">
        <v>28</v>
      </c>
      <c r="HF26" s="303"/>
      <c r="HG26" s="304"/>
      <c r="HH26" s="305">
        <f t="shared" si="40"/>
        <v>57.019999999999996</v>
      </c>
      <c r="HI26" s="302">
        <v>27.28</v>
      </c>
      <c r="HJ26" s="303">
        <v>32.26</v>
      </c>
      <c r="HK26" s="303"/>
      <c r="HL26" s="304"/>
      <c r="HM26" s="305">
        <f t="shared" si="41"/>
        <v>59.54</v>
      </c>
      <c r="HN26" s="302">
        <v>33.229999999999997</v>
      </c>
      <c r="HO26" s="303">
        <v>29.44</v>
      </c>
      <c r="HP26" s="303"/>
      <c r="HQ26" s="304"/>
      <c r="HR26" s="305">
        <f t="shared" si="42"/>
        <v>62.67</v>
      </c>
      <c r="HS26" s="302">
        <v>40.450000000000003</v>
      </c>
      <c r="HT26" s="303">
        <v>73.62</v>
      </c>
      <c r="HU26" s="303"/>
      <c r="HV26" s="304"/>
      <c r="HW26" s="305">
        <f t="shared" si="43"/>
        <v>114.07000000000001</v>
      </c>
      <c r="HX26" s="302">
        <v>78.14</v>
      </c>
      <c r="HY26" s="308"/>
      <c r="HZ26" s="303"/>
      <c r="IA26" s="304"/>
      <c r="IB26" s="305">
        <f t="shared" si="44"/>
        <v>78.14</v>
      </c>
      <c r="IC26" s="302">
        <v>74.97</v>
      </c>
      <c r="ID26" s="303">
        <v>45.7</v>
      </c>
      <c r="IE26" s="303"/>
      <c r="IF26" s="304"/>
      <c r="IG26" s="305">
        <f t="shared" si="45"/>
        <v>120.67</v>
      </c>
      <c r="IH26" s="61">
        <v>44.69</v>
      </c>
      <c r="II26" s="62">
        <v>30.02</v>
      </c>
      <c r="IJ26" s="62"/>
      <c r="IK26" s="301"/>
      <c r="IL26" s="300">
        <f t="shared" si="46"/>
        <v>74.709999999999994</v>
      </c>
      <c r="IM26" s="61">
        <v>28.85</v>
      </c>
      <c r="IN26" s="62">
        <v>35.46</v>
      </c>
      <c r="IO26" s="301">
        <v>32.58</v>
      </c>
      <c r="IP26" s="296"/>
      <c r="IQ26" s="442">
        <f t="shared" si="47"/>
        <v>96.89</v>
      </c>
      <c r="IR26" s="442"/>
      <c r="IS26" s="455">
        <f t="shared" si="48"/>
        <v>814.55000000000007</v>
      </c>
      <c r="IT26" s="449">
        <v>35.18</v>
      </c>
      <c r="IU26" s="309"/>
      <c r="IV26" s="33"/>
      <c r="IW26" s="296"/>
      <c r="IX26" s="298">
        <f t="shared" si="49"/>
        <v>35.18</v>
      </c>
      <c r="IY26" s="32">
        <v>44.62</v>
      </c>
      <c r="IZ26" s="33">
        <v>34.03</v>
      </c>
      <c r="JA26" s="33"/>
      <c r="JB26" s="296"/>
      <c r="JC26" s="298">
        <f t="shared" si="50"/>
        <v>78.650000000000006</v>
      </c>
      <c r="JD26" s="32">
        <v>27.41</v>
      </c>
      <c r="JE26" s="33">
        <v>28.79</v>
      </c>
      <c r="JF26" s="33"/>
      <c r="JG26" s="296"/>
      <c r="JH26" s="298">
        <f t="shared" si="51"/>
        <v>56.2</v>
      </c>
      <c r="JI26" s="32">
        <v>48.38</v>
      </c>
      <c r="JJ26" s="309"/>
      <c r="JK26" s="33"/>
      <c r="JL26" s="296"/>
      <c r="JM26" s="298">
        <f t="shared" si="52"/>
        <v>48.38</v>
      </c>
      <c r="JN26" s="32">
        <v>22.92</v>
      </c>
      <c r="JO26" s="33">
        <v>16.239999999999998</v>
      </c>
      <c r="JP26" s="33">
        <v>23.17</v>
      </c>
      <c r="JQ26" s="296"/>
      <c r="JR26" s="298">
        <f t="shared" si="53"/>
        <v>62.33</v>
      </c>
      <c r="JS26" s="32">
        <v>26.71</v>
      </c>
      <c r="JT26" s="33">
        <v>25.56</v>
      </c>
      <c r="JU26" s="33">
        <v>19.57</v>
      </c>
      <c r="JV26" s="296"/>
      <c r="JW26" s="298">
        <f t="shared" si="54"/>
        <v>71.84</v>
      </c>
      <c r="JX26" s="32">
        <v>46.18</v>
      </c>
      <c r="JY26" s="33">
        <v>29.4</v>
      </c>
      <c r="JZ26" s="33"/>
      <c r="KA26" s="296"/>
      <c r="KB26" s="298">
        <f t="shared" si="55"/>
        <v>75.58</v>
      </c>
      <c r="KC26" s="32">
        <v>33.549999999999997</v>
      </c>
      <c r="KD26" s="33">
        <v>34.33</v>
      </c>
      <c r="KE26" s="33"/>
      <c r="KF26" s="296"/>
      <c r="KG26" s="298">
        <f t="shared" si="56"/>
        <v>67.88</v>
      </c>
      <c r="KH26" s="32">
        <v>29.86</v>
      </c>
      <c r="KI26" s="33">
        <v>34.950000000000003</v>
      </c>
      <c r="KJ26" s="33">
        <v>0</v>
      </c>
      <c r="KK26" s="296">
        <v>0</v>
      </c>
      <c r="KL26" s="298">
        <f t="shared" si="57"/>
        <v>64.81</v>
      </c>
      <c r="KM26" s="32">
        <v>41.78</v>
      </c>
      <c r="KN26" s="33">
        <v>48.11</v>
      </c>
      <c r="KO26" s="33">
        <v>0</v>
      </c>
      <c r="KP26" s="296">
        <v>0</v>
      </c>
      <c r="KQ26" s="298">
        <f t="shared" si="58"/>
        <v>89.89</v>
      </c>
      <c r="KR26" s="32">
        <v>48.36</v>
      </c>
      <c r="KS26" s="33">
        <v>54.98</v>
      </c>
      <c r="KT26" s="33">
        <v>0</v>
      </c>
      <c r="KU26" s="296">
        <v>0</v>
      </c>
      <c r="KV26" s="298">
        <f t="shared" si="59"/>
        <v>103.34</v>
      </c>
      <c r="KW26" s="32">
        <v>43.17</v>
      </c>
      <c r="KX26" s="33">
        <v>0</v>
      </c>
      <c r="KY26" s="33">
        <v>0</v>
      </c>
      <c r="KZ26" s="296">
        <v>0</v>
      </c>
      <c r="LA26" s="298">
        <f t="shared" si="8"/>
        <v>43.17</v>
      </c>
      <c r="LB26" s="455">
        <f t="shared" si="60"/>
        <v>797.25</v>
      </c>
      <c r="LC26" s="32">
        <f t="shared" si="9"/>
        <v>25.86</v>
      </c>
      <c r="LD26" s="33">
        <f t="shared" si="10"/>
        <v>13.43</v>
      </c>
      <c r="LE26" s="33">
        <f t="shared" si="11"/>
        <v>18.86</v>
      </c>
      <c r="LF26" s="296">
        <f t="shared" si="12"/>
        <v>0</v>
      </c>
      <c r="LG26" s="298">
        <f t="shared" si="13"/>
        <v>58.15</v>
      </c>
      <c r="LH26" s="32"/>
      <c r="LI26" s="33"/>
      <c r="LJ26" s="33"/>
      <c r="LK26" s="296"/>
      <c r="LL26" s="298">
        <f t="shared" si="61"/>
        <v>0</v>
      </c>
      <c r="LM26" s="32"/>
      <c r="LN26" s="33"/>
      <c r="LO26" s="33"/>
      <c r="LP26" s="296"/>
      <c r="LQ26" s="298">
        <f t="shared" si="62"/>
        <v>0</v>
      </c>
      <c r="LR26" s="32"/>
      <c r="LS26" s="33"/>
      <c r="LT26" s="33"/>
      <c r="LU26" s="296"/>
      <c r="LV26" s="298">
        <f t="shared" si="63"/>
        <v>0</v>
      </c>
      <c r="LW26" s="32"/>
      <c r="LX26" s="33"/>
      <c r="LY26" s="33"/>
      <c r="LZ26" s="296"/>
      <c r="MA26" s="298">
        <f t="shared" si="64"/>
        <v>0</v>
      </c>
      <c r="MB26" s="32"/>
      <c r="MC26" s="33"/>
      <c r="MD26" s="33"/>
      <c r="ME26" s="296"/>
      <c r="MF26" s="298">
        <f t="shared" si="65"/>
        <v>0</v>
      </c>
      <c r="MG26" s="32"/>
      <c r="MH26" s="33"/>
      <c r="MI26" s="33"/>
      <c r="MJ26" s="296"/>
      <c r="MK26" s="298">
        <f t="shared" si="66"/>
        <v>0</v>
      </c>
      <c r="ML26" s="32"/>
      <c r="MM26" s="33"/>
      <c r="MN26" s="33"/>
      <c r="MO26" s="296"/>
      <c r="MP26" s="298">
        <f t="shared" si="67"/>
        <v>0</v>
      </c>
      <c r="MQ26" s="32"/>
      <c r="MR26" s="33"/>
      <c r="MS26" s="33"/>
      <c r="MT26" s="296"/>
      <c r="MU26" s="298">
        <f t="shared" si="68"/>
        <v>0</v>
      </c>
      <c r="MV26" s="32"/>
      <c r="MW26" s="33"/>
      <c r="MX26" s="33"/>
      <c r="MY26" s="296"/>
      <c r="MZ26" s="298">
        <f t="shared" si="69"/>
        <v>0</v>
      </c>
      <c r="NA26" s="32"/>
      <c r="NB26" s="33"/>
      <c r="NC26" s="33"/>
      <c r="ND26" s="296"/>
      <c r="NE26" s="298">
        <f t="shared" si="70"/>
        <v>0</v>
      </c>
      <c r="NF26" s="32"/>
      <c r="NG26" s="33"/>
      <c r="NH26" s="33"/>
      <c r="NI26" s="296"/>
      <c r="NJ26" s="298">
        <f t="shared" si="14"/>
        <v>0</v>
      </c>
      <c r="NK26" s="455">
        <f t="shared" si="71"/>
        <v>58.15</v>
      </c>
    </row>
    <row r="27" spans="1:375" ht="16.5" thickBot="1" x14ac:dyDescent="0.3">
      <c r="A27" s="315"/>
      <c r="B27" s="321">
        <v>18</v>
      </c>
      <c r="C27" s="317">
        <v>40.799999999999997</v>
      </c>
      <c r="D27" s="284">
        <v>40.49</v>
      </c>
      <c r="E27" s="285">
        <v>36.4</v>
      </c>
      <c r="F27" s="286"/>
      <c r="G27" s="287"/>
      <c r="H27" s="288">
        <f t="shared" si="15"/>
        <v>76.89</v>
      </c>
      <c r="I27" s="289"/>
      <c r="J27" s="290"/>
      <c r="K27" s="290"/>
      <c r="L27" s="291"/>
      <c r="M27" s="256">
        <f t="shared" si="16"/>
        <v>0</v>
      </c>
      <c r="N27" s="289">
        <v>64.66</v>
      </c>
      <c r="O27" s="290"/>
      <c r="P27" s="290"/>
      <c r="Q27" s="291"/>
      <c r="R27" s="256">
        <f t="shared" si="0"/>
        <v>64.66</v>
      </c>
      <c r="S27" s="289">
        <v>33.83</v>
      </c>
      <c r="T27" s="290">
        <v>30.13</v>
      </c>
      <c r="U27" s="290"/>
      <c r="V27" s="291"/>
      <c r="W27" s="256">
        <f t="shared" si="1"/>
        <v>63.959999999999994</v>
      </c>
      <c r="X27" s="289">
        <v>38.04</v>
      </c>
      <c r="Y27" s="290"/>
      <c r="Z27" s="290"/>
      <c r="AA27" s="291"/>
      <c r="AB27" s="256">
        <f t="shared" si="17"/>
        <v>38.04</v>
      </c>
      <c r="AC27" s="292">
        <v>37.71</v>
      </c>
      <c r="AD27" s="293">
        <v>29.85</v>
      </c>
      <c r="AE27" s="293"/>
      <c r="AF27" s="294"/>
      <c r="AG27" s="260">
        <f t="shared" si="18"/>
        <v>67.56</v>
      </c>
      <c r="AH27" s="292">
        <f>38.93+3.05</f>
        <v>41.98</v>
      </c>
      <c r="AI27" s="293"/>
      <c r="AJ27" s="320"/>
      <c r="AK27" s="294"/>
      <c r="AL27" s="295">
        <f t="shared" si="72"/>
        <v>41.98</v>
      </c>
      <c r="AM27" s="32">
        <v>49.07</v>
      </c>
      <c r="AN27" s="33">
        <v>46.384999999999998</v>
      </c>
      <c r="AO27" s="33"/>
      <c r="AP27" s="296"/>
      <c r="AQ27" s="297">
        <f t="shared" si="73"/>
        <v>95.454999999999998</v>
      </c>
      <c r="AR27" s="32">
        <v>51.22</v>
      </c>
      <c r="AS27" s="33">
        <v>15.25</v>
      </c>
      <c r="AT27" s="33">
        <v>19.22</v>
      </c>
      <c r="AU27" s="296"/>
      <c r="AV27" s="298">
        <f t="shared" si="74"/>
        <v>85.69</v>
      </c>
      <c r="AW27" s="32">
        <v>37.96</v>
      </c>
      <c r="AX27" s="33">
        <v>50.97</v>
      </c>
      <c r="AY27" s="33"/>
      <c r="AZ27" s="296"/>
      <c r="BA27" s="298">
        <f t="shared" ref="BA27:BA32" si="82">SUM(AW27:AZ27)</f>
        <v>88.93</v>
      </c>
      <c r="BB27" s="32">
        <f>42.65+4.2</f>
        <v>46.85</v>
      </c>
      <c r="BC27" s="33">
        <v>12.32</v>
      </c>
      <c r="BD27" s="33"/>
      <c r="BE27" s="296"/>
      <c r="BF27" s="298">
        <f t="shared" ref="BF27:BF32" si="83">SUM(BB27:BE27)</f>
        <v>59.17</v>
      </c>
      <c r="BG27" s="32">
        <f>29.52+2.19</f>
        <v>31.71</v>
      </c>
      <c r="BH27" s="33">
        <v>48.47</v>
      </c>
      <c r="BI27" s="33"/>
      <c r="BJ27" s="299"/>
      <c r="BK27" s="298">
        <f t="shared" si="76"/>
        <v>80.180000000000007</v>
      </c>
      <c r="BL27" s="32">
        <f>44.7+3.43</f>
        <v>48.13</v>
      </c>
      <c r="BM27" s="33">
        <v>31.03</v>
      </c>
      <c r="BN27" s="33"/>
      <c r="BO27" s="299"/>
      <c r="BP27" s="297">
        <f t="shared" si="77"/>
        <v>79.16</v>
      </c>
      <c r="BQ27" s="455">
        <f t="shared" si="2"/>
        <v>764.78499999999997</v>
      </c>
      <c r="BR27" s="32">
        <f>21.27+1.56</f>
        <v>22.83</v>
      </c>
      <c r="BS27" s="43">
        <v>19.899999999999999</v>
      </c>
      <c r="BT27" s="43">
        <v>6.76</v>
      </c>
      <c r="BU27" s="781"/>
      <c r="BV27" s="782">
        <f t="shared" si="19"/>
        <v>49.489999999999995</v>
      </c>
      <c r="BW27" s="783">
        <v>3.46</v>
      </c>
      <c r="BX27" s="43">
        <v>12.25</v>
      </c>
      <c r="BY27" s="43">
        <v>15.06</v>
      </c>
      <c r="BZ27" s="781"/>
      <c r="CA27" s="784">
        <f t="shared" si="20"/>
        <v>30.770000000000003</v>
      </c>
      <c r="CB27" s="785">
        <v>14.89</v>
      </c>
      <c r="CC27" s="786">
        <v>15.63</v>
      </c>
      <c r="CD27" s="786">
        <v>10.63</v>
      </c>
      <c r="CE27" s="787"/>
      <c r="CF27" s="788">
        <f t="shared" si="78"/>
        <v>41.150000000000006</v>
      </c>
      <c r="CG27" s="785">
        <v>17.2</v>
      </c>
      <c r="CH27" s="786">
        <v>20.69</v>
      </c>
      <c r="CI27" s="786"/>
      <c r="CJ27" s="787"/>
      <c r="CK27" s="788">
        <f t="shared" si="79"/>
        <v>37.89</v>
      </c>
      <c r="CL27" s="785">
        <v>29.61</v>
      </c>
      <c r="CM27" s="786">
        <v>31.08</v>
      </c>
      <c r="CN27" s="786"/>
      <c r="CO27" s="787"/>
      <c r="CP27" s="788">
        <f t="shared" si="80"/>
        <v>60.69</v>
      </c>
      <c r="CQ27" s="789">
        <v>26</v>
      </c>
      <c r="CR27" s="367">
        <v>26.84</v>
      </c>
      <c r="CS27" s="367">
        <v>29.12</v>
      </c>
      <c r="CT27" s="790"/>
      <c r="CU27" s="791">
        <v>81.960000000000008</v>
      </c>
      <c r="CV27" s="789">
        <v>47.95</v>
      </c>
      <c r="CW27" s="367"/>
      <c r="CX27" s="367"/>
      <c r="CY27" s="790"/>
      <c r="CZ27" s="791">
        <f t="shared" si="3"/>
        <v>47.95</v>
      </c>
      <c r="DA27" s="789">
        <v>65.5</v>
      </c>
      <c r="DB27" s="367"/>
      <c r="DC27" s="367"/>
      <c r="DD27" s="790"/>
      <c r="DE27" s="791">
        <f t="shared" si="4"/>
        <v>65.5</v>
      </c>
      <c r="DF27" s="789">
        <v>71.73</v>
      </c>
      <c r="DG27" s="367"/>
      <c r="DH27" s="367"/>
      <c r="DI27" s="790"/>
      <c r="DJ27" s="791">
        <f t="shared" si="5"/>
        <v>71.73</v>
      </c>
      <c r="DK27" s="789">
        <v>66.47</v>
      </c>
      <c r="DL27" s="367"/>
      <c r="DM27" s="367"/>
      <c r="DN27" s="790"/>
      <c r="DO27" s="791">
        <f t="shared" si="21"/>
        <v>66.47</v>
      </c>
      <c r="DP27" s="789">
        <v>87.02</v>
      </c>
      <c r="DQ27" s="367"/>
      <c r="DR27" s="367"/>
      <c r="DS27" s="790"/>
      <c r="DT27" s="791">
        <f t="shared" si="22"/>
        <v>87.02</v>
      </c>
      <c r="DU27" s="789">
        <v>67.2</v>
      </c>
      <c r="DV27" s="367"/>
      <c r="DW27" s="367"/>
      <c r="DX27" s="790"/>
      <c r="DY27" s="791">
        <f t="shared" si="23"/>
        <v>67.2</v>
      </c>
      <c r="DZ27" s="455">
        <f t="shared" si="6"/>
        <v>707.82</v>
      </c>
      <c r="EA27" s="789">
        <v>48.68</v>
      </c>
      <c r="EB27" s="367">
        <v>33.08</v>
      </c>
      <c r="EC27" s="367"/>
      <c r="ED27" s="790"/>
      <c r="EE27" s="791">
        <f t="shared" si="24"/>
        <v>81.759999999999991</v>
      </c>
      <c r="EF27" s="789">
        <v>25.67</v>
      </c>
      <c r="EG27" s="367">
        <v>23.64</v>
      </c>
      <c r="EH27" s="367"/>
      <c r="EI27" s="790"/>
      <c r="EJ27" s="791">
        <f t="shared" si="25"/>
        <v>49.31</v>
      </c>
      <c r="EK27" s="789">
        <v>30.29</v>
      </c>
      <c r="EL27" s="367"/>
      <c r="EM27" s="367"/>
      <c r="EN27" s="790"/>
      <c r="EO27" s="791">
        <f t="shared" si="26"/>
        <v>30.29</v>
      </c>
      <c r="EP27" s="789">
        <v>30.95</v>
      </c>
      <c r="EQ27" s="367">
        <v>33.42</v>
      </c>
      <c r="ER27" s="367"/>
      <c r="ES27" s="790"/>
      <c r="ET27" s="791">
        <f t="shared" si="27"/>
        <v>64.37</v>
      </c>
      <c r="EU27" s="789">
        <v>23.68</v>
      </c>
      <c r="EV27" s="367">
        <v>19.48</v>
      </c>
      <c r="EW27" s="367"/>
      <c r="EX27" s="790"/>
      <c r="EY27" s="791">
        <f t="shared" si="28"/>
        <v>43.16</v>
      </c>
      <c r="EZ27" s="789">
        <v>32.229999999999997</v>
      </c>
      <c r="FA27" s="367">
        <v>26.55</v>
      </c>
      <c r="FB27" s="367"/>
      <c r="FC27" s="790"/>
      <c r="FD27" s="791">
        <f t="shared" si="29"/>
        <v>58.78</v>
      </c>
      <c r="FE27" s="789">
        <v>31.28</v>
      </c>
      <c r="FF27" s="367">
        <v>31.13</v>
      </c>
      <c r="FG27" s="367"/>
      <c r="FH27" s="790"/>
      <c r="FI27" s="791">
        <f t="shared" si="30"/>
        <v>62.41</v>
      </c>
      <c r="FJ27" s="789">
        <v>28.93</v>
      </c>
      <c r="FK27" s="367">
        <v>26.18</v>
      </c>
      <c r="FL27" s="367"/>
      <c r="FM27" s="790"/>
      <c r="FN27" s="791">
        <f t="shared" si="31"/>
        <v>55.11</v>
      </c>
      <c r="FO27" s="789">
        <v>31.79</v>
      </c>
      <c r="FP27" s="367">
        <v>37.08</v>
      </c>
      <c r="FQ27" s="367"/>
      <c r="FR27" s="790"/>
      <c r="FS27" s="791">
        <f t="shared" si="32"/>
        <v>68.87</v>
      </c>
      <c r="FT27" s="789">
        <v>45.43</v>
      </c>
      <c r="FU27" s="367">
        <v>36.36</v>
      </c>
      <c r="FV27" s="367"/>
      <c r="FW27" s="790"/>
      <c r="FX27" s="791">
        <f t="shared" si="33"/>
        <v>81.789999999999992</v>
      </c>
      <c r="FY27" s="789">
        <v>47.18</v>
      </c>
      <c r="FZ27" s="367">
        <v>10.97</v>
      </c>
      <c r="GA27" s="367"/>
      <c r="GB27" s="790"/>
      <c r="GC27" s="791">
        <f t="shared" si="34"/>
        <v>58.15</v>
      </c>
      <c r="GD27" s="789">
        <v>22.99</v>
      </c>
      <c r="GE27" s="367">
        <v>37.25</v>
      </c>
      <c r="GF27" s="367"/>
      <c r="GG27" s="790"/>
      <c r="GH27" s="791">
        <f t="shared" si="35"/>
        <v>60.239999999999995</v>
      </c>
      <c r="GI27" s="455">
        <f t="shared" si="7"/>
        <v>714.2399999999999</v>
      </c>
      <c r="GJ27" s="302">
        <v>35.35</v>
      </c>
      <c r="GK27" s="303">
        <v>22.66</v>
      </c>
      <c r="GL27" s="303"/>
      <c r="GM27" s="304"/>
      <c r="GN27" s="305">
        <f t="shared" si="36"/>
        <v>58.010000000000005</v>
      </c>
      <c r="GO27" s="302">
        <v>19.2</v>
      </c>
      <c r="GP27" s="303">
        <v>19.02</v>
      </c>
      <c r="GQ27" s="303"/>
      <c r="GR27" s="304"/>
      <c r="GS27" s="305">
        <f t="shared" si="37"/>
        <v>38.22</v>
      </c>
      <c r="GT27" s="302">
        <v>14.81</v>
      </c>
      <c r="GU27" s="303">
        <v>15.68</v>
      </c>
      <c r="GV27" s="303"/>
      <c r="GW27" s="304"/>
      <c r="GX27" s="305">
        <f t="shared" si="38"/>
        <v>30.490000000000002</v>
      </c>
      <c r="GY27" s="302">
        <v>28.36</v>
      </c>
      <c r="GZ27" s="303">
        <v>26.78</v>
      </c>
      <c r="HA27" s="303"/>
      <c r="HB27" s="304"/>
      <c r="HC27" s="305">
        <f t="shared" si="39"/>
        <v>55.14</v>
      </c>
      <c r="HD27" s="302">
        <v>23.51</v>
      </c>
      <c r="HE27" s="303">
        <v>22.56</v>
      </c>
      <c r="HF27" s="303"/>
      <c r="HG27" s="304"/>
      <c r="HH27" s="305">
        <f t="shared" si="40"/>
        <v>46.07</v>
      </c>
      <c r="HI27" s="302">
        <v>21.31</v>
      </c>
      <c r="HJ27" s="303">
        <v>19.22</v>
      </c>
      <c r="HK27" s="303"/>
      <c r="HL27" s="304"/>
      <c r="HM27" s="305">
        <f t="shared" si="41"/>
        <v>40.53</v>
      </c>
      <c r="HN27" s="302">
        <v>23.65</v>
      </c>
      <c r="HO27" s="303">
        <v>19.25</v>
      </c>
      <c r="HP27" s="303">
        <v>16.86</v>
      </c>
      <c r="HQ27" s="304"/>
      <c r="HR27" s="305">
        <f t="shared" si="42"/>
        <v>59.76</v>
      </c>
      <c r="HS27" s="302">
        <v>27.26</v>
      </c>
      <c r="HT27" s="303">
        <v>36.840000000000003</v>
      </c>
      <c r="HU27" s="303"/>
      <c r="HV27" s="304"/>
      <c r="HW27" s="305">
        <f t="shared" si="43"/>
        <v>64.100000000000009</v>
      </c>
      <c r="HX27" s="302">
        <v>50.79</v>
      </c>
      <c r="HY27" s="303">
        <v>28.25</v>
      </c>
      <c r="HZ27" s="303"/>
      <c r="IA27" s="304"/>
      <c r="IB27" s="305">
        <f t="shared" si="44"/>
        <v>79.039999999999992</v>
      </c>
      <c r="IC27" s="302">
        <v>38.35</v>
      </c>
      <c r="ID27" s="303">
        <v>70.31</v>
      </c>
      <c r="IE27" s="303"/>
      <c r="IF27" s="304"/>
      <c r="IG27" s="305">
        <f t="shared" si="45"/>
        <v>108.66</v>
      </c>
      <c r="IH27" s="61">
        <f>43.51+4.14</f>
        <v>47.65</v>
      </c>
      <c r="II27" s="62">
        <v>7.08</v>
      </c>
      <c r="IJ27" s="62"/>
      <c r="IK27" s="301"/>
      <c r="IL27" s="300">
        <f t="shared" si="46"/>
        <v>54.73</v>
      </c>
      <c r="IM27" s="61">
        <v>45.2</v>
      </c>
      <c r="IN27" s="62">
        <v>32.75</v>
      </c>
      <c r="IO27" s="301">
        <v>24.38</v>
      </c>
      <c r="IP27" s="296"/>
      <c r="IQ27" s="442">
        <f t="shared" si="47"/>
        <v>102.33</v>
      </c>
      <c r="IR27" s="442"/>
      <c r="IS27" s="455">
        <f t="shared" si="48"/>
        <v>737.08</v>
      </c>
      <c r="IT27" s="449">
        <v>54.83</v>
      </c>
      <c r="IU27" s="309"/>
      <c r="IV27" s="33"/>
      <c r="IW27" s="296"/>
      <c r="IX27" s="298">
        <f t="shared" si="49"/>
        <v>54.83</v>
      </c>
      <c r="IY27" s="32">
        <v>52.43</v>
      </c>
      <c r="IZ27" s="309"/>
      <c r="JA27" s="33"/>
      <c r="JB27" s="296"/>
      <c r="JC27" s="298">
        <f t="shared" si="50"/>
        <v>52.43</v>
      </c>
      <c r="JD27" s="32">
        <v>23.96</v>
      </c>
      <c r="JE27" s="33">
        <v>21.24</v>
      </c>
      <c r="JF27" s="33"/>
      <c r="JG27" s="296"/>
      <c r="JH27" s="298">
        <f t="shared" si="51"/>
        <v>45.2</v>
      </c>
      <c r="JI27" s="32">
        <v>40.51</v>
      </c>
      <c r="JJ27" s="33">
        <v>25.2</v>
      </c>
      <c r="JK27" s="33"/>
      <c r="JL27" s="296"/>
      <c r="JM27" s="298">
        <f t="shared" si="52"/>
        <v>65.709999999999994</v>
      </c>
      <c r="JN27" s="32">
        <v>11.83</v>
      </c>
      <c r="JO27" s="33">
        <v>25.41</v>
      </c>
      <c r="JP27" s="33">
        <v>23.67</v>
      </c>
      <c r="JQ27" s="296"/>
      <c r="JR27" s="298">
        <f t="shared" si="53"/>
        <v>60.910000000000004</v>
      </c>
      <c r="JS27" s="32">
        <v>32.200000000000003</v>
      </c>
      <c r="JT27" s="33">
        <v>20.95</v>
      </c>
      <c r="JU27" s="33"/>
      <c r="JV27" s="296"/>
      <c r="JW27" s="298">
        <f t="shared" si="54"/>
        <v>53.150000000000006</v>
      </c>
      <c r="JX27" s="32">
        <v>24.78</v>
      </c>
      <c r="JY27" s="33">
        <v>24.36</v>
      </c>
      <c r="JZ27" s="33">
        <v>20.52</v>
      </c>
      <c r="KA27" s="296"/>
      <c r="KB27" s="298">
        <f t="shared" si="55"/>
        <v>69.66</v>
      </c>
      <c r="KC27" s="32">
        <v>28.58</v>
      </c>
      <c r="KD27" s="33">
        <v>35.229999999999997</v>
      </c>
      <c r="KE27" s="33"/>
      <c r="KF27" s="296"/>
      <c r="KG27" s="298">
        <f t="shared" si="56"/>
        <v>63.809999999999995</v>
      </c>
      <c r="KH27" s="32">
        <v>25.82</v>
      </c>
      <c r="KI27" s="33">
        <v>43.61</v>
      </c>
      <c r="KJ27" s="33">
        <v>0</v>
      </c>
      <c r="KK27" s="296">
        <v>0</v>
      </c>
      <c r="KL27" s="298">
        <f t="shared" si="57"/>
        <v>69.430000000000007</v>
      </c>
      <c r="KM27" s="32">
        <v>33.340000000000003</v>
      </c>
      <c r="KN27" s="33">
        <v>44.74</v>
      </c>
      <c r="KO27" s="33">
        <v>0</v>
      </c>
      <c r="KP27" s="296">
        <v>0</v>
      </c>
      <c r="KQ27" s="298">
        <f t="shared" si="58"/>
        <v>78.080000000000013</v>
      </c>
      <c r="KR27" s="32">
        <v>52.94</v>
      </c>
      <c r="KS27" s="33">
        <v>48.63</v>
      </c>
      <c r="KT27" s="33">
        <v>0</v>
      </c>
      <c r="KU27" s="296">
        <v>0</v>
      </c>
      <c r="KV27" s="298">
        <f t="shared" si="59"/>
        <v>101.57</v>
      </c>
      <c r="KW27" s="32">
        <v>45.21</v>
      </c>
      <c r="KX27" s="33">
        <v>40.72</v>
      </c>
      <c r="KY27" s="33">
        <v>0</v>
      </c>
      <c r="KZ27" s="296">
        <v>0</v>
      </c>
      <c r="LA27" s="298">
        <f t="shared" si="8"/>
        <v>85.93</v>
      </c>
      <c r="LB27" s="455">
        <f t="shared" si="60"/>
        <v>800.71</v>
      </c>
      <c r="LC27" s="32">
        <f t="shared" si="9"/>
        <v>42.66</v>
      </c>
      <c r="LD27" s="33">
        <f t="shared" si="10"/>
        <v>17.68</v>
      </c>
      <c r="LE27" s="33">
        <f t="shared" si="11"/>
        <v>0</v>
      </c>
      <c r="LF27" s="296">
        <f t="shared" si="12"/>
        <v>0</v>
      </c>
      <c r="LG27" s="298">
        <f t="shared" si="13"/>
        <v>60.339999999999996</v>
      </c>
      <c r="LH27" s="32"/>
      <c r="LI27" s="33"/>
      <c r="LJ27" s="33"/>
      <c r="LK27" s="296"/>
      <c r="LL27" s="298">
        <f t="shared" si="61"/>
        <v>0</v>
      </c>
      <c r="LM27" s="32"/>
      <c r="LN27" s="33"/>
      <c r="LO27" s="33"/>
      <c r="LP27" s="296"/>
      <c r="LQ27" s="298">
        <f t="shared" si="62"/>
        <v>0</v>
      </c>
      <c r="LR27" s="32"/>
      <c r="LS27" s="33"/>
      <c r="LT27" s="33"/>
      <c r="LU27" s="296"/>
      <c r="LV27" s="298">
        <f t="shared" si="63"/>
        <v>0</v>
      </c>
      <c r="LW27" s="32"/>
      <c r="LX27" s="33"/>
      <c r="LY27" s="33"/>
      <c r="LZ27" s="296"/>
      <c r="MA27" s="298">
        <f t="shared" si="64"/>
        <v>0</v>
      </c>
      <c r="MB27" s="32"/>
      <c r="MC27" s="33"/>
      <c r="MD27" s="33"/>
      <c r="ME27" s="296"/>
      <c r="MF27" s="298">
        <f t="shared" si="65"/>
        <v>0</v>
      </c>
      <c r="MG27" s="32"/>
      <c r="MH27" s="33"/>
      <c r="MI27" s="33"/>
      <c r="MJ27" s="296"/>
      <c r="MK27" s="298">
        <f t="shared" si="66"/>
        <v>0</v>
      </c>
      <c r="ML27" s="32"/>
      <c r="MM27" s="33"/>
      <c r="MN27" s="33"/>
      <c r="MO27" s="296"/>
      <c r="MP27" s="298">
        <f t="shared" si="67"/>
        <v>0</v>
      </c>
      <c r="MQ27" s="32"/>
      <c r="MR27" s="33"/>
      <c r="MS27" s="33"/>
      <c r="MT27" s="296"/>
      <c r="MU27" s="298">
        <f t="shared" si="68"/>
        <v>0</v>
      </c>
      <c r="MV27" s="32"/>
      <c r="MW27" s="33"/>
      <c r="MX27" s="33"/>
      <c r="MY27" s="296"/>
      <c r="MZ27" s="298">
        <f t="shared" si="69"/>
        <v>0</v>
      </c>
      <c r="NA27" s="32"/>
      <c r="NB27" s="33"/>
      <c r="NC27" s="33"/>
      <c r="ND27" s="296"/>
      <c r="NE27" s="298">
        <f t="shared" si="70"/>
        <v>0</v>
      </c>
      <c r="NF27" s="32"/>
      <c r="NG27" s="33"/>
      <c r="NH27" s="33"/>
      <c r="NI27" s="296"/>
      <c r="NJ27" s="298">
        <f t="shared" si="14"/>
        <v>0</v>
      </c>
      <c r="NK27" s="455">
        <f t="shared" si="71"/>
        <v>60.339999999999996</v>
      </c>
    </row>
    <row r="28" spans="1:375" ht="15.75" x14ac:dyDescent="0.25">
      <c r="A28" s="322" t="s">
        <v>40</v>
      </c>
      <c r="B28" s="247">
        <v>19</v>
      </c>
      <c r="C28" s="319">
        <v>50.62</v>
      </c>
      <c r="D28" s="284">
        <v>39.82</v>
      </c>
      <c r="E28" s="285">
        <v>42.11</v>
      </c>
      <c r="F28" s="286"/>
      <c r="G28" s="287"/>
      <c r="H28" s="288">
        <f t="shared" si="15"/>
        <v>81.93</v>
      </c>
      <c r="I28" s="289">
        <v>44.96</v>
      </c>
      <c r="J28" s="290"/>
      <c r="K28" s="290"/>
      <c r="L28" s="291"/>
      <c r="M28" s="256">
        <f t="shared" si="16"/>
        <v>44.96</v>
      </c>
      <c r="N28" s="289">
        <v>56.07</v>
      </c>
      <c r="O28" s="290"/>
      <c r="P28" s="290"/>
      <c r="Q28" s="291"/>
      <c r="R28" s="256">
        <f t="shared" si="0"/>
        <v>56.07</v>
      </c>
      <c r="S28" s="289">
        <v>50.03</v>
      </c>
      <c r="T28" s="290">
        <v>15.32</v>
      </c>
      <c r="U28" s="290"/>
      <c r="V28" s="291"/>
      <c r="W28" s="256">
        <f t="shared" si="1"/>
        <v>65.349999999999994</v>
      </c>
      <c r="X28" s="289">
        <v>31.53</v>
      </c>
      <c r="Y28" s="290">
        <v>37.4</v>
      </c>
      <c r="Z28" s="290">
        <v>27.47</v>
      </c>
      <c r="AA28" s="291"/>
      <c r="AB28" s="256">
        <f t="shared" si="17"/>
        <v>96.4</v>
      </c>
      <c r="AC28" s="292">
        <v>26.2</v>
      </c>
      <c r="AD28" s="293">
        <v>28.01</v>
      </c>
      <c r="AE28" s="293"/>
      <c r="AF28" s="294"/>
      <c r="AG28" s="260">
        <f t="shared" si="18"/>
        <v>54.21</v>
      </c>
      <c r="AH28" s="292">
        <v>38.6</v>
      </c>
      <c r="AI28" s="293">
        <v>10.99</v>
      </c>
      <c r="AJ28" s="320">
        <v>30.85</v>
      </c>
      <c r="AK28" s="294"/>
      <c r="AL28" s="295">
        <f t="shared" si="72"/>
        <v>80.44</v>
      </c>
      <c r="AM28" s="32">
        <v>38.049999999999997</v>
      </c>
      <c r="AN28" s="33">
        <v>12.17</v>
      </c>
      <c r="AO28" s="33">
        <v>35.9</v>
      </c>
      <c r="AP28" s="296"/>
      <c r="AQ28" s="297">
        <f t="shared" si="73"/>
        <v>86.12</v>
      </c>
      <c r="AR28" s="32">
        <v>60.04</v>
      </c>
      <c r="AS28" s="33">
        <v>35.69</v>
      </c>
      <c r="AT28" s="33"/>
      <c r="AU28" s="296"/>
      <c r="AV28" s="298">
        <f t="shared" si="74"/>
        <v>95.72999999999999</v>
      </c>
      <c r="AW28" s="32">
        <v>70.959999999999994</v>
      </c>
      <c r="AX28" s="33"/>
      <c r="AY28" s="33"/>
      <c r="AZ28" s="296"/>
      <c r="BA28" s="298">
        <f t="shared" si="82"/>
        <v>70.959999999999994</v>
      </c>
      <c r="BB28" s="32">
        <v>62.18</v>
      </c>
      <c r="BC28" s="33"/>
      <c r="BD28" s="33"/>
      <c r="BE28" s="296"/>
      <c r="BF28" s="298">
        <f t="shared" si="83"/>
        <v>62.18</v>
      </c>
      <c r="BG28" s="32">
        <v>59.35</v>
      </c>
      <c r="BH28" s="33">
        <v>34.58</v>
      </c>
      <c r="BI28" s="33"/>
      <c r="BJ28" s="299"/>
      <c r="BK28" s="298">
        <f t="shared" si="76"/>
        <v>93.93</v>
      </c>
      <c r="BL28" s="32">
        <v>31.42</v>
      </c>
      <c r="BM28" s="33">
        <v>21.02</v>
      </c>
      <c r="BN28" s="33">
        <v>8.73</v>
      </c>
      <c r="BO28" s="299"/>
      <c r="BP28" s="297">
        <f t="shared" si="77"/>
        <v>61.17</v>
      </c>
      <c r="BQ28" s="455">
        <f t="shared" si="2"/>
        <v>867.51999999999987</v>
      </c>
      <c r="BR28" s="32">
        <v>21.08</v>
      </c>
      <c r="BS28" s="43">
        <v>17.41</v>
      </c>
      <c r="BT28" s="43">
        <v>9.61</v>
      </c>
      <c r="BU28" s="781"/>
      <c r="BV28" s="782">
        <f t="shared" si="19"/>
        <v>48.099999999999994</v>
      </c>
      <c r="BW28" s="783">
        <v>17.399999999999999</v>
      </c>
      <c r="BX28" s="43">
        <v>17.649999999999999</v>
      </c>
      <c r="BY28" s="43"/>
      <c r="BZ28" s="781"/>
      <c r="CA28" s="784">
        <f t="shared" si="20"/>
        <v>35.049999999999997</v>
      </c>
      <c r="CB28" s="785">
        <v>21.82</v>
      </c>
      <c r="CC28" s="786">
        <v>22.04</v>
      </c>
      <c r="CD28" s="786">
        <v>3.44</v>
      </c>
      <c r="CE28" s="787"/>
      <c r="CF28" s="788">
        <f t="shared" si="78"/>
        <v>47.3</v>
      </c>
      <c r="CG28" s="785">
        <v>16.260000000000002</v>
      </c>
      <c r="CH28" s="786">
        <v>28.38</v>
      </c>
      <c r="CI28" s="786">
        <v>23.79</v>
      </c>
      <c r="CJ28" s="787"/>
      <c r="CK28" s="788">
        <f t="shared" si="79"/>
        <v>68.430000000000007</v>
      </c>
      <c r="CL28" s="785">
        <v>27.92</v>
      </c>
      <c r="CM28" s="786">
        <v>26.18</v>
      </c>
      <c r="CN28" s="786"/>
      <c r="CO28" s="787"/>
      <c r="CP28" s="788">
        <f t="shared" si="80"/>
        <v>54.1</v>
      </c>
      <c r="CQ28" s="789">
        <v>18.850000000000001</v>
      </c>
      <c r="CR28" s="367">
        <v>28.53</v>
      </c>
      <c r="CS28" s="367">
        <v>18.62</v>
      </c>
      <c r="CT28" s="790"/>
      <c r="CU28" s="791">
        <v>66</v>
      </c>
      <c r="CV28" s="789">
        <v>11.32</v>
      </c>
      <c r="CW28" s="367">
        <v>36.47</v>
      </c>
      <c r="CX28" s="367">
        <v>40.380000000000003</v>
      </c>
      <c r="CY28" s="790"/>
      <c r="CZ28" s="791">
        <f t="shared" si="3"/>
        <v>88.17</v>
      </c>
      <c r="DA28" s="789">
        <v>47.61</v>
      </c>
      <c r="DB28" s="367">
        <v>41.79</v>
      </c>
      <c r="DC28" s="367"/>
      <c r="DD28" s="790"/>
      <c r="DE28" s="791">
        <f t="shared" si="4"/>
        <v>89.4</v>
      </c>
      <c r="DF28" s="789">
        <v>32.35</v>
      </c>
      <c r="DG28" s="367">
        <v>29.97</v>
      </c>
      <c r="DH28" s="367"/>
      <c r="DI28" s="790"/>
      <c r="DJ28" s="791">
        <f t="shared" si="5"/>
        <v>62.32</v>
      </c>
      <c r="DK28" s="789">
        <v>59.42</v>
      </c>
      <c r="DL28" s="367">
        <v>50.5</v>
      </c>
      <c r="DM28" s="367"/>
      <c r="DN28" s="790"/>
      <c r="DO28" s="791">
        <f t="shared" si="21"/>
        <v>109.92</v>
      </c>
      <c r="DP28" s="789">
        <v>37.68</v>
      </c>
      <c r="DQ28" s="367">
        <v>30.31</v>
      </c>
      <c r="DR28" s="367"/>
      <c r="DS28" s="790"/>
      <c r="DT28" s="791">
        <f t="shared" si="22"/>
        <v>67.989999999999995</v>
      </c>
      <c r="DU28" s="789">
        <v>44.95</v>
      </c>
      <c r="DV28" s="367">
        <v>37.58</v>
      </c>
      <c r="DW28" s="367"/>
      <c r="DX28" s="790"/>
      <c r="DY28" s="791">
        <f t="shared" si="23"/>
        <v>82.53</v>
      </c>
      <c r="DZ28" s="455">
        <f t="shared" si="6"/>
        <v>819.31000000000006</v>
      </c>
      <c r="EA28" s="789">
        <v>30.76</v>
      </c>
      <c r="EB28" s="367">
        <v>23.94</v>
      </c>
      <c r="EC28" s="367"/>
      <c r="ED28" s="790"/>
      <c r="EE28" s="791">
        <f t="shared" si="24"/>
        <v>54.7</v>
      </c>
      <c r="EF28" s="789">
        <v>29.28</v>
      </c>
      <c r="EG28" s="367">
        <v>28.183</v>
      </c>
      <c r="EH28" s="367"/>
      <c r="EI28" s="790"/>
      <c r="EJ28" s="791">
        <f t="shared" si="25"/>
        <v>57.463000000000001</v>
      </c>
      <c r="EK28" s="789">
        <v>42.13</v>
      </c>
      <c r="EL28" s="367"/>
      <c r="EM28" s="367"/>
      <c r="EN28" s="790"/>
      <c r="EO28" s="791">
        <f t="shared" si="26"/>
        <v>42.13</v>
      </c>
      <c r="EP28" s="789">
        <v>35.29</v>
      </c>
      <c r="EQ28" s="367">
        <v>23.19</v>
      </c>
      <c r="ER28" s="367">
        <v>12.31</v>
      </c>
      <c r="ES28" s="790"/>
      <c r="ET28" s="791">
        <f t="shared" si="27"/>
        <v>70.790000000000006</v>
      </c>
      <c r="EU28" s="789">
        <v>29.74</v>
      </c>
      <c r="EV28" s="367">
        <v>35.36</v>
      </c>
      <c r="EW28" s="367">
        <v>28.91</v>
      </c>
      <c r="EX28" s="790"/>
      <c r="EY28" s="791">
        <f t="shared" si="28"/>
        <v>94.009999999999991</v>
      </c>
      <c r="EZ28" s="789">
        <v>40.9</v>
      </c>
      <c r="FA28" s="367">
        <v>33.54</v>
      </c>
      <c r="FB28" s="367"/>
      <c r="FC28" s="790"/>
      <c r="FD28" s="791">
        <f t="shared" si="29"/>
        <v>74.44</v>
      </c>
      <c r="FE28" s="789">
        <v>50.95</v>
      </c>
      <c r="FF28" s="367">
        <v>36.9</v>
      </c>
      <c r="FG28" s="367"/>
      <c r="FH28" s="790"/>
      <c r="FI28" s="791">
        <f t="shared" si="30"/>
        <v>87.85</v>
      </c>
      <c r="FJ28" s="789">
        <v>39.93</v>
      </c>
      <c r="FK28" s="367">
        <v>3.43</v>
      </c>
      <c r="FL28" s="367"/>
      <c r="FM28" s="790"/>
      <c r="FN28" s="791">
        <f t="shared" si="31"/>
        <v>43.36</v>
      </c>
      <c r="FO28" s="789">
        <v>38.369999999999997</v>
      </c>
      <c r="FP28" s="367">
        <v>42.72</v>
      </c>
      <c r="FQ28" s="367"/>
      <c r="FR28" s="790"/>
      <c r="FS28" s="791">
        <f t="shared" si="32"/>
        <v>81.09</v>
      </c>
      <c r="FT28" s="789">
        <v>35.32</v>
      </c>
      <c r="FU28" s="367">
        <v>40.729999999999997</v>
      </c>
      <c r="FV28" s="367"/>
      <c r="FW28" s="790"/>
      <c r="FX28" s="791">
        <f t="shared" si="33"/>
        <v>76.05</v>
      </c>
      <c r="FY28" s="789">
        <v>36.119999999999997</v>
      </c>
      <c r="FZ28" s="367">
        <v>42.68</v>
      </c>
      <c r="GA28" s="367"/>
      <c r="GB28" s="790"/>
      <c r="GC28" s="791">
        <f t="shared" si="34"/>
        <v>78.8</v>
      </c>
      <c r="GD28" s="789">
        <v>32.35</v>
      </c>
      <c r="GE28" s="367">
        <v>26.49</v>
      </c>
      <c r="GF28" s="367"/>
      <c r="GG28" s="790"/>
      <c r="GH28" s="791">
        <f t="shared" si="35"/>
        <v>58.84</v>
      </c>
      <c r="GI28" s="455">
        <f t="shared" si="7"/>
        <v>819.52300000000002</v>
      </c>
      <c r="GJ28" s="302">
        <v>27.52</v>
      </c>
      <c r="GK28" s="303">
        <v>20.74</v>
      </c>
      <c r="GL28" s="303"/>
      <c r="GM28" s="304"/>
      <c r="GN28" s="305">
        <f t="shared" si="36"/>
        <v>48.26</v>
      </c>
      <c r="GO28" s="302">
        <v>15.06</v>
      </c>
      <c r="GP28" s="303">
        <v>11</v>
      </c>
      <c r="GQ28" s="303"/>
      <c r="GR28" s="304"/>
      <c r="GS28" s="305">
        <f t="shared" si="37"/>
        <v>26.060000000000002</v>
      </c>
      <c r="GT28" s="302">
        <v>11.64</v>
      </c>
      <c r="GU28" s="303">
        <v>8.18</v>
      </c>
      <c r="GV28" s="303">
        <v>7.52</v>
      </c>
      <c r="GW28" s="304"/>
      <c r="GX28" s="305">
        <f t="shared" si="38"/>
        <v>27.34</v>
      </c>
      <c r="GY28" s="302">
        <v>37.159999999999997</v>
      </c>
      <c r="GZ28" s="310"/>
      <c r="HA28" s="303"/>
      <c r="HB28" s="304"/>
      <c r="HC28" s="305">
        <f t="shared" si="39"/>
        <v>37.159999999999997</v>
      </c>
      <c r="HD28" s="302">
        <v>19.32</v>
      </c>
      <c r="HE28" s="303">
        <v>19.190000000000001</v>
      </c>
      <c r="HF28" s="303">
        <v>20.010000000000002</v>
      </c>
      <c r="HG28" s="304"/>
      <c r="HH28" s="305">
        <f t="shared" si="40"/>
        <v>58.52000000000001</v>
      </c>
      <c r="HI28" s="302">
        <v>4.3499999999999996</v>
      </c>
      <c r="HJ28" s="303">
        <v>19.75</v>
      </c>
      <c r="HK28" s="303">
        <v>27.34</v>
      </c>
      <c r="HL28" s="304"/>
      <c r="HM28" s="305">
        <f t="shared" si="41"/>
        <v>51.44</v>
      </c>
      <c r="HN28" s="302">
        <v>25.51</v>
      </c>
      <c r="HO28" s="303">
        <v>14.72</v>
      </c>
      <c r="HP28" s="303"/>
      <c r="HQ28" s="304"/>
      <c r="HR28" s="305">
        <f t="shared" si="42"/>
        <v>40.230000000000004</v>
      </c>
      <c r="HS28" s="302">
        <v>68.5</v>
      </c>
      <c r="HT28" s="308"/>
      <c r="HU28" s="303"/>
      <c r="HV28" s="304"/>
      <c r="HW28" s="305">
        <f t="shared" si="43"/>
        <v>68.5</v>
      </c>
      <c r="HX28" s="302">
        <v>87.75</v>
      </c>
      <c r="HY28" s="303">
        <v>87.18</v>
      </c>
      <c r="HZ28" s="303"/>
      <c r="IA28" s="304"/>
      <c r="IB28" s="305">
        <f t="shared" si="44"/>
        <v>174.93</v>
      </c>
      <c r="IC28" s="302">
        <f>58.68+3.08</f>
        <v>61.76</v>
      </c>
      <c r="ID28" s="303">
        <v>27.95</v>
      </c>
      <c r="IE28" s="303"/>
      <c r="IF28" s="304"/>
      <c r="IG28" s="305">
        <f t="shared" si="45"/>
        <v>89.71</v>
      </c>
      <c r="IH28" s="61">
        <v>50.74</v>
      </c>
      <c r="II28" s="62">
        <v>23.71</v>
      </c>
      <c r="IJ28" s="62"/>
      <c r="IK28" s="301"/>
      <c r="IL28" s="300">
        <f t="shared" si="46"/>
        <v>74.45</v>
      </c>
      <c r="IM28" s="61">
        <v>40.1</v>
      </c>
      <c r="IN28" s="62">
        <v>9.11</v>
      </c>
      <c r="IO28" s="301"/>
      <c r="IP28" s="296"/>
      <c r="IQ28" s="442">
        <f t="shared" si="47"/>
        <v>49.21</v>
      </c>
      <c r="IR28" s="442"/>
      <c r="IS28" s="455">
        <f t="shared" si="48"/>
        <v>745.81000000000017</v>
      </c>
      <c r="IT28" s="449">
        <v>28.74</v>
      </c>
      <c r="IU28" s="33">
        <v>26.29</v>
      </c>
      <c r="IV28" s="33"/>
      <c r="IW28" s="296"/>
      <c r="IX28" s="298">
        <f t="shared" si="49"/>
        <v>55.03</v>
      </c>
      <c r="IY28" s="32">
        <v>40.56</v>
      </c>
      <c r="IZ28" s="33">
        <v>23.43</v>
      </c>
      <c r="JA28" s="33"/>
      <c r="JB28" s="296"/>
      <c r="JC28" s="298">
        <f t="shared" si="50"/>
        <v>63.99</v>
      </c>
      <c r="JD28" s="32">
        <v>31.71</v>
      </c>
      <c r="JE28" s="33">
        <v>8.9600000000000009</v>
      </c>
      <c r="JF28" s="33"/>
      <c r="JG28" s="296"/>
      <c r="JH28" s="298">
        <f t="shared" si="51"/>
        <v>40.67</v>
      </c>
      <c r="JI28" s="32">
        <v>43.32</v>
      </c>
      <c r="JJ28" s="33">
        <v>48.33</v>
      </c>
      <c r="JK28" s="33"/>
      <c r="JL28" s="296"/>
      <c r="JM28" s="298">
        <f t="shared" si="52"/>
        <v>91.65</v>
      </c>
      <c r="JN28" s="32">
        <v>26.47</v>
      </c>
      <c r="JO28" s="33">
        <v>17.850000000000001</v>
      </c>
      <c r="JP28" s="33">
        <v>20.71</v>
      </c>
      <c r="JQ28" s="296"/>
      <c r="JR28" s="298">
        <f t="shared" si="53"/>
        <v>65.03</v>
      </c>
      <c r="JS28" s="32">
        <v>32.54</v>
      </c>
      <c r="JT28" s="33">
        <v>20.16</v>
      </c>
      <c r="JU28" s="33"/>
      <c r="JV28" s="296"/>
      <c r="JW28" s="298">
        <f t="shared" si="54"/>
        <v>52.7</v>
      </c>
      <c r="JX28" s="32">
        <v>36.39</v>
      </c>
      <c r="JY28" s="33">
        <v>36.229999999999997</v>
      </c>
      <c r="JZ28" s="33">
        <v>11.13</v>
      </c>
      <c r="KA28" s="296"/>
      <c r="KB28" s="298">
        <f t="shared" si="55"/>
        <v>83.75</v>
      </c>
      <c r="KC28" s="32">
        <v>21.68</v>
      </c>
      <c r="KD28" s="33">
        <v>38.17</v>
      </c>
      <c r="KE28" s="33">
        <v>22.24</v>
      </c>
      <c r="KF28" s="296"/>
      <c r="KG28" s="298">
        <f t="shared" si="56"/>
        <v>82.09</v>
      </c>
      <c r="KH28" s="32">
        <v>45.83</v>
      </c>
      <c r="KI28" s="33">
        <v>38.379999999999995</v>
      </c>
      <c r="KJ28" s="33">
        <v>0</v>
      </c>
      <c r="KK28" s="296">
        <v>0</v>
      </c>
      <c r="KL28" s="298">
        <f t="shared" si="57"/>
        <v>84.21</v>
      </c>
      <c r="KM28" s="32">
        <v>48.669999999999995</v>
      </c>
      <c r="KN28" s="33">
        <v>57.73</v>
      </c>
      <c r="KO28" s="33">
        <v>0</v>
      </c>
      <c r="KP28" s="296">
        <v>0</v>
      </c>
      <c r="KQ28" s="298">
        <f t="shared" si="58"/>
        <v>106.39999999999999</v>
      </c>
      <c r="KR28" s="32">
        <v>50.51</v>
      </c>
      <c r="KS28" s="33">
        <v>0</v>
      </c>
      <c r="KT28" s="33">
        <v>0</v>
      </c>
      <c r="KU28" s="296">
        <v>0</v>
      </c>
      <c r="KV28" s="298">
        <f t="shared" si="59"/>
        <v>50.51</v>
      </c>
      <c r="KW28" s="32">
        <v>56.22</v>
      </c>
      <c r="KX28" s="33">
        <v>33.75</v>
      </c>
      <c r="KY28" s="33">
        <v>0</v>
      </c>
      <c r="KZ28" s="296">
        <v>0</v>
      </c>
      <c r="LA28" s="298">
        <f t="shared" si="8"/>
        <v>89.97</v>
      </c>
      <c r="LB28" s="455">
        <f t="shared" si="60"/>
        <v>866</v>
      </c>
      <c r="LC28" s="32">
        <f t="shared" si="9"/>
        <v>19.59</v>
      </c>
      <c r="LD28" s="33">
        <f t="shared" si="10"/>
        <v>14.64</v>
      </c>
      <c r="LE28" s="33">
        <f t="shared" si="11"/>
        <v>10.050000000000001</v>
      </c>
      <c r="LF28" s="296">
        <f t="shared" si="12"/>
        <v>0</v>
      </c>
      <c r="LG28" s="298">
        <f t="shared" si="13"/>
        <v>44.28</v>
      </c>
      <c r="LH28" s="32"/>
      <c r="LI28" s="33"/>
      <c r="LJ28" s="33"/>
      <c r="LK28" s="296"/>
      <c r="LL28" s="298">
        <f t="shared" si="61"/>
        <v>0</v>
      </c>
      <c r="LM28" s="32"/>
      <c r="LN28" s="33"/>
      <c r="LO28" s="33"/>
      <c r="LP28" s="296"/>
      <c r="LQ28" s="298">
        <f t="shared" si="62"/>
        <v>0</v>
      </c>
      <c r="LR28" s="32"/>
      <c r="LS28" s="33"/>
      <c r="LT28" s="33"/>
      <c r="LU28" s="296"/>
      <c r="LV28" s="298">
        <f t="shared" si="63"/>
        <v>0</v>
      </c>
      <c r="LW28" s="32"/>
      <c r="LX28" s="33"/>
      <c r="LY28" s="33"/>
      <c r="LZ28" s="296"/>
      <c r="MA28" s="298">
        <f t="shared" si="64"/>
        <v>0</v>
      </c>
      <c r="MB28" s="32"/>
      <c r="MC28" s="33"/>
      <c r="MD28" s="33"/>
      <c r="ME28" s="296"/>
      <c r="MF28" s="298">
        <f t="shared" si="65"/>
        <v>0</v>
      </c>
      <c r="MG28" s="32"/>
      <c r="MH28" s="33"/>
      <c r="MI28" s="33"/>
      <c r="MJ28" s="296"/>
      <c r="MK28" s="298">
        <f t="shared" si="66"/>
        <v>0</v>
      </c>
      <c r="ML28" s="32"/>
      <c r="MM28" s="33"/>
      <c r="MN28" s="33"/>
      <c r="MO28" s="296"/>
      <c r="MP28" s="298">
        <f t="shared" si="67"/>
        <v>0</v>
      </c>
      <c r="MQ28" s="32"/>
      <c r="MR28" s="33"/>
      <c r="MS28" s="33"/>
      <c r="MT28" s="296"/>
      <c r="MU28" s="298">
        <f t="shared" si="68"/>
        <v>0</v>
      </c>
      <c r="MV28" s="32"/>
      <c r="MW28" s="33"/>
      <c r="MX28" s="33"/>
      <c r="MY28" s="296"/>
      <c r="MZ28" s="298">
        <f t="shared" si="69"/>
        <v>0</v>
      </c>
      <c r="NA28" s="32"/>
      <c r="NB28" s="33"/>
      <c r="NC28" s="33"/>
      <c r="ND28" s="296"/>
      <c r="NE28" s="298">
        <f t="shared" si="70"/>
        <v>0</v>
      </c>
      <c r="NF28" s="32"/>
      <c r="NG28" s="33"/>
      <c r="NH28" s="33"/>
      <c r="NI28" s="296"/>
      <c r="NJ28" s="298">
        <f t="shared" si="14"/>
        <v>0</v>
      </c>
      <c r="NK28" s="455">
        <f t="shared" si="71"/>
        <v>44.28</v>
      </c>
    </row>
    <row r="29" spans="1:375" ht="15.75" x14ac:dyDescent="0.25">
      <c r="A29" s="323"/>
      <c r="B29" s="282">
        <v>20</v>
      </c>
      <c r="C29" s="283">
        <v>62.08</v>
      </c>
      <c r="D29" s="284">
        <v>39.950000000000003</v>
      </c>
      <c r="E29" s="285">
        <v>51.61</v>
      </c>
      <c r="F29" s="286"/>
      <c r="G29" s="287"/>
      <c r="H29" s="288">
        <f t="shared" si="15"/>
        <v>91.56</v>
      </c>
      <c r="I29" s="289">
        <v>50.55</v>
      </c>
      <c r="J29" s="290"/>
      <c r="K29" s="290"/>
      <c r="L29" s="291"/>
      <c r="M29" s="256">
        <f t="shared" si="16"/>
        <v>50.55</v>
      </c>
      <c r="N29" s="289">
        <v>45.12</v>
      </c>
      <c r="O29" s="290">
        <v>27.36</v>
      </c>
      <c r="P29" s="290"/>
      <c r="Q29" s="291"/>
      <c r="R29" s="256">
        <f t="shared" si="0"/>
        <v>72.47999999999999</v>
      </c>
      <c r="S29" s="289">
        <v>41.54</v>
      </c>
      <c r="T29" s="290">
        <v>29.27</v>
      </c>
      <c r="U29" s="290"/>
      <c r="V29" s="291"/>
      <c r="W29" s="256">
        <f t="shared" si="1"/>
        <v>70.81</v>
      </c>
      <c r="X29" s="289">
        <v>31.53</v>
      </c>
      <c r="Y29" s="290">
        <v>27.73</v>
      </c>
      <c r="Z29" s="290">
        <v>20.48</v>
      </c>
      <c r="AA29" s="291"/>
      <c r="AB29" s="256">
        <f t="shared" si="17"/>
        <v>79.740000000000009</v>
      </c>
      <c r="AC29" s="292">
        <v>40.99</v>
      </c>
      <c r="AD29" s="293">
        <v>31.33</v>
      </c>
      <c r="AE29" s="293"/>
      <c r="AF29" s="294"/>
      <c r="AG29" s="260">
        <f t="shared" si="18"/>
        <v>72.319999999999993</v>
      </c>
      <c r="AH29" s="292">
        <v>37.68</v>
      </c>
      <c r="AI29" s="293">
        <v>10.48</v>
      </c>
      <c r="AJ29" s="320">
        <v>22.11</v>
      </c>
      <c r="AK29" s="294"/>
      <c r="AL29" s="295">
        <f t="shared" si="72"/>
        <v>70.27</v>
      </c>
      <c r="AM29" s="32">
        <v>54.88</v>
      </c>
      <c r="AN29" s="33">
        <v>18.64</v>
      </c>
      <c r="AO29" s="33">
        <v>27.75</v>
      </c>
      <c r="AP29" s="296"/>
      <c r="AQ29" s="297">
        <f t="shared" si="73"/>
        <v>101.27000000000001</v>
      </c>
      <c r="AR29" s="32">
        <v>53.61</v>
      </c>
      <c r="AS29" s="33">
        <v>7.31</v>
      </c>
      <c r="AT29" s="33"/>
      <c r="AU29" s="296"/>
      <c r="AV29" s="298">
        <f t="shared" si="74"/>
        <v>60.92</v>
      </c>
      <c r="AW29" s="32">
        <v>38.33</v>
      </c>
      <c r="AX29" s="33">
        <v>44.86</v>
      </c>
      <c r="AY29" s="33"/>
      <c r="AZ29" s="296"/>
      <c r="BA29" s="298">
        <f t="shared" si="82"/>
        <v>83.19</v>
      </c>
      <c r="BB29" s="32">
        <v>70.66</v>
      </c>
      <c r="BC29" s="33"/>
      <c r="BD29" s="33"/>
      <c r="BE29" s="296"/>
      <c r="BF29" s="298">
        <f t="shared" si="83"/>
        <v>70.66</v>
      </c>
      <c r="BG29" s="32">
        <v>52.33</v>
      </c>
      <c r="BH29" s="33">
        <v>36.43</v>
      </c>
      <c r="BI29" s="33"/>
      <c r="BJ29" s="299"/>
      <c r="BK29" s="298">
        <f t="shared" si="76"/>
        <v>88.759999999999991</v>
      </c>
      <c r="BL29" s="32">
        <v>33.090000000000003</v>
      </c>
      <c r="BM29" s="33">
        <v>30.93</v>
      </c>
      <c r="BN29" s="33"/>
      <c r="BO29" s="299"/>
      <c r="BP29" s="297">
        <f t="shared" si="77"/>
        <v>64.02000000000001</v>
      </c>
      <c r="BQ29" s="455">
        <f t="shared" si="2"/>
        <v>884.9899999999999</v>
      </c>
      <c r="BR29" s="32">
        <v>20.39</v>
      </c>
      <c r="BS29" s="43">
        <v>19.920000000000002</v>
      </c>
      <c r="BT29" s="43">
        <v>11.6</v>
      </c>
      <c r="BU29" s="781"/>
      <c r="BV29" s="782">
        <f t="shared" si="19"/>
        <v>51.910000000000004</v>
      </c>
      <c r="BW29" s="783">
        <v>16.8</v>
      </c>
      <c r="BX29" s="43">
        <v>14.41</v>
      </c>
      <c r="BY29" s="43"/>
      <c r="BZ29" s="781"/>
      <c r="CA29" s="784">
        <f t="shared" si="20"/>
        <v>31.21</v>
      </c>
      <c r="CB29" s="785">
        <v>19.329999999999998</v>
      </c>
      <c r="CC29" s="786">
        <v>20.59</v>
      </c>
      <c r="CD29" s="786"/>
      <c r="CE29" s="787"/>
      <c r="CF29" s="788">
        <f t="shared" si="78"/>
        <v>39.92</v>
      </c>
      <c r="CG29" s="785">
        <v>23.25</v>
      </c>
      <c r="CH29" s="786">
        <v>27.31</v>
      </c>
      <c r="CI29" s="786">
        <v>17.79</v>
      </c>
      <c r="CJ29" s="787"/>
      <c r="CK29" s="788">
        <f t="shared" si="79"/>
        <v>68.349999999999994</v>
      </c>
      <c r="CL29" s="785">
        <v>4.1100000000000003</v>
      </c>
      <c r="CM29" s="786">
        <v>25.93</v>
      </c>
      <c r="CN29" s="786">
        <v>22.42</v>
      </c>
      <c r="CO29" s="787"/>
      <c r="CP29" s="788">
        <f t="shared" si="80"/>
        <v>52.46</v>
      </c>
      <c r="CQ29" s="789">
        <v>19.75</v>
      </c>
      <c r="CR29" s="367">
        <v>30.35</v>
      </c>
      <c r="CS29" s="367"/>
      <c r="CT29" s="790"/>
      <c r="CU29" s="791">
        <v>50.1</v>
      </c>
      <c r="CV29" s="789">
        <v>41.08</v>
      </c>
      <c r="CW29" s="367">
        <v>44.4</v>
      </c>
      <c r="CX29" s="367">
        <v>42.71</v>
      </c>
      <c r="CY29" s="790"/>
      <c r="CZ29" s="791">
        <f t="shared" si="3"/>
        <v>128.19</v>
      </c>
      <c r="DA29" s="789">
        <v>60.77</v>
      </c>
      <c r="DB29" s="367">
        <v>38.67</v>
      </c>
      <c r="DC29" s="367"/>
      <c r="DD29" s="790"/>
      <c r="DE29" s="791">
        <f t="shared" si="4"/>
        <v>99.44</v>
      </c>
      <c r="DF29" s="789">
        <v>26.9</v>
      </c>
      <c r="DG29" s="367">
        <v>42.53</v>
      </c>
      <c r="DH29" s="367"/>
      <c r="DI29" s="790"/>
      <c r="DJ29" s="791">
        <f t="shared" si="5"/>
        <v>69.430000000000007</v>
      </c>
      <c r="DK29" s="789">
        <v>59.84</v>
      </c>
      <c r="DL29" s="367">
        <v>49.97</v>
      </c>
      <c r="DM29" s="367"/>
      <c r="DN29" s="790"/>
      <c r="DO29" s="791">
        <f t="shared" si="21"/>
        <v>109.81</v>
      </c>
      <c r="DP29" s="789">
        <v>51.31</v>
      </c>
      <c r="DQ29" s="367">
        <v>40.08</v>
      </c>
      <c r="DR29" s="367"/>
      <c r="DS29" s="790"/>
      <c r="DT29" s="791">
        <f t="shared" si="22"/>
        <v>91.39</v>
      </c>
      <c r="DU29" s="789">
        <v>42.86</v>
      </c>
      <c r="DV29" s="367">
        <v>34.549999999999997</v>
      </c>
      <c r="DW29" s="367"/>
      <c r="DX29" s="790"/>
      <c r="DY29" s="791">
        <f t="shared" si="23"/>
        <v>77.41</v>
      </c>
      <c r="DZ29" s="455">
        <f t="shared" si="6"/>
        <v>869.61999999999989</v>
      </c>
      <c r="EA29" s="789">
        <v>30.72</v>
      </c>
      <c r="EB29" s="367">
        <v>30.75</v>
      </c>
      <c r="EC29" s="367"/>
      <c r="ED29" s="790"/>
      <c r="EE29" s="791">
        <f t="shared" si="24"/>
        <v>61.47</v>
      </c>
      <c r="EF29" s="789">
        <v>33.619999999999997</v>
      </c>
      <c r="EG29" s="367">
        <v>21.05</v>
      </c>
      <c r="EH29" s="367"/>
      <c r="EI29" s="790"/>
      <c r="EJ29" s="791">
        <f t="shared" si="25"/>
        <v>54.67</v>
      </c>
      <c r="EK29" s="789">
        <v>10.34</v>
      </c>
      <c r="EL29" s="367">
        <v>42.34</v>
      </c>
      <c r="EM29" s="367"/>
      <c r="EN29" s="790"/>
      <c r="EO29" s="791">
        <f t="shared" si="26"/>
        <v>52.680000000000007</v>
      </c>
      <c r="EP29" s="789">
        <v>37.74</v>
      </c>
      <c r="EQ29" s="367">
        <v>25.94</v>
      </c>
      <c r="ER29" s="367"/>
      <c r="ES29" s="790"/>
      <c r="ET29" s="791">
        <f t="shared" si="27"/>
        <v>63.680000000000007</v>
      </c>
      <c r="EU29" s="789">
        <v>39.39</v>
      </c>
      <c r="EV29" s="367">
        <v>35.65</v>
      </c>
      <c r="EW29" s="367">
        <v>33.22</v>
      </c>
      <c r="EX29" s="790"/>
      <c r="EY29" s="791">
        <f t="shared" si="28"/>
        <v>108.25999999999999</v>
      </c>
      <c r="EZ29" s="789">
        <v>40.08</v>
      </c>
      <c r="FA29" s="367">
        <v>34.1</v>
      </c>
      <c r="FB29" s="367"/>
      <c r="FC29" s="790"/>
      <c r="FD29" s="791">
        <f t="shared" si="29"/>
        <v>74.180000000000007</v>
      </c>
      <c r="FE29" s="789">
        <v>52.25</v>
      </c>
      <c r="FF29" s="367">
        <v>14.72</v>
      </c>
      <c r="FG29" s="367"/>
      <c r="FH29" s="790"/>
      <c r="FI29" s="791">
        <f t="shared" si="30"/>
        <v>66.97</v>
      </c>
      <c r="FJ29" s="789">
        <v>26.92</v>
      </c>
      <c r="FK29" s="367">
        <v>48.55</v>
      </c>
      <c r="FL29" s="367"/>
      <c r="FM29" s="790"/>
      <c r="FN29" s="791">
        <f t="shared" si="31"/>
        <v>75.47</v>
      </c>
      <c r="FO29" s="789">
        <v>31.99</v>
      </c>
      <c r="FP29" s="367">
        <v>34.619999999999997</v>
      </c>
      <c r="FQ29" s="367"/>
      <c r="FR29" s="790"/>
      <c r="FS29" s="791">
        <f t="shared" si="32"/>
        <v>66.61</v>
      </c>
      <c r="FT29" s="789">
        <v>43.68</v>
      </c>
      <c r="FU29" s="367">
        <v>48.8</v>
      </c>
      <c r="FV29" s="367"/>
      <c r="FW29" s="790"/>
      <c r="FX29" s="791">
        <f t="shared" si="33"/>
        <v>92.47999999999999</v>
      </c>
      <c r="FY29" s="789">
        <v>41.4</v>
      </c>
      <c r="FZ29" s="367">
        <v>36.65</v>
      </c>
      <c r="GA29" s="367"/>
      <c r="GB29" s="790"/>
      <c r="GC29" s="791">
        <f t="shared" si="34"/>
        <v>78.05</v>
      </c>
      <c r="GD29" s="789">
        <v>37.89</v>
      </c>
      <c r="GE29" s="367">
        <v>30.42</v>
      </c>
      <c r="GF29" s="367"/>
      <c r="GG29" s="790"/>
      <c r="GH29" s="791">
        <f t="shared" si="35"/>
        <v>68.31</v>
      </c>
      <c r="GI29" s="455">
        <f t="shared" si="7"/>
        <v>862.82999999999993</v>
      </c>
      <c r="GJ29" s="302">
        <v>29.16</v>
      </c>
      <c r="GK29" s="303">
        <v>20.350000000000001</v>
      </c>
      <c r="GL29" s="303"/>
      <c r="GM29" s="304"/>
      <c r="GN29" s="305">
        <f t="shared" si="36"/>
        <v>49.510000000000005</v>
      </c>
      <c r="GO29" s="302">
        <v>14.02</v>
      </c>
      <c r="GP29" s="303">
        <v>10.06</v>
      </c>
      <c r="GQ29" s="303"/>
      <c r="GR29" s="304"/>
      <c r="GS29" s="305">
        <f t="shared" si="37"/>
        <v>24.08</v>
      </c>
      <c r="GT29" s="302">
        <v>7.04</v>
      </c>
      <c r="GU29" s="303">
        <v>3.67</v>
      </c>
      <c r="GV29" s="303">
        <v>5.84</v>
      </c>
      <c r="GW29" s="304"/>
      <c r="GX29" s="305">
        <f t="shared" si="38"/>
        <v>16.55</v>
      </c>
      <c r="GY29" s="302">
        <v>22.51</v>
      </c>
      <c r="GZ29" s="310"/>
      <c r="HA29" s="303"/>
      <c r="HB29" s="304"/>
      <c r="HC29" s="305">
        <f t="shared" si="39"/>
        <v>22.51</v>
      </c>
      <c r="HD29" s="302">
        <v>22.64</v>
      </c>
      <c r="HE29" s="303">
        <v>23.19</v>
      </c>
      <c r="HF29" s="303"/>
      <c r="HG29" s="304"/>
      <c r="HH29" s="305">
        <f t="shared" si="40"/>
        <v>45.83</v>
      </c>
      <c r="HI29" s="302">
        <v>25.81</v>
      </c>
      <c r="HJ29" s="303">
        <v>22.15</v>
      </c>
      <c r="HK29" s="303">
        <v>16.850000000000001</v>
      </c>
      <c r="HL29" s="304"/>
      <c r="HM29" s="305">
        <f t="shared" si="41"/>
        <v>64.81</v>
      </c>
      <c r="HN29" s="302">
        <v>13.96</v>
      </c>
      <c r="HO29" s="303">
        <v>33.44</v>
      </c>
      <c r="HP29" s="303">
        <v>21.88</v>
      </c>
      <c r="HQ29" s="304"/>
      <c r="HR29" s="305">
        <f t="shared" si="42"/>
        <v>69.28</v>
      </c>
      <c r="HS29" s="302">
        <v>70.23</v>
      </c>
      <c r="HT29" s="308"/>
      <c r="HU29" s="303"/>
      <c r="HV29" s="304"/>
      <c r="HW29" s="305">
        <f t="shared" si="43"/>
        <v>70.23</v>
      </c>
      <c r="HX29" s="302">
        <v>84.53</v>
      </c>
      <c r="HY29" s="303">
        <v>84.03</v>
      </c>
      <c r="HZ29" s="303"/>
      <c r="IA29" s="304"/>
      <c r="IB29" s="305">
        <f t="shared" si="44"/>
        <v>168.56</v>
      </c>
      <c r="IC29" s="302">
        <f>75.93+1.59</f>
        <v>77.52000000000001</v>
      </c>
      <c r="ID29" s="303">
        <v>37.82</v>
      </c>
      <c r="IE29" s="303"/>
      <c r="IF29" s="304"/>
      <c r="IG29" s="305">
        <f t="shared" si="45"/>
        <v>115.34</v>
      </c>
      <c r="IH29" s="61">
        <v>60.64</v>
      </c>
      <c r="II29" s="62">
        <v>23.65</v>
      </c>
      <c r="IJ29" s="62"/>
      <c r="IK29" s="301"/>
      <c r="IL29" s="300">
        <f t="shared" si="46"/>
        <v>84.289999999999992</v>
      </c>
      <c r="IM29" s="61">
        <v>47.96</v>
      </c>
      <c r="IN29" s="62">
        <v>21.04</v>
      </c>
      <c r="IO29" s="301"/>
      <c r="IP29" s="296"/>
      <c r="IQ29" s="442">
        <f t="shared" si="47"/>
        <v>69</v>
      </c>
      <c r="IR29" s="442"/>
      <c r="IS29" s="455">
        <f t="shared" si="48"/>
        <v>799.99000000000012</v>
      </c>
      <c r="IT29" s="449">
        <v>30.22</v>
      </c>
      <c r="IU29" s="33">
        <v>39.9</v>
      </c>
      <c r="IV29" s="33"/>
      <c r="IW29" s="296"/>
      <c r="IX29" s="298">
        <f t="shared" si="49"/>
        <v>70.12</v>
      </c>
      <c r="IY29" s="32">
        <v>44.09</v>
      </c>
      <c r="IZ29" s="33">
        <v>26.75</v>
      </c>
      <c r="JA29" s="33"/>
      <c r="JB29" s="296"/>
      <c r="JC29" s="298">
        <f t="shared" si="50"/>
        <v>70.84</v>
      </c>
      <c r="JD29" s="32">
        <v>34.53</v>
      </c>
      <c r="JE29" s="309"/>
      <c r="JF29" s="33"/>
      <c r="JG29" s="296"/>
      <c r="JH29" s="298">
        <f t="shared" si="51"/>
        <v>34.53</v>
      </c>
      <c r="JI29" s="32">
        <v>69.31</v>
      </c>
      <c r="JJ29" s="33">
        <v>47.24</v>
      </c>
      <c r="JK29" s="33"/>
      <c r="JL29" s="296"/>
      <c r="JM29" s="298">
        <f t="shared" si="52"/>
        <v>116.55000000000001</v>
      </c>
      <c r="JN29" s="32">
        <v>31.89</v>
      </c>
      <c r="JO29" s="33">
        <v>29.95</v>
      </c>
      <c r="JP29" s="33">
        <v>28.37</v>
      </c>
      <c r="JQ29" s="296"/>
      <c r="JR29" s="298">
        <f t="shared" si="53"/>
        <v>90.210000000000008</v>
      </c>
      <c r="JS29" s="32">
        <v>29.8</v>
      </c>
      <c r="JT29" s="33">
        <v>21.33</v>
      </c>
      <c r="JU29" s="33"/>
      <c r="JV29" s="296"/>
      <c r="JW29" s="298">
        <f t="shared" si="54"/>
        <v>51.129999999999995</v>
      </c>
      <c r="JX29" s="32">
        <v>39.03</v>
      </c>
      <c r="JY29" s="33">
        <v>36.28</v>
      </c>
      <c r="JZ29" s="33"/>
      <c r="KA29" s="296"/>
      <c r="KB29" s="298">
        <f t="shared" si="55"/>
        <v>75.31</v>
      </c>
      <c r="KC29" s="32">
        <v>40.53</v>
      </c>
      <c r="KD29" s="33">
        <v>36.32</v>
      </c>
      <c r="KE29" s="33">
        <v>24.35</v>
      </c>
      <c r="KF29" s="296"/>
      <c r="KG29" s="298">
        <f t="shared" si="56"/>
        <v>101.19999999999999</v>
      </c>
      <c r="KH29" s="32">
        <v>51.959999999999994</v>
      </c>
      <c r="KI29" s="33">
        <v>30.14</v>
      </c>
      <c r="KJ29" s="33">
        <v>0</v>
      </c>
      <c r="KK29" s="296">
        <v>0</v>
      </c>
      <c r="KL29" s="298">
        <f t="shared" si="57"/>
        <v>82.1</v>
      </c>
      <c r="KM29" s="32">
        <v>62.42</v>
      </c>
      <c r="KN29" s="33">
        <v>62.42</v>
      </c>
      <c r="KO29" s="33">
        <v>0</v>
      </c>
      <c r="KP29" s="296">
        <v>0</v>
      </c>
      <c r="KQ29" s="298">
        <f t="shared" si="58"/>
        <v>124.84</v>
      </c>
      <c r="KR29" s="32">
        <v>75.11</v>
      </c>
      <c r="KS29" s="33">
        <v>0</v>
      </c>
      <c r="KT29" s="33">
        <v>0</v>
      </c>
      <c r="KU29" s="296">
        <v>0</v>
      </c>
      <c r="KV29" s="298">
        <f t="shared" si="59"/>
        <v>75.11</v>
      </c>
      <c r="KW29" s="32">
        <v>84.19</v>
      </c>
      <c r="KX29" s="33">
        <v>52.47</v>
      </c>
      <c r="KY29" s="33">
        <v>0</v>
      </c>
      <c r="KZ29" s="296">
        <v>0</v>
      </c>
      <c r="LA29" s="298">
        <f t="shared" si="8"/>
        <v>136.66</v>
      </c>
      <c r="LB29" s="455">
        <f t="shared" si="60"/>
        <v>1028.6000000000001</v>
      </c>
      <c r="LC29" s="32">
        <f t="shared" si="9"/>
        <v>29.87</v>
      </c>
      <c r="LD29" s="33">
        <f t="shared" si="10"/>
        <v>19.36</v>
      </c>
      <c r="LE29" s="33">
        <f t="shared" si="11"/>
        <v>0</v>
      </c>
      <c r="LF29" s="296">
        <f t="shared" si="12"/>
        <v>0</v>
      </c>
      <c r="LG29" s="298">
        <f t="shared" si="13"/>
        <v>49.230000000000004</v>
      </c>
      <c r="LH29" s="32"/>
      <c r="LI29" s="33"/>
      <c r="LJ29" s="33"/>
      <c r="LK29" s="296"/>
      <c r="LL29" s="298">
        <f t="shared" si="61"/>
        <v>0</v>
      </c>
      <c r="LM29" s="32"/>
      <c r="LN29" s="33"/>
      <c r="LO29" s="33"/>
      <c r="LP29" s="296"/>
      <c r="LQ29" s="298">
        <f t="shared" si="62"/>
        <v>0</v>
      </c>
      <c r="LR29" s="32"/>
      <c r="LS29" s="33"/>
      <c r="LT29" s="33"/>
      <c r="LU29" s="296"/>
      <c r="LV29" s="298">
        <f t="shared" si="63"/>
        <v>0</v>
      </c>
      <c r="LW29" s="32"/>
      <c r="LX29" s="33"/>
      <c r="LY29" s="33"/>
      <c r="LZ29" s="296"/>
      <c r="MA29" s="298">
        <f t="shared" si="64"/>
        <v>0</v>
      </c>
      <c r="MB29" s="32"/>
      <c r="MC29" s="33"/>
      <c r="MD29" s="33"/>
      <c r="ME29" s="296"/>
      <c r="MF29" s="298">
        <f t="shared" si="65"/>
        <v>0</v>
      </c>
      <c r="MG29" s="32"/>
      <c r="MH29" s="33"/>
      <c r="MI29" s="33"/>
      <c r="MJ29" s="296"/>
      <c r="MK29" s="298">
        <f t="shared" si="66"/>
        <v>0</v>
      </c>
      <c r="ML29" s="32"/>
      <c r="MM29" s="33"/>
      <c r="MN29" s="33"/>
      <c r="MO29" s="296"/>
      <c r="MP29" s="298">
        <f t="shared" si="67"/>
        <v>0</v>
      </c>
      <c r="MQ29" s="32"/>
      <c r="MR29" s="33"/>
      <c r="MS29" s="33"/>
      <c r="MT29" s="296"/>
      <c r="MU29" s="298">
        <f t="shared" si="68"/>
        <v>0</v>
      </c>
      <c r="MV29" s="32"/>
      <c r="MW29" s="33"/>
      <c r="MX29" s="33"/>
      <c r="MY29" s="296"/>
      <c r="MZ29" s="298">
        <f t="shared" si="69"/>
        <v>0</v>
      </c>
      <c r="NA29" s="32"/>
      <c r="NB29" s="33"/>
      <c r="NC29" s="33"/>
      <c r="ND29" s="296"/>
      <c r="NE29" s="298">
        <f t="shared" si="70"/>
        <v>0</v>
      </c>
      <c r="NF29" s="32"/>
      <c r="NG29" s="33"/>
      <c r="NH29" s="33"/>
      <c r="NI29" s="296"/>
      <c r="NJ29" s="298">
        <f t="shared" si="14"/>
        <v>0</v>
      </c>
      <c r="NK29" s="455">
        <f t="shared" si="71"/>
        <v>49.230000000000004</v>
      </c>
    </row>
    <row r="30" spans="1:375" ht="15.75" x14ac:dyDescent="0.25">
      <c r="A30" s="323"/>
      <c r="B30" s="282">
        <v>21</v>
      </c>
      <c r="C30" s="283">
        <v>72.2</v>
      </c>
      <c r="D30" s="284">
        <v>49.51</v>
      </c>
      <c r="E30" s="285">
        <v>62.4</v>
      </c>
      <c r="F30" s="286"/>
      <c r="G30" s="287"/>
      <c r="H30" s="288">
        <f t="shared" si="15"/>
        <v>111.91</v>
      </c>
      <c r="I30" s="289">
        <v>35.94</v>
      </c>
      <c r="J30" s="290">
        <v>74.459999999999994</v>
      </c>
      <c r="K30" s="290"/>
      <c r="L30" s="291"/>
      <c r="M30" s="256">
        <f t="shared" si="16"/>
        <v>110.39999999999999</v>
      </c>
      <c r="N30" s="289">
        <v>79.73</v>
      </c>
      <c r="O30" s="290">
        <v>21.21</v>
      </c>
      <c r="P30" s="290"/>
      <c r="Q30" s="291"/>
      <c r="R30" s="256">
        <f t="shared" si="0"/>
        <v>100.94</v>
      </c>
      <c r="S30" s="289">
        <v>35.72</v>
      </c>
      <c r="T30" s="290">
        <v>73.03</v>
      </c>
      <c r="U30" s="290">
        <v>5</v>
      </c>
      <c r="V30" s="291"/>
      <c r="W30" s="256">
        <f t="shared" si="1"/>
        <v>113.75</v>
      </c>
      <c r="X30" s="289">
        <v>44.79</v>
      </c>
      <c r="Y30" s="290">
        <v>37.950000000000003</v>
      </c>
      <c r="Z30" s="290">
        <v>44.6</v>
      </c>
      <c r="AA30" s="291"/>
      <c r="AB30" s="256">
        <f t="shared" si="17"/>
        <v>127.34</v>
      </c>
      <c r="AC30" s="292">
        <v>47.73</v>
      </c>
      <c r="AD30" s="293">
        <v>34.75</v>
      </c>
      <c r="AE30" s="293"/>
      <c r="AF30" s="294"/>
      <c r="AG30" s="260">
        <f t="shared" si="18"/>
        <v>82.47999999999999</v>
      </c>
      <c r="AH30" s="292">
        <v>56.96</v>
      </c>
      <c r="AI30" s="293">
        <v>23.3</v>
      </c>
      <c r="AJ30" s="320">
        <v>34.33</v>
      </c>
      <c r="AK30" s="294"/>
      <c r="AL30" s="295">
        <f t="shared" si="72"/>
        <v>114.59</v>
      </c>
      <c r="AM30" s="32">
        <v>46.3</v>
      </c>
      <c r="AN30" s="33">
        <v>62.99</v>
      </c>
      <c r="AO30" s="33"/>
      <c r="AP30" s="296"/>
      <c r="AQ30" s="297">
        <f t="shared" si="73"/>
        <v>109.28999999999999</v>
      </c>
      <c r="AR30" s="32">
        <v>67.28</v>
      </c>
      <c r="AS30" s="33">
        <v>81.64</v>
      </c>
      <c r="AT30" s="33"/>
      <c r="AU30" s="296"/>
      <c r="AV30" s="298">
        <f t="shared" si="74"/>
        <v>148.92000000000002</v>
      </c>
      <c r="AW30" s="32">
        <v>74.67</v>
      </c>
      <c r="AX30" s="33">
        <v>91.68</v>
      </c>
      <c r="AY30" s="33"/>
      <c r="AZ30" s="296"/>
      <c r="BA30" s="298">
        <f t="shared" si="82"/>
        <v>166.35000000000002</v>
      </c>
      <c r="BB30" s="32">
        <v>111.31</v>
      </c>
      <c r="BC30" s="33"/>
      <c r="BD30" s="33"/>
      <c r="BE30" s="296"/>
      <c r="BF30" s="298">
        <f t="shared" si="83"/>
        <v>111.31</v>
      </c>
      <c r="BG30" s="32">
        <v>74.19</v>
      </c>
      <c r="BH30" s="33">
        <v>63.08</v>
      </c>
      <c r="BI30" s="33"/>
      <c r="BJ30" s="299"/>
      <c r="BK30" s="298">
        <f t="shared" si="76"/>
        <v>137.26999999999998</v>
      </c>
      <c r="BL30" s="32">
        <v>57.17</v>
      </c>
      <c r="BM30" s="33">
        <v>44.23</v>
      </c>
      <c r="BN30" s="33"/>
      <c r="BO30" s="299"/>
      <c r="BP30" s="297">
        <f t="shared" si="77"/>
        <v>101.4</v>
      </c>
      <c r="BQ30" s="455">
        <f t="shared" si="2"/>
        <v>1424.04</v>
      </c>
      <c r="BR30" s="32">
        <v>37.92</v>
      </c>
      <c r="BS30" s="43">
        <v>17</v>
      </c>
      <c r="BT30" s="43">
        <v>31.94</v>
      </c>
      <c r="BU30" s="781"/>
      <c r="BV30" s="782">
        <f t="shared" si="19"/>
        <v>86.86</v>
      </c>
      <c r="BW30" s="783">
        <v>31.82</v>
      </c>
      <c r="BX30" s="43">
        <v>22.05</v>
      </c>
      <c r="BY30" s="43"/>
      <c r="BZ30" s="781"/>
      <c r="CA30" s="784">
        <f t="shared" si="20"/>
        <v>53.870000000000005</v>
      </c>
      <c r="CB30" s="785">
        <v>36.15</v>
      </c>
      <c r="CC30" s="786">
        <v>31.82</v>
      </c>
      <c r="CD30" s="786"/>
      <c r="CE30" s="787"/>
      <c r="CF30" s="788">
        <f t="shared" si="78"/>
        <v>67.97</v>
      </c>
      <c r="CG30" s="785">
        <v>39.840000000000003</v>
      </c>
      <c r="CH30" s="786">
        <v>37.18</v>
      </c>
      <c r="CI30" s="786"/>
      <c r="CJ30" s="787"/>
      <c r="CK30" s="788">
        <f t="shared" si="79"/>
        <v>77.02000000000001</v>
      </c>
      <c r="CL30" s="785">
        <v>46.97</v>
      </c>
      <c r="CM30" s="786">
        <v>39.28</v>
      </c>
      <c r="CN30" s="786">
        <v>40.4</v>
      </c>
      <c r="CO30" s="787"/>
      <c r="CP30" s="788">
        <f t="shared" si="80"/>
        <v>126.65</v>
      </c>
      <c r="CQ30" s="789">
        <v>31.58</v>
      </c>
      <c r="CR30" s="367">
        <v>47.41</v>
      </c>
      <c r="CS30" s="367"/>
      <c r="CT30" s="790"/>
      <c r="CU30" s="791">
        <v>78.989999999999995</v>
      </c>
      <c r="CV30" s="789">
        <v>50.95</v>
      </c>
      <c r="CW30" s="367">
        <v>62.95</v>
      </c>
      <c r="CX30" s="367">
        <v>26.72</v>
      </c>
      <c r="CY30" s="790"/>
      <c r="CZ30" s="791">
        <f t="shared" si="3"/>
        <v>140.62</v>
      </c>
      <c r="DA30" s="789">
        <v>36.200000000000003</v>
      </c>
      <c r="DB30" s="367">
        <v>93.42</v>
      </c>
      <c r="DC30" s="367">
        <v>60.63</v>
      </c>
      <c r="DD30" s="790"/>
      <c r="DE30" s="791">
        <f t="shared" si="4"/>
        <v>190.25</v>
      </c>
      <c r="DF30" s="789">
        <v>51.93</v>
      </c>
      <c r="DG30" s="367">
        <v>85.19</v>
      </c>
      <c r="DH30" s="367"/>
      <c r="DI30" s="790"/>
      <c r="DJ30" s="791">
        <f t="shared" si="5"/>
        <v>137.12</v>
      </c>
      <c r="DK30" s="789">
        <v>73.12</v>
      </c>
      <c r="DL30" s="367">
        <v>88.73</v>
      </c>
      <c r="DM30" s="367"/>
      <c r="DN30" s="790"/>
      <c r="DO30" s="791">
        <f t="shared" si="21"/>
        <v>161.85000000000002</v>
      </c>
      <c r="DP30" s="789">
        <v>81.64</v>
      </c>
      <c r="DQ30" s="367">
        <v>70.709999999999994</v>
      </c>
      <c r="DR30" s="367"/>
      <c r="DS30" s="790"/>
      <c r="DT30" s="791">
        <f t="shared" si="22"/>
        <v>152.35</v>
      </c>
      <c r="DU30" s="789">
        <v>111.87</v>
      </c>
      <c r="DV30" s="367">
        <v>27.61</v>
      </c>
      <c r="DW30" s="367"/>
      <c r="DX30" s="790"/>
      <c r="DY30" s="791">
        <f t="shared" si="23"/>
        <v>139.48000000000002</v>
      </c>
      <c r="DZ30" s="455">
        <f t="shared" si="6"/>
        <v>1413.03</v>
      </c>
      <c r="EA30" s="789">
        <v>47.83</v>
      </c>
      <c r="EB30" s="367">
        <v>47.09</v>
      </c>
      <c r="EC30" s="367"/>
      <c r="ED30" s="790"/>
      <c r="EE30" s="791">
        <f t="shared" si="24"/>
        <v>94.92</v>
      </c>
      <c r="EF30" s="789">
        <v>60.31</v>
      </c>
      <c r="EG30" s="367"/>
      <c r="EH30" s="367"/>
      <c r="EI30" s="790"/>
      <c r="EJ30" s="791">
        <f t="shared" si="25"/>
        <v>60.31</v>
      </c>
      <c r="EK30" s="789">
        <v>61.62</v>
      </c>
      <c r="EL30" s="367">
        <v>58.21</v>
      </c>
      <c r="EM30" s="367"/>
      <c r="EN30" s="790"/>
      <c r="EO30" s="791">
        <f t="shared" si="26"/>
        <v>119.83</v>
      </c>
      <c r="EP30" s="789">
        <v>50.02</v>
      </c>
      <c r="EQ30" s="367">
        <v>26.37</v>
      </c>
      <c r="ER30" s="367"/>
      <c r="ES30" s="790"/>
      <c r="ET30" s="791">
        <f t="shared" si="27"/>
        <v>76.39</v>
      </c>
      <c r="EU30" s="789">
        <v>47.56</v>
      </c>
      <c r="EV30" s="367">
        <v>37.479999999999997</v>
      </c>
      <c r="EW30" s="367">
        <v>7.71</v>
      </c>
      <c r="EX30" s="790"/>
      <c r="EY30" s="791">
        <f t="shared" si="28"/>
        <v>92.749999999999986</v>
      </c>
      <c r="EZ30" s="789">
        <v>31.29</v>
      </c>
      <c r="FA30" s="367">
        <v>50.69</v>
      </c>
      <c r="FB30" s="367">
        <v>2.5</v>
      </c>
      <c r="FC30" s="790"/>
      <c r="FD30" s="791">
        <f t="shared" si="29"/>
        <v>84.47999999999999</v>
      </c>
      <c r="FE30" s="789">
        <v>54.21</v>
      </c>
      <c r="FF30" s="367">
        <v>63.44</v>
      </c>
      <c r="FG30" s="367"/>
      <c r="FH30" s="790"/>
      <c r="FI30" s="791">
        <f t="shared" si="30"/>
        <v>117.65</v>
      </c>
      <c r="FJ30" s="789">
        <v>72.87</v>
      </c>
      <c r="FK30" s="367">
        <v>66.86</v>
      </c>
      <c r="FL30" s="367"/>
      <c r="FM30" s="790"/>
      <c r="FN30" s="791">
        <f t="shared" si="31"/>
        <v>139.73000000000002</v>
      </c>
      <c r="FO30" s="789">
        <v>64.69</v>
      </c>
      <c r="FP30" s="367">
        <v>73.290000000000006</v>
      </c>
      <c r="FQ30" s="367"/>
      <c r="FR30" s="790"/>
      <c r="FS30" s="791">
        <f t="shared" si="32"/>
        <v>137.98000000000002</v>
      </c>
      <c r="FT30" s="789">
        <v>69.89</v>
      </c>
      <c r="FU30" s="367">
        <v>73.180000000000007</v>
      </c>
      <c r="FV30" s="367"/>
      <c r="FW30" s="790"/>
      <c r="FX30" s="791">
        <f t="shared" si="33"/>
        <v>143.07</v>
      </c>
      <c r="FY30" s="789">
        <v>73.08</v>
      </c>
      <c r="FZ30" s="367">
        <v>74.989999999999995</v>
      </c>
      <c r="GA30" s="367"/>
      <c r="GB30" s="790"/>
      <c r="GC30" s="791">
        <f t="shared" si="34"/>
        <v>148.07</v>
      </c>
      <c r="GD30" s="789">
        <v>60.25</v>
      </c>
      <c r="GE30" s="367">
        <v>48.41</v>
      </c>
      <c r="GF30" s="367"/>
      <c r="GG30" s="790"/>
      <c r="GH30" s="791">
        <f t="shared" si="35"/>
        <v>108.66</v>
      </c>
      <c r="GI30" s="455">
        <f t="shared" si="7"/>
        <v>1323.84</v>
      </c>
      <c r="GJ30" s="302">
        <v>47.8</v>
      </c>
      <c r="GK30" s="303">
        <v>38.65</v>
      </c>
      <c r="GL30" s="303"/>
      <c r="GM30" s="304"/>
      <c r="GN30" s="305">
        <f t="shared" si="36"/>
        <v>86.449999999999989</v>
      </c>
      <c r="GO30" s="302">
        <v>30.27</v>
      </c>
      <c r="GP30" s="303">
        <v>20.51</v>
      </c>
      <c r="GQ30" s="303"/>
      <c r="GR30" s="304"/>
      <c r="GS30" s="305">
        <f t="shared" si="37"/>
        <v>50.78</v>
      </c>
      <c r="GT30" s="302">
        <v>24.16</v>
      </c>
      <c r="GU30" s="303">
        <v>21.92</v>
      </c>
      <c r="GV30" s="303"/>
      <c r="GW30" s="304"/>
      <c r="GX30" s="305">
        <f t="shared" si="38"/>
        <v>46.08</v>
      </c>
      <c r="GY30" s="302">
        <v>20.9</v>
      </c>
      <c r="GZ30" s="303">
        <v>49.48</v>
      </c>
      <c r="HA30" s="303"/>
      <c r="HB30" s="304"/>
      <c r="HC30" s="305">
        <f t="shared" si="39"/>
        <v>70.38</v>
      </c>
      <c r="HD30" s="302">
        <v>39.369999999999997</v>
      </c>
      <c r="HE30" s="303">
        <v>29.69</v>
      </c>
      <c r="HF30" s="303">
        <v>8.5399999999999991</v>
      </c>
      <c r="HG30" s="304"/>
      <c r="HH30" s="305">
        <f t="shared" si="40"/>
        <v>77.599999999999994</v>
      </c>
      <c r="HI30" s="302">
        <v>53.6</v>
      </c>
      <c r="HJ30" s="303">
        <v>51.84</v>
      </c>
      <c r="HK30" s="303"/>
      <c r="HL30" s="304"/>
      <c r="HM30" s="305">
        <f t="shared" si="41"/>
        <v>105.44</v>
      </c>
      <c r="HN30" s="302">
        <v>62.45</v>
      </c>
      <c r="HO30" s="303">
        <v>61.58</v>
      </c>
      <c r="HP30" s="303">
        <v>36.35</v>
      </c>
      <c r="HQ30" s="304"/>
      <c r="HR30" s="305">
        <f t="shared" si="42"/>
        <v>160.38</v>
      </c>
      <c r="HS30" s="302">
        <v>10</v>
      </c>
      <c r="HT30" s="303">
        <v>105.14</v>
      </c>
      <c r="HU30" s="303"/>
      <c r="HV30" s="304"/>
      <c r="HW30" s="305">
        <f t="shared" si="43"/>
        <v>115.14</v>
      </c>
      <c r="HX30" s="302">
        <v>122.07</v>
      </c>
      <c r="HY30" s="303">
        <v>20.48</v>
      </c>
      <c r="HZ30" s="303"/>
      <c r="IA30" s="304"/>
      <c r="IB30" s="305">
        <f t="shared" si="44"/>
        <v>142.54999999999998</v>
      </c>
      <c r="IC30" s="302">
        <v>108.95</v>
      </c>
      <c r="ID30" s="303">
        <f>81.06+1.09</f>
        <v>82.15</v>
      </c>
      <c r="IE30" s="303">
        <v>8.81</v>
      </c>
      <c r="IF30" s="304"/>
      <c r="IG30" s="305">
        <f t="shared" si="45"/>
        <v>199.91000000000003</v>
      </c>
      <c r="IH30" s="61">
        <f>55.54+0.34</f>
        <v>55.88</v>
      </c>
      <c r="II30" s="62">
        <v>61.53</v>
      </c>
      <c r="IJ30" s="62">
        <v>36.82</v>
      </c>
      <c r="IK30" s="301"/>
      <c r="IL30" s="300">
        <f t="shared" si="46"/>
        <v>154.22999999999999</v>
      </c>
      <c r="IM30" s="61">
        <v>46.57</v>
      </c>
      <c r="IN30" s="62">
        <v>49.48</v>
      </c>
      <c r="IO30" s="301"/>
      <c r="IP30" s="296"/>
      <c r="IQ30" s="442">
        <f t="shared" si="47"/>
        <v>96.05</v>
      </c>
      <c r="IR30" s="442"/>
      <c r="IS30" s="455">
        <f t="shared" si="48"/>
        <v>1304.9899999999998</v>
      </c>
      <c r="IT30" s="449">
        <v>40.67</v>
      </c>
      <c r="IU30" s="33">
        <v>54.79</v>
      </c>
      <c r="IV30" s="33"/>
      <c r="IW30" s="296"/>
      <c r="IX30" s="298">
        <f t="shared" si="49"/>
        <v>95.460000000000008</v>
      </c>
      <c r="IY30" s="32">
        <v>54.6</v>
      </c>
      <c r="IZ30" s="33">
        <v>4.84</v>
      </c>
      <c r="JA30" s="33"/>
      <c r="JB30" s="296"/>
      <c r="JC30" s="298">
        <f t="shared" si="50"/>
        <v>59.44</v>
      </c>
      <c r="JD30" s="32">
        <v>34.99</v>
      </c>
      <c r="JE30" s="33">
        <v>48.74</v>
      </c>
      <c r="JF30" s="33"/>
      <c r="JG30" s="296"/>
      <c r="JH30" s="298">
        <f t="shared" si="51"/>
        <v>83.73</v>
      </c>
      <c r="JI30" s="32">
        <v>109.54</v>
      </c>
      <c r="JJ30" s="33">
        <v>50.39</v>
      </c>
      <c r="JK30" s="33"/>
      <c r="JL30" s="296"/>
      <c r="JM30" s="298">
        <f t="shared" si="52"/>
        <v>159.93</v>
      </c>
      <c r="JN30" s="32">
        <v>43.19</v>
      </c>
      <c r="JO30" s="33">
        <v>32.5</v>
      </c>
      <c r="JP30" s="33">
        <v>36.5</v>
      </c>
      <c r="JQ30" s="296"/>
      <c r="JR30" s="298">
        <f t="shared" si="53"/>
        <v>112.19</v>
      </c>
      <c r="JS30" s="32">
        <v>38.979999999999997</v>
      </c>
      <c r="JT30" s="33">
        <v>30.59</v>
      </c>
      <c r="JU30" s="33"/>
      <c r="JV30" s="296"/>
      <c r="JW30" s="298">
        <f t="shared" si="54"/>
        <v>69.569999999999993</v>
      </c>
      <c r="JX30" s="32">
        <v>48.52</v>
      </c>
      <c r="JY30" s="33">
        <v>47.16</v>
      </c>
      <c r="JZ30" s="33"/>
      <c r="KA30" s="296"/>
      <c r="KB30" s="298">
        <f t="shared" si="55"/>
        <v>95.68</v>
      </c>
      <c r="KC30" s="32">
        <v>52.89</v>
      </c>
      <c r="KD30" s="33">
        <v>46.99</v>
      </c>
      <c r="KE30" s="33">
        <v>11.29</v>
      </c>
      <c r="KF30" s="296"/>
      <c r="KG30" s="298">
        <f t="shared" si="56"/>
        <v>111.16999999999999</v>
      </c>
      <c r="KH30" s="32">
        <v>30.470000000000002</v>
      </c>
      <c r="KI30" s="33">
        <v>68.490000000000009</v>
      </c>
      <c r="KJ30" s="33">
        <v>47</v>
      </c>
      <c r="KK30" s="296">
        <v>0</v>
      </c>
      <c r="KL30" s="298">
        <f t="shared" si="57"/>
        <v>145.96</v>
      </c>
      <c r="KM30" s="32">
        <v>87.73</v>
      </c>
      <c r="KN30" s="33">
        <v>17.68</v>
      </c>
      <c r="KO30" s="33">
        <v>0</v>
      </c>
      <c r="KP30" s="296">
        <v>0</v>
      </c>
      <c r="KQ30" s="298">
        <f t="shared" si="58"/>
        <v>105.41</v>
      </c>
      <c r="KR30" s="32">
        <v>69.41</v>
      </c>
      <c r="KS30" s="33">
        <v>94.26</v>
      </c>
      <c r="KT30" s="33">
        <v>0</v>
      </c>
      <c r="KU30" s="296">
        <v>0</v>
      </c>
      <c r="KV30" s="298">
        <f t="shared" si="59"/>
        <v>163.67000000000002</v>
      </c>
      <c r="KW30" s="32">
        <v>101.30000000000001</v>
      </c>
      <c r="KX30" s="33">
        <v>20.9</v>
      </c>
      <c r="KY30" s="33">
        <v>0</v>
      </c>
      <c r="KZ30" s="296">
        <v>0</v>
      </c>
      <c r="LA30" s="298">
        <f t="shared" si="8"/>
        <v>122.20000000000002</v>
      </c>
      <c r="LB30" s="455">
        <f t="shared" si="60"/>
        <v>1324.41</v>
      </c>
      <c r="LC30" s="32">
        <f t="shared" si="9"/>
        <v>32.61</v>
      </c>
      <c r="LD30" s="33">
        <f t="shared" si="10"/>
        <v>37.53</v>
      </c>
      <c r="LE30" s="33">
        <f t="shared" si="11"/>
        <v>23.66</v>
      </c>
      <c r="LF30" s="296">
        <f t="shared" si="12"/>
        <v>0</v>
      </c>
      <c r="LG30" s="298">
        <f t="shared" si="13"/>
        <v>93.8</v>
      </c>
      <c r="LH30" s="32"/>
      <c r="LI30" s="33"/>
      <c r="LJ30" s="33"/>
      <c r="LK30" s="296"/>
      <c r="LL30" s="298">
        <f t="shared" si="61"/>
        <v>0</v>
      </c>
      <c r="LM30" s="32"/>
      <c r="LN30" s="33"/>
      <c r="LO30" s="33"/>
      <c r="LP30" s="296"/>
      <c r="LQ30" s="298">
        <f t="shared" si="62"/>
        <v>0</v>
      </c>
      <c r="LR30" s="32"/>
      <c r="LS30" s="33"/>
      <c r="LT30" s="33"/>
      <c r="LU30" s="296"/>
      <c r="LV30" s="298">
        <f t="shared" si="63"/>
        <v>0</v>
      </c>
      <c r="LW30" s="32"/>
      <c r="LX30" s="33"/>
      <c r="LY30" s="33"/>
      <c r="LZ30" s="296"/>
      <c r="MA30" s="298">
        <f t="shared" si="64"/>
        <v>0</v>
      </c>
      <c r="MB30" s="32"/>
      <c r="MC30" s="33"/>
      <c r="MD30" s="33"/>
      <c r="ME30" s="296"/>
      <c r="MF30" s="298">
        <f t="shared" si="65"/>
        <v>0</v>
      </c>
      <c r="MG30" s="32"/>
      <c r="MH30" s="33"/>
      <c r="MI30" s="33"/>
      <c r="MJ30" s="296"/>
      <c r="MK30" s="298">
        <f t="shared" si="66"/>
        <v>0</v>
      </c>
      <c r="ML30" s="32"/>
      <c r="MM30" s="33"/>
      <c r="MN30" s="33"/>
      <c r="MO30" s="296"/>
      <c r="MP30" s="298">
        <f t="shared" si="67"/>
        <v>0</v>
      </c>
      <c r="MQ30" s="32"/>
      <c r="MR30" s="33"/>
      <c r="MS30" s="33"/>
      <c r="MT30" s="296"/>
      <c r="MU30" s="298">
        <f t="shared" si="68"/>
        <v>0</v>
      </c>
      <c r="MV30" s="32"/>
      <c r="MW30" s="33"/>
      <c r="MX30" s="33"/>
      <c r="MY30" s="296"/>
      <c r="MZ30" s="298">
        <f t="shared" si="69"/>
        <v>0</v>
      </c>
      <c r="NA30" s="32"/>
      <c r="NB30" s="33"/>
      <c r="NC30" s="33"/>
      <c r="ND30" s="296"/>
      <c r="NE30" s="298">
        <f t="shared" si="70"/>
        <v>0</v>
      </c>
      <c r="NF30" s="32"/>
      <c r="NG30" s="33"/>
      <c r="NH30" s="33"/>
      <c r="NI30" s="296"/>
      <c r="NJ30" s="298">
        <f t="shared" si="14"/>
        <v>0</v>
      </c>
      <c r="NK30" s="455">
        <f t="shared" si="71"/>
        <v>93.8</v>
      </c>
    </row>
    <row r="31" spans="1:375" ht="15.75" x14ac:dyDescent="0.25">
      <c r="A31" s="323"/>
      <c r="B31" s="282">
        <v>22</v>
      </c>
      <c r="C31" s="283">
        <v>52.3</v>
      </c>
      <c r="D31" s="284">
        <v>33.94</v>
      </c>
      <c r="E31" s="285"/>
      <c r="F31" s="286"/>
      <c r="G31" s="287"/>
      <c r="H31" s="288">
        <f t="shared" si="15"/>
        <v>33.94</v>
      </c>
      <c r="I31" s="289">
        <v>50.89</v>
      </c>
      <c r="J31" s="290">
        <v>47.71</v>
      </c>
      <c r="K31" s="290"/>
      <c r="L31" s="291"/>
      <c r="M31" s="256">
        <f t="shared" si="16"/>
        <v>98.6</v>
      </c>
      <c r="N31" s="289">
        <v>44.1</v>
      </c>
      <c r="O31" s="290"/>
      <c r="P31" s="290"/>
      <c r="Q31" s="291"/>
      <c r="R31" s="256">
        <f t="shared" si="0"/>
        <v>44.1</v>
      </c>
      <c r="S31" s="289">
        <v>19.18</v>
      </c>
      <c r="T31" s="290">
        <v>27.01</v>
      </c>
      <c r="U31" s="290">
        <v>25.01</v>
      </c>
      <c r="V31" s="291"/>
      <c r="W31" s="256">
        <f t="shared" si="1"/>
        <v>71.2</v>
      </c>
      <c r="X31" s="289">
        <v>27.18</v>
      </c>
      <c r="Y31" s="290">
        <v>33.49</v>
      </c>
      <c r="Z31" s="290">
        <v>10.7</v>
      </c>
      <c r="AA31" s="291"/>
      <c r="AB31" s="256">
        <f t="shared" si="17"/>
        <v>71.37</v>
      </c>
      <c r="AC31" s="292">
        <v>52.9</v>
      </c>
      <c r="AD31" s="293">
        <v>16.34</v>
      </c>
      <c r="AE31" s="293"/>
      <c r="AF31" s="294"/>
      <c r="AG31" s="260">
        <f t="shared" si="18"/>
        <v>69.239999999999995</v>
      </c>
      <c r="AH31" s="292">
        <v>34.200000000000003</v>
      </c>
      <c r="AI31" s="293">
        <v>18.579999999999998</v>
      </c>
      <c r="AJ31" s="320">
        <v>29.48</v>
      </c>
      <c r="AK31" s="294"/>
      <c r="AL31" s="295">
        <f t="shared" si="72"/>
        <v>82.26</v>
      </c>
      <c r="AM31" s="32">
        <v>37.39</v>
      </c>
      <c r="AN31" s="33">
        <v>47.69</v>
      </c>
      <c r="AO31" s="33"/>
      <c r="AP31" s="296"/>
      <c r="AQ31" s="297">
        <f t="shared" si="73"/>
        <v>85.08</v>
      </c>
      <c r="AR31" s="32">
        <v>40.369999999999997</v>
      </c>
      <c r="AS31" s="33">
        <v>53.82</v>
      </c>
      <c r="AT31" s="33"/>
      <c r="AU31" s="296"/>
      <c r="AV31" s="298">
        <f t="shared" si="74"/>
        <v>94.19</v>
      </c>
      <c r="AW31" s="32">
        <v>46.04</v>
      </c>
      <c r="AX31" s="33">
        <v>62.26</v>
      </c>
      <c r="AY31" s="33"/>
      <c r="AZ31" s="296"/>
      <c r="BA31" s="298">
        <f t="shared" si="82"/>
        <v>108.3</v>
      </c>
      <c r="BB31" s="32">
        <v>75.95</v>
      </c>
      <c r="BC31" s="33"/>
      <c r="BD31" s="33"/>
      <c r="BE31" s="296"/>
      <c r="BF31" s="298">
        <f t="shared" si="83"/>
        <v>75.95</v>
      </c>
      <c r="BG31" s="32">
        <v>58.63</v>
      </c>
      <c r="BH31" s="33">
        <v>37.229999999999997</v>
      </c>
      <c r="BI31" s="33"/>
      <c r="BJ31" s="299"/>
      <c r="BK31" s="298">
        <f t="shared" si="76"/>
        <v>95.86</v>
      </c>
      <c r="BL31" s="32">
        <v>41.96</v>
      </c>
      <c r="BM31" s="33">
        <v>29.03</v>
      </c>
      <c r="BN31" s="33"/>
      <c r="BO31" s="299"/>
      <c r="BP31" s="297">
        <f t="shared" si="77"/>
        <v>70.990000000000009</v>
      </c>
      <c r="BQ31" s="455">
        <f t="shared" si="2"/>
        <v>967.14</v>
      </c>
      <c r="BR31" s="32">
        <v>23.02</v>
      </c>
      <c r="BS31" s="43">
        <v>21.28</v>
      </c>
      <c r="BT31" s="43">
        <v>11.01</v>
      </c>
      <c r="BU31" s="781"/>
      <c r="BV31" s="782">
        <f t="shared" si="19"/>
        <v>55.309999999999995</v>
      </c>
      <c r="BW31" s="783">
        <v>24.58</v>
      </c>
      <c r="BX31" s="43">
        <v>15.7</v>
      </c>
      <c r="BY31" s="43"/>
      <c r="BZ31" s="781"/>
      <c r="CA31" s="784">
        <f t="shared" si="20"/>
        <v>40.28</v>
      </c>
      <c r="CB31" s="785">
        <v>20.43</v>
      </c>
      <c r="CC31" s="786">
        <v>17.09</v>
      </c>
      <c r="CD31" s="786"/>
      <c r="CE31" s="787"/>
      <c r="CF31" s="788">
        <f t="shared" si="78"/>
        <v>37.519999999999996</v>
      </c>
      <c r="CG31" s="785">
        <v>26.56</v>
      </c>
      <c r="CH31" s="786">
        <v>23.63</v>
      </c>
      <c r="CI31" s="786"/>
      <c r="CJ31" s="787"/>
      <c r="CK31" s="788">
        <f t="shared" si="79"/>
        <v>50.19</v>
      </c>
      <c r="CL31" s="785">
        <v>29.68</v>
      </c>
      <c r="CM31" s="786">
        <v>28.21</v>
      </c>
      <c r="CN31" s="786">
        <v>20.52</v>
      </c>
      <c r="CO31" s="787"/>
      <c r="CP31" s="788">
        <f t="shared" si="80"/>
        <v>78.41</v>
      </c>
      <c r="CQ31" s="789">
        <v>24.21</v>
      </c>
      <c r="CR31" s="367">
        <v>33.119999999999997</v>
      </c>
      <c r="CS31" s="367"/>
      <c r="CT31" s="790"/>
      <c r="CU31" s="791">
        <v>57.33</v>
      </c>
      <c r="CV31" s="789">
        <v>37.06</v>
      </c>
      <c r="CW31" s="367">
        <v>40.770000000000003</v>
      </c>
      <c r="CX31" s="367"/>
      <c r="CY31" s="790"/>
      <c r="CZ31" s="791">
        <f t="shared" si="3"/>
        <v>77.830000000000013</v>
      </c>
      <c r="DA31" s="789">
        <v>52.6</v>
      </c>
      <c r="DB31" s="367">
        <v>52.46</v>
      </c>
      <c r="DC31" s="367">
        <v>32.71</v>
      </c>
      <c r="DD31" s="790"/>
      <c r="DE31" s="791">
        <f t="shared" si="4"/>
        <v>137.77000000000001</v>
      </c>
      <c r="DF31" s="789">
        <v>30.39</v>
      </c>
      <c r="DG31" s="367">
        <v>57.26</v>
      </c>
      <c r="DH31" s="367"/>
      <c r="DI31" s="790"/>
      <c r="DJ31" s="791">
        <f t="shared" si="5"/>
        <v>87.65</v>
      </c>
      <c r="DK31" s="789">
        <v>53.17</v>
      </c>
      <c r="DL31" s="367">
        <v>50.42</v>
      </c>
      <c r="DM31" s="367"/>
      <c r="DN31" s="790"/>
      <c r="DO31" s="791">
        <f t="shared" si="21"/>
        <v>103.59</v>
      </c>
      <c r="DP31" s="789">
        <v>51.02</v>
      </c>
      <c r="DQ31" s="367">
        <v>32.869999999999997</v>
      </c>
      <c r="DR31" s="367"/>
      <c r="DS31" s="790"/>
      <c r="DT31" s="791">
        <f t="shared" si="22"/>
        <v>83.89</v>
      </c>
      <c r="DU31" s="789">
        <v>50.97</v>
      </c>
      <c r="DV31" s="367">
        <v>40.840000000000003</v>
      </c>
      <c r="DW31" s="367"/>
      <c r="DX31" s="790"/>
      <c r="DY31" s="791">
        <f t="shared" si="23"/>
        <v>91.81</v>
      </c>
      <c r="DZ31" s="455">
        <f t="shared" si="6"/>
        <v>901.57999999999993</v>
      </c>
      <c r="EA31" s="789">
        <v>36.94</v>
      </c>
      <c r="EB31" s="367">
        <v>26.85</v>
      </c>
      <c r="EC31" s="367"/>
      <c r="ED31" s="790"/>
      <c r="EE31" s="791">
        <f t="shared" si="24"/>
        <v>63.79</v>
      </c>
      <c r="EF31" s="789">
        <v>38.15</v>
      </c>
      <c r="EG31" s="367"/>
      <c r="EH31" s="367"/>
      <c r="EI31" s="790"/>
      <c r="EJ31" s="791">
        <f t="shared" si="25"/>
        <v>38.15</v>
      </c>
      <c r="EK31" s="789">
        <v>30.2</v>
      </c>
      <c r="EL31" s="367">
        <v>33.78</v>
      </c>
      <c r="EM31" s="367"/>
      <c r="EN31" s="790"/>
      <c r="EO31" s="791">
        <f t="shared" si="26"/>
        <v>63.980000000000004</v>
      </c>
      <c r="EP31" s="789">
        <v>22.65</v>
      </c>
      <c r="EQ31" s="367">
        <v>22.29</v>
      </c>
      <c r="ER31" s="367"/>
      <c r="ES31" s="790"/>
      <c r="ET31" s="791">
        <f t="shared" si="27"/>
        <v>44.94</v>
      </c>
      <c r="EU31" s="789">
        <v>29.54</v>
      </c>
      <c r="EV31" s="367">
        <v>26.22</v>
      </c>
      <c r="EW31" s="367"/>
      <c r="EX31" s="790"/>
      <c r="EY31" s="791">
        <f t="shared" si="28"/>
        <v>55.76</v>
      </c>
      <c r="EZ31" s="789">
        <v>22.99</v>
      </c>
      <c r="FA31" s="367">
        <v>39.01</v>
      </c>
      <c r="FB31" s="367"/>
      <c r="FC31" s="790"/>
      <c r="FD31" s="791">
        <f t="shared" si="29"/>
        <v>62</v>
      </c>
      <c r="FE31" s="789">
        <v>35.57</v>
      </c>
      <c r="FF31" s="367">
        <v>47.87</v>
      </c>
      <c r="FG31" s="367"/>
      <c r="FH31" s="790"/>
      <c r="FI31" s="791">
        <f t="shared" si="30"/>
        <v>83.44</v>
      </c>
      <c r="FJ31" s="789">
        <v>47.65</v>
      </c>
      <c r="FK31" s="367">
        <v>43.47</v>
      </c>
      <c r="FL31" s="367"/>
      <c r="FM31" s="790"/>
      <c r="FN31" s="791">
        <f t="shared" si="31"/>
        <v>91.12</v>
      </c>
      <c r="FO31" s="789">
        <v>44.24</v>
      </c>
      <c r="FP31" s="367">
        <v>45.46</v>
      </c>
      <c r="FQ31" s="367"/>
      <c r="FR31" s="790"/>
      <c r="FS31" s="791">
        <f t="shared" si="32"/>
        <v>89.7</v>
      </c>
      <c r="FT31" s="789">
        <v>49.43</v>
      </c>
      <c r="FU31" s="367">
        <v>50.9</v>
      </c>
      <c r="FV31" s="367"/>
      <c r="FW31" s="790"/>
      <c r="FX31" s="791">
        <f t="shared" si="33"/>
        <v>100.33</v>
      </c>
      <c r="FY31" s="789">
        <v>49.04</v>
      </c>
      <c r="FZ31" s="367">
        <v>47.02</v>
      </c>
      <c r="GA31" s="367"/>
      <c r="GB31" s="790"/>
      <c r="GC31" s="791">
        <f t="shared" si="34"/>
        <v>96.06</v>
      </c>
      <c r="GD31" s="789">
        <v>39.03</v>
      </c>
      <c r="GE31" s="367">
        <v>31.71</v>
      </c>
      <c r="GF31" s="367"/>
      <c r="GG31" s="790"/>
      <c r="GH31" s="791">
        <f t="shared" si="35"/>
        <v>70.740000000000009</v>
      </c>
      <c r="GI31" s="455">
        <f t="shared" si="7"/>
        <v>860.01</v>
      </c>
      <c r="GJ31" s="302">
        <v>33.450000000000003</v>
      </c>
      <c r="GK31" s="303">
        <v>25.22</v>
      </c>
      <c r="GL31" s="303"/>
      <c r="GM31" s="304"/>
      <c r="GN31" s="305">
        <f t="shared" si="36"/>
        <v>58.67</v>
      </c>
      <c r="GO31" s="302">
        <v>20.78</v>
      </c>
      <c r="GP31" s="303">
        <v>15.28</v>
      </c>
      <c r="GQ31" s="303"/>
      <c r="GR31" s="304"/>
      <c r="GS31" s="305">
        <f t="shared" si="37"/>
        <v>36.06</v>
      </c>
      <c r="GT31" s="302">
        <v>16.43</v>
      </c>
      <c r="GU31" s="303">
        <v>10.62</v>
      </c>
      <c r="GV31" s="303"/>
      <c r="GW31" s="304"/>
      <c r="GX31" s="305">
        <f t="shared" si="38"/>
        <v>27.049999999999997</v>
      </c>
      <c r="GY31" s="302">
        <v>16.18</v>
      </c>
      <c r="GZ31" s="303">
        <v>27.63</v>
      </c>
      <c r="HA31" s="303"/>
      <c r="HB31" s="304"/>
      <c r="HC31" s="305">
        <f t="shared" si="39"/>
        <v>43.81</v>
      </c>
      <c r="HD31" s="302">
        <v>16.559999999999999</v>
      </c>
      <c r="HE31" s="303">
        <v>22.03</v>
      </c>
      <c r="HF31" s="303"/>
      <c r="HG31" s="304"/>
      <c r="HH31" s="305">
        <f t="shared" si="40"/>
        <v>38.590000000000003</v>
      </c>
      <c r="HI31" s="302">
        <v>28.5</v>
      </c>
      <c r="HJ31" s="303">
        <v>30.42</v>
      </c>
      <c r="HK31" s="303"/>
      <c r="HL31" s="304"/>
      <c r="HM31" s="305">
        <f t="shared" si="41"/>
        <v>58.92</v>
      </c>
      <c r="HN31" s="302">
        <v>40.74</v>
      </c>
      <c r="HO31" s="303">
        <v>28.13</v>
      </c>
      <c r="HP31" s="303"/>
      <c r="HQ31" s="304"/>
      <c r="HR31" s="305">
        <f t="shared" si="42"/>
        <v>68.87</v>
      </c>
      <c r="HS31" s="302">
        <v>32.130000000000003</v>
      </c>
      <c r="HT31" s="303">
        <v>68.430000000000007</v>
      </c>
      <c r="HU31" s="303"/>
      <c r="HV31" s="304"/>
      <c r="HW31" s="305">
        <f t="shared" si="43"/>
        <v>100.56</v>
      </c>
      <c r="HX31" s="302">
        <v>75.260000000000005</v>
      </c>
      <c r="HY31" s="308"/>
      <c r="HZ31" s="303"/>
      <c r="IA31" s="304"/>
      <c r="IB31" s="305">
        <f t="shared" si="44"/>
        <v>75.260000000000005</v>
      </c>
      <c r="IC31" s="302">
        <v>83.04</v>
      </c>
      <c r="ID31" s="303">
        <v>50.38</v>
      </c>
      <c r="IE31" s="303"/>
      <c r="IF31" s="304"/>
      <c r="IG31" s="305">
        <f t="shared" si="45"/>
        <v>133.42000000000002</v>
      </c>
      <c r="IH31" s="61">
        <v>40.15</v>
      </c>
      <c r="II31" s="62">
        <v>35.04</v>
      </c>
      <c r="IJ31" s="62">
        <v>18.22</v>
      </c>
      <c r="IK31" s="301"/>
      <c r="IL31" s="300">
        <f t="shared" si="46"/>
        <v>93.41</v>
      </c>
      <c r="IM31" s="61">
        <v>7.25</v>
      </c>
      <c r="IN31" s="62">
        <v>29.27</v>
      </c>
      <c r="IO31" s="301">
        <v>31.16</v>
      </c>
      <c r="IP31" s="296"/>
      <c r="IQ31" s="442">
        <f t="shared" si="47"/>
        <v>67.679999999999993</v>
      </c>
      <c r="IR31" s="442"/>
      <c r="IS31" s="455">
        <f t="shared" si="48"/>
        <v>802.3</v>
      </c>
      <c r="IT31" s="449">
        <v>30.8</v>
      </c>
      <c r="IU31" s="309"/>
      <c r="IV31" s="33"/>
      <c r="IW31" s="296"/>
      <c r="IX31" s="298">
        <f t="shared" si="49"/>
        <v>30.8</v>
      </c>
      <c r="IY31" s="32">
        <v>45.27</v>
      </c>
      <c r="IZ31" s="33">
        <v>29.23</v>
      </c>
      <c r="JA31" s="33"/>
      <c r="JB31" s="296"/>
      <c r="JC31" s="298">
        <f t="shared" si="50"/>
        <v>74.5</v>
      </c>
      <c r="JD31" s="32">
        <v>24.74</v>
      </c>
      <c r="JE31" s="33">
        <v>30.52</v>
      </c>
      <c r="JF31" s="33"/>
      <c r="JG31" s="296"/>
      <c r="JH31" s="298">
        <f t="shared" si="51"/>
        <v>55.26</v>
      </c>
      <c r="JI31" s="32">
        <v>55.47</v>
      </c>
      <c r="JJ31" s="33">
        <v>22.66</v>
      </c>
      <c r="JK31" s="33"/>
      <c r="JL31" s="296"/>
      <c r="JM31" s="298">
        <f t="shared" si="52"/>
        <v>78.13</v>
      </c>
      <c r="JN31" s="32">
        <v>16.579999999999998</v>
      </c>
      <c r="JO31" s="33">
        <v>23.98</v>
      </c>
      <c r="JP31" s="33"/>
      <c r="JQ31" s="296"/>
      <c r="JR31" s="298">
        <f t="shared" si="53"/>
        <v>40.56</v>
      </c>
      <c r="JS31" s="32">
        <v>42.1</v>
      </c>
      <c r="JT31" s="33">
        <v>3.71</v>
      </c>
      <c r="JU31" s="33">
        <v>19.190000000000001</v>
      </c>
      <c r="JV31" s="296"/>
      <c r="JW31" s="298">
        <f t="shared" si="54"/>
        <v>65</v>
      </c>
      <c r="JX31" s="32">
        <v>33.6</v>
      </c>
      <c r="JY31" s="33">
        <v>32.76</v>
      </c>
      <c r="JZ31" s="33"/>
      <c r="KA31" s="296"/>
      <c r="KB31" s="298">
        <f t="shared" si="55"/>
        <v>66.36</v>
      </c>
      <c r="KC31" s="32">
        <v>36.17</v>
      </c>
      <c r="KD31" s="33">
        <v>30.43</v>
      </c>
      <c r="KE31" s="33"/>
      <c r="KF31" s="296"/>
      <c r="KG31" s="298">
        <f t="shared" si="56"/>
        <v>66.599999999999994</v>
      </c>
      <c r="KH31" s="32">
        <v>32.760000000000005</v>
      </c>
      <c r="KI31" s="33">
        <v>46.08</v>
      </c>
      <c r="KJ31" s="33">
        <v>18.97</v>
      </c>
      <c r="KK31" s="296">
        <v>0</v>
      </c>
      <c r="KL31" s="298">
        <f t="shared" si="57"/>
        <v>97.81</v>
      </c>
      <c r="KM31" s="32">
        <v>20.939999999999998</v>
      </c>
      <c r="KN31" s="33">
        <v>63.26</v>
      </c>
      <c r="KO31" s="33">
        <v>0</v>
      </c>
      <c r="KP31" s="296">
        <v>0</v>
      </c>
      <c r="KQ31" s="298">
        <f t="shared" si="58"/>
        <v>84.199999999999989</v>
      </c>
      <c r="KR31" s="32">
        <v>55.65</v>
      </c>
      <c r="KS31" s="33">
        <v>66.52</v>
      </c>
      <c r="KT31" s="33">
        <v>0</v>
      </c>
      <c r="KU31" s="296">
        <v>0</v>
      </c>
      <c r="KV31" s="298">
        <f t="shared" si="59"/>
        <v>122.16999999999999</v>
      </c>
      <c r="KW31" s="32">
        <v>64.45</v>
      </c>
      <c r="KX31" s="33">
        <v>0</v>
      </c>
      <c r="KY31" s="33">
        <v>0</v>
      </c>
      <c r="KZ31" s="296">
        <v>0</v>
      </c>
      <c r="LA31" s="298">
        <f t="shared" si="8"/>
        <v>64.45</v>
      </c>
      <c r="LB31" s="455">
        <f t="shared" si="60"/>
        <v>845.84</v>
      </c>
      <c r="LC31" s="32">
        <f t="shared" si="9"/>
        <v>41.25</v>
      </c>
      <c r="LD31" s="33">
        <f t="shared" si="10"/>
        <v>19.259999999999998</v>
      </c>
      <c r="LE31" s="33">
        <f t="shared" si="11"/>
        <v>24.229999999999997</v>
      </c>
      <c r="LF31" s="296">
        <f t="shared" si="12"/>
        <v>0</v>
      </c>
      <c r="LG31" s="298">
        <f t="shared" si="13"/>
        <v>84.74</v>
      </c>
      <c r="LH31" s="32"/>
      <c r="LI31" s="33"/>
      <c r="LJ31" s="33"/>
      <c r="LK31" s="296"/>
      <c r="LL31" s="298">
        <f t="shared" si="61"/>
        <v>0</v>
      </c>
      <c r="LM31" s="32"/>
      <c r="LN31" s="33"/>
      <c r="LO31" s="33"/>
      <c r="LP31" s="296"/>
      <c r="LQ31" s="298">
        <f t="shared" si="62"/>
        <v>0</v>
      </c>
      <c r="LR31" s="32"/>
      <c r="LS31" s="33"/>
      <c r="LT31" s="33"/>
      <c r="LU31" s="296"/>
      <c r="LV31" s="298">
        <f t="shared" si="63"/>
        <v>0</v>
      </c>
      <c r="LW31" s="32"/>
      <c r="LX31" s="33"/>
      <c r="LY31" s="33"/>
      <c r="LZ31" s="296"/>
      <c r="MA31" s="298">
        <f t="shared" si="64"/>
        <v>0</v>
      </c>
      <c r="MB31" s="32"/>
      <c r="MC31" s="33"/>
      <c r="MD31" s="33"/>
      <c r="ME31" s="296"/>
      <c r="MF31" s="298">
        <f t="shared" si="65"/>
        <v>0</v>
      </c>
      <c r="MG31" s="32"/>
      <c r="MH31" s="33"/>
      <c r="MI31" s="33"/>
      <c r="MJ31" s="296"/>
      <c r="MK31" s="298">
        <f t="shared" si="66"/>
        <v>0</v>
      </c>
      <c r="ML31" s="32"/>
      <c r="MM31" s="33"/>
      <c r="MN31" s="33"/>
      <c r="MO31" s="296"/>
      <c r="MP31" s="298">
        <f t="shared" si="67"/>
        <v>0</v>
      </c>
      <c r="MQ31" s="32"/>
      <c r="MR31" s="33"/>
      <c r="MS31" s="33"/>
      <c r="MT31" s="296"/>
      <c r="MU31" s="298">
        <f t="shared" si="68"/>
        <v>0</v>
      </c>
      <c r="MV31" s="32"/>
      <c r="MW31" s="33"/>
      <c r="MX31" s="33"/>
      <c r="MY31" s="296"/>
      <c r="MZ31" s="298">
        <f t="shared" si="69"/>
        <v>0</v>
      </c>
      <c r="NA31" s="32"/>
      <c r="NB31" s="33"/>
      <c r="NC31" s="33"/>
      <c r="ND31" s="296"/>
      <c r="NE31" s="298">
        <f t="shared" si="70"/>
        <v>0</v>
      </c>
      <c r="NF31" s="32"/>
      <c r="NG31" s="33"/>
      <c r="NH31" s="33"/>
      <c r="NI31" s="296"/>
      <c r="NJ31" s="298">
        <f t="shared" si="14"/>
        <v>0</v>
      </c>
      <c r="NK31" s="455">
        <f t="shared" si="71"/>
        <v>84.74</v>
      </c>
    </row>
    <row r="32" spans="1:375" ht="16.5" thickBot="1" x14ac:dyDescent="0.3">
      <c r="A32" s="323"/>
      <c r="B32" s="282">
        <v>24</v>
      </c>
      <c r="C32" s="317">
        <v>44.7</v>
      </c>
      <c r="D32" s="284">
        <v>49.85</v>
      </c>
      <c r="E32" s="285"/>
      <c r="F32" s="286"/>
      <c r="G32" s="287"/>
      <c r="H32" s="288">
        <f t="shared" si="15"/>
        <v>49.85</v>
      </c>
      <c r="I32" s="289"/>
      <c r="J32" s="290"/>
      <c r="K32" s="290"/>
      <c r="L32" s="291"/>
      <c r="M32" s="256">
        <f t="shared" si="16"/>
        <v>0</v>
      </c>
      <c r="N32" s="289">
        <v>47</v>
      </c>
      <c r="O32" s="290"/>
      <c r="P32" s="290"/>
      <c r="Q32" s="291"/>
      <c r="R32" s="256">
        <f t="shared" si="0"/>
        <v>47</v>
      </c>
      <c r="S32" s="289">
        <v>28.85</v>
      </c>
      <c r="T32" s="290"/>
      <c r="U32" s="290"/>
      <c r="V32" s="291"/>
      <c r="W32" s="256">
        <f t="shared" si="1"/>
        <v>28.85</v>
      </c>
      <c r="X32" s="289">
        <v>45.93</v>
      </c>
      <c r="Y32" s="290"/>
      <c r="Z32" s="290"/>
      <c r="AA32" s="291"/>
      <c r="AB32" s="256">
        <f t="shared" si="17"/>
        <v>45.93</v>
      </c>
      <c r="AC32" s="292">
        <v>56.21</v>
      </c>
      <c r="AD32" s="293">
        <v>32.08</v>
      </c>
      <c r="AE32" s="293"/>
      <c r="AF32" s="294"/>
      <c r="AG32" s="260">
        <f t="shared" si="18"/>
        <v>88.289999999999992</v>
      </c>
      <c r="AH32" s="292">
        <v>23.57</v>
      </c>
      <c r="AI32" s="293"/>
      <c r="AJ32" s="293"/>
      <c r="AK32" s="294"/>
      <c r="AL32" s="295">
        <f t="shared" si="72"/>
        <v>23.57</v>
      </c>
      <c r="AM32" s="32">
        <v>32.57</v>
      </c>
      <c r="AN32" s="33">
        <v>34.67</v>
      </c>
      <c r="AO32" s="33"/>
      <c r="AP32" s="296"/>
      <c r="AQ32" s="297">
        <f t="shared" si="73"/>
        <v>67.240000000000009</v>
      </c>
      <c r="AR32" s="32">
        <v>43.82</v>
      </c>
      <c r="AS32" s="33"/>
      <c r="AT32" s="33"/>
      <c r="AU32" s="296"/>
      <c r="AV32" s="298">
        <f t="shared" si="74"/>
        <v>43.82</v>
      </c>
      <c r="AW32" s="32">
        <v>29.95</v>
      </c>
      <c r="AX32" s="33">
        <v>40</v>
      </c>
      <c r="AY32" s="33"/>
      <c r="AZ32" s="296"/>
      <c r="BA32" s="298">
        <f t="shared" si="82"/>
        <v>69.95</v>
      </c>
      <c r="BB32" s="32">
        <f>52.6+2.82</f>
        <v>55.42</v>
      </c>
      <c r="BC32" s="33"/>
      <c r="BD32" s="33"/>
      <c r="BE32" s="296"/>
      <c r="BF32" s="298">
        <f t="shared" si="83"/>
        <v>55.42</v>
      </c>
      <c r="BG32" s="32">
        <f>73.4+4.57</f>
        <v>77.97</v>
      </c>
      <c r="BH32" s="33"/>
      <c r="BI32" s="33"/>
      <c r="BJ32" s="299"/>
      <c r="BK32" s="298">
        <f>SUM(BG32:BJ32)</f>
        <v>77.97</v>
      </c>
      <c r="BL32" s="32">
        <f>69.32+2.62</f>
        <v>71.94</v>
      </c>
      <c r="BM32" s="33"/>
      <c r="BN32" s="33"/>
      <c r="BO32" s="299"/>
      <c r="BP32" s="297">
        <f t="shared" si="77"/>
        <v>71.94</v>
      </c>
      <c r="BQ32" s="455">
        <f t="shared" si="2"/>
        <v>619.98</v>
      </c>
      <c r="BR32" s="32">
        <f>40.73+3.11</f>
        <v>43.839999999999996</v>
      </c>
      <c r="BS32" s="43">
        <f>16.5+1.54</f>
        <v>18.04</v>
      </c>
      <c r="BT32" s="43"/>
      <c r="BU32" s="781"/>
      <c r="BV32" s="782">
        <f t="shared" si="19"/>
        <v>61.879999999999995</v>
      </c>
      <c r="BW32" s="783">
        <v>4.7699999999999996</v>
      </c>
      <c r="BX32" s="43">
        <v>10.75</v>
      </c>
      <c r="BY32" s="43"/>
      <c r="BZ32" s="781"/>
      <c r="CA32" s="784">
        <f t="shared" si="20"/>
        <v>15.52</v>
      </c>
      <c r="CB32" s="785">
        <v>10.76</v>
      </c>
      <c r="CC32" s="786">
        <v>15.23</v>
      </c>
      <c r="CD32" s="786"/>
      <c r="CE32" s="787"/>
      <c r="CF32" s="788">
        <f t="shared" si="78"/>
        <v>25.990000000000002</v>
      </c>
      <c r="CG32" s="785">
        <v>21.56</v>
      </c>
      <c r="CH32" s="786">
        <v>20.79</v>
      </c>
      <c r="CI32" s="786"/>
      <c r="CJ32" s="787"/>
      <c r="CK32" s="788">
        <f t="shared" si="79"/>
        <v>42.349999999999994</v>
      </c>
      <c r="CL32" s="785">
        <v>21.63</v>
      </c>
      <c r="CM32" s="786">
        <v>13.39</v>
      </c>
      <c r="CN32" s="786"/>
      <c r="CO32" s="787"/>
      <c r="CP32" s="788">
        <f t="shared" si="80"/>
        <v>35.019999999999996</v>
      </c>
      <c r="CQ32" s="789">
        <v>20.55</v>
      </c>
      <c r="CR32" s="367">
        <v>12.14</v>
      </c>
      <c r="CS32" s="367"/>
      <c r="CT32" s="790"/>
      <c r="CU32" s="791">
        <v>32.69</v>
      </c>
      <c r="CV32" s="789">
        <v>20.309999999999999</v>
      </c>
      <c r="CW32" s="367">
        <v>17.55</v>
      </c>
      <c r="CX32" s="367"/>
      <c r="CY32" s="790"/>
      <c r="CZ32" s="791">
        <f t="shared" si="3"/>
        <v>37.86</v>
      </c>
      <c r="DA32" s="789">
        <v>30.49</v>
      </c>
      <c r="DB32" s="367">
        <v>41.28</v>
      </c>
      <c r="DC32" s="367"/>
      <c r="DD32" s="790"/>
      <c r="DE32" s="791">
        <f t="shared" si="4"/>
        <v>71.77</v>
      </c>
      <c r="DF32" s="789">
        <v>46.45</v>
      </c>
      <c r="DG32" s="367">
        <v>28.63</v>
      </c>
      <c r="DH32" s="367"/>
      <c r="DI32" s="790"/>
      <c r="DJ32" s="791">
        <f t="shared" si="5"/>
        <v>75.08</v>
      </c>
      <c r="DK32" s="789">
        <v>23.69</v>
      </c>
      <c r="DL32" s="367">
        <v>58.59</v>
      </c>
      <c r="DM32" s="367"/>
      <c r="DN32" s="790"/>
      <c r="DO32" s="791">
        <f t="shared" si="21"/>
        <v>82.28</v>
      </c>
      <c r="DP32" s="789">
        <v>59.83</v>
      </c>
      <c r="DQ32" s="367"/>
      <c r="DR32" s="367"/>
      <c r="DS32" s="790"/>
      <c r="DT32" s="791">
        <f t="shared" si="22"/>
        <v>59.83</v>
      </c>
      <c r="DU32" s="789">
        <v>46.12</v>
      </c>
      <c r="DV32" s="367"/>
      <c r="DW32" s="367"/>
      <c r="DX32" s="790"/>
      <c r="DY32" s="791">
        <f t="shared" si="23"/>
        <v>46.12</v>
      </c>
      <c r="DZ32" s="455">
        <f t="shared" si="6"/>
        <v>586.39</v>
      </c>
      <c r="EA32" s="789">
        <v>34.53</v>
      </c>
      <c r="EB32" s="367">
        <v>15.22</v>
      </c>
      <c r="EC32" s="367"/>
      <c r="ED32" s="790"/>
      <c r="EE32" s="791">
        <f t="shared" si="24"/>
        <v>49.75</v>
      </c>
      <c r="EF32" s="789">
        <v>9.9499999999999993</v>
      </c>
      <c r="EG32" s="367">
        <v>24.55</v>
      </c>
      <c r="EH32" s="367"/>
      <c r="EI32" s="790"/>
      <c r="EJ32" s="791">
        <f t="shared" si="25"/>
        <v>34.5</v>
      </c>
      <c r="EK32" s="789">
        <v>29.77</v>
      </c>
      <c r="EL32" s="367"/>
      <c r="EM32" s="367"/>
      <c r="EN32" s="790"/>
      <c r="EO32" s="791">
        <f t="shared" si="26"/>
        <v>29.77</v>
      </c>
      <c r="EP32" s="789">
        <v>29.76</v>
      </c>
      <c r="EQ32" s="367"/>
      <c r="ER32" s="367"/>
      <c r="ES32" s="790"/>
      <c r="ET32" s="791">
        <f t="shared" si="27"/>
        <v>29.76</v>
      </c>
      <c r="EU32" s="789">
        <v>12.15</v>
      </c>
      <c r="EV32" s="367">
        <v>29.13</v>
      </c>
      <c r="EW32" s="367">
        <v>5.83</v>
      </c>
      <c r="EX32" s="790"/>
      <c r="EY32" s="791">
        <f t="shared" si="28"/>
        <v>47.11</v>
      </c>
      <c r="EZ32" s="789">
        <v>28.01</v>
      </c>
      <c r="FA32" s="367">
        <v>27.38</v>
      </c>
      <c r="FB32" s="367"/>
      <c r="FC32" s="790"/>
      <c r="FD32" s="791">
        <f t="shared" si="29"/>
        <v>55.39</v>
      </c>
      <c r="FE32" s="789">
        <v>25.04</v>
      </c>
      <c r="FF32" s="367">
        <v>28</v>
      </c>
      <c r="FG32" s="367"/>
      <c r="FH32" s="790"/>
      <c r="FI32" s="791">
        <f t="shared" si="30"/>
        <v>53.04</v>
      </c>
      <c r="FJ32" s="789">
        <v>24.2</v>
      </c>
      <c r="FK32" s="367">
        <v>31.73</v>
      </c>
      <c r="FL32" s="367"/>
      <c r="FM32" s="790"/>
      <c r="FN32" s="791">
        <f t="shared" si="31"/>
        <v>55.93</v>
      </c>
      <c r="FO32" s="789">
        <v>33.94</v>
      </c>
      <c r="FP32" s="367">
        <f>34.39+0.3</f>
        <v>34.69</v>
      </c>
      <c r="FQ32" s="367"/>
      <c r="FR32" s="790"/>
      <c r="FS32" s="791">
        <f t="shared" si="32"/>
        <v>68.63</v>
      </c>
      <c r="FT32" s="789">
        <v>44.36</v>
      </c>
      <c r="FU32" s="367">
        <v>43.1</v>
      </c>
      <c r="FV32" s="367"/>
      <c r="FW32" s="790"/>
      <c r="FX32" s="791">
        <f t="shared" si="33"/>
        <v>87.460000000000008</v>
      </c>
      <c r="FY32" s="789">
        <v>46.4</v>
      </c>
      <c r="FZ32" s="367">
        <v>34.619999999999997</v>
      </c>
      <c r="GA32" s="367"/>
      <c r="GB32" s="790"/>
      <c r="GC32" s="791">
        <f t="shared" si="34"/>
        <v>81.02</v>
      </c>
      <c r="GD32" s="789">
        <v>61.3</v>
      </c>
      <c r="GE32" s="810"/>
      <c r="GF32" s="367"/>
      <c r="GG32" s="790"/>
      <c r="GH32" s="791">
        <f t="shared" si="35"/>
        <v>61.3</v>
      </c>
      <c r="GI32" s="455">
        <f t="shared" si="7"/>
        <v>653.66</v>
      </c>
      <c r="GJ32" s="302">
        <v>40.47</v>
      </c>
      <c r="GK32" s="303">
        <v>11.98</v>
      </c>
      <c r="GL32" s="303"/>
      <c r="GM32" s="304"/>
      <c r="GN32" s="305">
        <f t="shared" si="36"/>
        <v>52.45</v>
      </c>
      <c r="GO32" s="302">
        <v>10.65</v>
      </c>
      <c r="GP32" s="303">
        <v>11.75</v>
      </c>
      <c r="GQ32" s="303"/>
      <c r="GR32" s="304"/>
      <c r="GS32" s="305">
        <f t="shared" si="37"/>
        <v>22.4</v>
      </c>
      <c r="GT32" s="302">
        <v>7.11</v>
      </c>
      <c r="GU32" s="303">
        <v>4.0199999999999996</v>
      </c>
      <c r="GV32" s="303">
        <v>2.67</v>
      </c>
      <c r="GW32" s="304"/>
      <c r="GX32" s="305">
        <f t="shared" si="38"/>
        <v>13.799999999999999</v>
      </c>
      <c r="GY32" s="302">
        <v>14.27</v>
      </c>
      <c r="GZ32" s="303">
        <v>2.87</v>
      </c>
      <c r="HA32" s="303"/>
      <c r="HB32" s="304"/>
      <c r="HC32" s="305">
        <f t="shared" si="39"/>
        <v>17.14</v>
      </c>
      <c r="HD32" s="302">
        <v>40.590000000000003</v>
      </c>
      <c r="HE32" s="303">
        <v>24.53</v>
      </c>
      <c r="HF32" s="303"/>
      <c r="HG32" s="304"/>
      <c r="HH32" s="305">
        <f t="shared" si="40"/>
        <v>65.12</v>
      </c>
      <c r="HI32" s="302">
        <v>16.11</v>
      </c>
      <c r="HJ32" s="303">
        <v>19.62</v>
      </c>
      <c r="HK32" s="303">
        <v>27.34</v>
      </c>
      <c r="HL32" s="304"/>
      <c r="HM32" s="305">
        <f t="shared" si="41"/>
        <v>63.070000000000007</v>
      </c>
      <c r="HN32" s="302">
        <v>45.15</v>
      </c>
      <c r="HO32" s="303">
        <v>11.87</v>
      </c>
      <c r="HP32" s="303"/>
      <c r="HQ32" s="304"/>
      <c r="HR32" s="305">
        <f t="shared" si="42"/>
        <v>57.019999999999996</v>
      </c>
      <c r="HS32" s="302">
        <v>23.98</v>
      </c>
      <c r="HT32" s="303">
        <v>73.34</v>
      </c>
      <c r="HU32" s="303"/>
      <c r="HV32" s="304"/>
      <c r="HW32" s="305">
        <f t="shared" si="43"/>
        <v>97.320000000000007</v>
      </c>
      <c r="HX32" s="302">
        <v>87.79</v>
      </c>
      <c r="HY32" s="308"/>
      <c r="HZ32" s="303"/>
      <c r="IA32" s="304"/>
      <c r="IB32" s="305">
        <f t="shared" si="44"/>
        <v>87.79</v>
      </c>
      <c r="IC32" s="302">
        <v>86.78</v>
      </c>
      <c r="ID32" s="303">
        <v>44.96</v>
      </c>
      <c r="IE32" s="303"/>
      <c r="IF32" s="304"/>
      <c r="IG32" s="305">
        <f t="shared" si="45"/>
        <v>131.74</v>
      </c>
      <c r="IH32" s="61">
        <f>74.8+2.67</f>
        <v>77.47</v>
      </c>
      <c r="II32" s="62">
        <v>22.06</v>
      </c>
      <c r="IJ32" s="62"/>
      <c r="IK32" s="301"/>
      <c r="IL32" s="300">
        <f t="shared" si="46"/>
        <v>99.53</v>
      </c>
      <c r="IM32" s="61">
        <v>29.61</v>
      </c>
      <c r="IN32" s="62">
        <v>57.95</v>
      </c>
      <c r="IO32" s="301"/>
      <c r="IP32" s="296"/>
      <c r="IQ32" s="442">
        <f t="shared" si="47"/>
        <v>87.56</v>
      </c>
      <c r="IR32" s="442"/>
      <c r="IS32" s="455">
        <f t="shared" si="48"/>
        <v>794.94</v>
      </c>
      <c r="IT32" s="449">
        <v>53.53</v>
      </c>
      <c r="IU32" s="309"/>
      <c r="IV32" s="33"/>
      <c r="IW32" s="296"/>
      <c r="IX32" s="298">
        <f t="shared" si="49"/>
        <v>53.53</v>
      </c>
      <c r="IY32" s="32">
        <v>53.72</v>
      </c>
      <c r="IZ32" s="33">
        <v>6.63</v>
      </c>
      <c r="JA32" s="33"/>
      <c r="JB32" s="296"/>
      <c r="JC32" s="298">
        <f t="shared" si="50"/>
        <v>60.35</v>
      </c>
      <c r="JD32" s="32">
        <v>38.17</v>
      </c>
      <c r="JE32" s="33">
        <v>10.39</v>
      </c>
      <c r="JF32" s="33"/>
      <c r="JG32" s="296"/>
      <c r="JH32" s="298">
        <f t="shared" si="51"/>
        <v>48.56</v>
      </c>
      <c r="JI32" s="32">
        <v>53.56</v>
      </c>
      <c r="JJ32" s="33">
        <v>38.85</v>
      </c>
      <c r="JK32" s="33"/>
      <c r="JL32" s="296"/>
      <c r="JM32" s="298">
        <f t="shared" si="52"/>
        <v>92.41</v>
      </c>
      <c r="JN32" s="32">
        <v>3.97</v>
      </c>
      <c r="JO32" s="33">
        <v>28.66</v>
      </c>
      <c r="JP32" s="33"/>
      <c r="JQ32" s="296"/>
      <c r="JR32" s="298">
        <f t="shared" si="53"/>
        <v>32.630000000000003</v>
      </c>
      <c r="JS32" s="32">
        <v>45.17</v>
      </c>
      <c r="JT32" s="33">
        <v>19.14</v>
      </c>
      <c r="JU32" s="33"/>
      <c r="JV32" s="296"/>
      <c r="JW32" s="298">
        <f t="shared" si="54"/>
        <v>64.31</v>
      </c>
      <c r="JX32" s="32">
        <v>21.82</v>
      </c>
      <c r="JY32" s="33">
        <v>23.58</v>
      </c>
      <c r="JZ32" s="33">
        <v>3.94</v>
      </c>
      <c r="KA32" s="296"/>
      <c r="KB32" s="298">
        <f t="shared" si="55"/>
        <v>49.339999999999996</v>
      </c>
      <c r="KC32" s="32">
        <v>36.090000000000003</v>
      </c>
      <c r="KD32" s="33">
        <v>38.69</v>
      </c>
      <c r="KE32" s="33">
        <v>3.01</v>
      </c>
      <c r="KF32" s="296"/>
      <c r="KG32" s="298">
        <f t="shared" si="56"/>
        <v>77.790000000000006</v>
      </c>
      <c r="KH32" s="32">
        <v>19.45</v>
      </c>
      <c r="KI32" s="33">
        <v>51.440000000000005</v>
      </c>
      <c r="KJ32" s="33">
        <v>0</v>
      </c>
      <c r="KK32" s="296">
        <v>0</v>
      </c>
      <c r="KL32" s="298">
        <f t="shared" si="57"/>
        <v>70.89</v>
      </c>
      <c r="KM32" s="32">
        <v>52.29</v>
      </c>
      <c r="KN32" s="33">
        <v>60.83</v>
      </c>
      <c r="KO32" s="33">
        <v>0</v>
      </c>
      <c r="KP32" s="296">
        <v>0</v>
      </c>
      <c r="KQ32" s="298">
        <f t="shared" si="58"/>
        <v>113.12</v>
      </c>
      <c r="KR32" s="32">
        <v>45.06</v>
      </c>
      <c r="KS32" s="33">
        <v>49.58</v>
      </c>
      <c r="KT32" s="33">
        <v>0</v>
      </c>
      <c r="KU32" s="296">
        <v>0</v>
      </c>
      <c r="KV32" s="298">
        <f t="shared" si="59"/>
        <v>94.64</v>
      </c>
      <c r="KW32" s="32">
        <v>49.910000000000004</v>
      </c>
      <c r="KX32" s="33">
        <v>0</v>
      </c>
      <c r="KY32" s="33">
        <v>0</v>
      </c>
      <c r="KZ32" s="296">
        <v>0</v>
      </c>
      <c r="LA32" s="298">
        <f t="shared" si="8"/>
        <v>49.910000000000004</v>
      </c>
      <c r="LB32" s="455">
        <f t="shared" si="60"/>
        <v>807.48</v>
      </c>
      <c r="LC32" s="32">
        <f t="shared" si="9"/>
        <v>42.98</v>
      </c>
      <c r="LD32" s="33">
        <f t="shared" si="10"/>
        <v>13.32</v>
      </c>
      <c r="LE32" s="33">
        <f t="shared" si="11"/>
        <v>0</v>
      </c>
      <c r="LF32" s="296">
        <f t="shared" si="12"/>
        <v>0</v>
      </c>
      <c r="LG32" s="298">
        <f t="shared" si="13"/>
        <v>56.3</v>
      </c>
      <c r="LH32" s="32"/>
      <c r="LI32" s="33"/>
      <c r="LJ32" s="33"/>
      <c r="LK32" s="296"/>
      <c r="LL32" s="298">
        <f t="shared" si="61"/>
        <v>0</v>
      </c>
      <c r="LM32" s="32"/>
      <c r="LN32" s="33"/>
      <c r="LO32" s="33"/>
      <c r="LP32" s="296"/>
      <c r="LQ32" s="298">
        <f t="shared" si="62"/>
        <v>0</v>
      </c>
      <c r="LR32" s="32"/>
      <c r="LS32" s="33"/>
      <c r="LT32" s="33"/>
      <c r="LU32" s="296"/>
      <c r="LV32" s="298">
        <f t="shared" si="63"/>
        <v>0</v>
      </c>
      <c r="LW32" s="32"/>
      <c r="LX32" s="33"/>
      <c r="LY32" s="33"/>
      <c r="LZ32" s="296"/>
      <c r="MA32" s="298">
        <f t="shared" si="64"/>
        <v>0</v>
      </c>
      <c r="MB32" s="32"/>
      <c r="MC32" s="33"/>
      <c r="MD32" s="33"/>
      <c r="ME32" s="296"/>
      <c r="MF32" s="298">
        <f t="shared" si="65"/>
        <v>0</v>
      </c>
      <c r="MG32" s="32"/>
      <c r="MH32" s="33"/>
      <c r="MI32" s="33"/>
      <c r="MJ32" s="296"/>
      <c r="MK32" s="298">
        <f t="shared" si="66"/>
        <v>0</v>
      </c>
      <c r="ML32" s="32"/>
      <c r="MM32" s="33"/>
      <c r="MN32" s="33"/>
      <c r="MO32" s="296"/>
      <c r="MP32" s="298">
        <f t="shared" si="67"/>
        <v>0</v>
      </c>
      <c r="MQ32" s="32"/>
      <c r="MR32" s="33"/>
      <c r="MS32" s="33"/>
      <c r="MT32" s="296"/>
      <c r="MU32" s="298">
        <f t="shared" si="68"/>
        <v>0</v>
      </c>
      <c r="MV32" s="32"/>
      <c r="MW32" s="33"/>
      <c r="MX32" s="33"/>
      <c r="MY32" s="296"/>
      <c r="MZ32" s="298">
        <f t="shared" si="69"/>
        <v>0</v>
      </c>
      <c r="NA32" s="32"/>
      <c r="NB32" s="33"/>
      <c r="NC32" s="33"/>
      <c r="ND32" s="296"/>
      <c r="NE32" s="298">
        <f t="shared" si="70"/>
        <v>0</v>
      </c>
      <c r="NF32" s="32"/>
      <c r="NG32" s="33"/>
      <c r="NH32" s="33"/>
      <c r="NI32" s="296"/>
      <c r="NJ32" s="298">
        <f t="shared" si="14"/>
        <v>0</v>
      </c>
      <c r="NK32" s="455">
        <f t="shared" si="71"/>
        <v>56.3</v>
      </c>
    </row>
    <row r="33" spans="1:375" ht="16.5" thickBot="1" x14ac:dyDescent="0.3">
      <c r="A33" s="324"/>
      <c r="B33" s="316">
        <v>38</v>
      </c>
      <c r="C33" s="325"/>
      <c r="D33" s="284"/>
      <c r="E33" s="285"/>
      <c r="F33" s="286"/>
      <c r="G33" s="287"/>
      <c r="H33" s="288">
        <f t="shared" si="15"/>
        <v>0</v>
      </c>
      <c r="I33" s="289"/>
      <c r="J33" s="290"/>
      <c r="K33" s="290"/>
      <c r="L33" s="291"/>
      <c r="M33" s="256">
        <f>SUM(I33:L33)</f>
        <v>0</v>
      </c>
      <c r="N33" s="289"/>
      <c r="O33" s="290"/>
      <c r="P33" s="290"/>
      <c r="Q33" s="291"/>
      <c r="R33" s="256">
        <f t="shared" si="0"/>
        <v>0</v>
      </c>
      <c r="S33" s="289"/>
      <c r="T33" s="290"/>
      <c r="U33" s="290"/>
      <c r="V33" s="291"/>
      <c r="W33" s="256">
        <f t="shared" si="1"/>
        <v>0</v>
      </c>
      <c r="X33" s="289">
        <v>0</v>
      </c>
      <c r="Y33" s="290"/>
      <c r="Z33" s="290"/>
      <c r="AA33" s="291"/>
      <c r="AB33" s="256">
        <f>SUM(X33:AA33)</f>
        <v>0</v>
      </c>
      <c r="AC33" s="292"/>
      <c r="AD33" s="293"/>
      <c r="AE33" s="293"/>
      <c r="AF33" s="294"/>
      <c r="AG33" s="260">
        <f>SUM(AC33:AF33)</f>
        <v>0</v>
      </c>
      <c r="AH33" s="292"/>
      <c r="AI33" s="293"/>
      <c r="AJ33" s="293"/>
      <c r="AK33" s="294"/>
      <c r="AL33" s="295">
        <f>SUM(AH33:AK33)</f>
        <v>0</v>
      </c>
      <c r="AM33" s="32"/>
      <c r="AN33" s="33"/>
      <c r="AO33" s="33"/>
      <c r="AP33" s="296"/>
      <c r="AQ33" s="297">
        <f t="shared" si="73"/>
        <v>0</v>
      </c>
      <c r="AR33" s="32"/>
      <c r="AS33" s="33"/>
      <c r="AT33" s="33"/>
      <c r="AU33" s="296"/>
      <c r="AV33" s="298">
        <f t="shared" si="74"/>
        <v>0</v>
      </c>
      <c r="AW33" s="32"/>
      <c r="AX33" s="33"/>
      <c r="AY33" s="33"/>
      <c r="AZ33" s="296"/>
      <c r="BA33" s="298">
        <f t="shared" si="75"/>
        <v>0</v>
      </c>
      <c r="BB33" s="32"/>
      <c r="BC33" s="33"/>
      <c r="BD33" s="33"/>
      <c r="BE33" s="296"/>
      <c r="BF33" s="298">
        <f>SUM(BB33:BE33)</f>
        <v>0</v>
      </c>
      <c r="BG33" s="32"/>
      <c r="BH33" s="33"/>
      <c r="BI33" s="33"/>
      <c r="BJ33" s="299"/>
      <c r="BK33" s="298">
        <f t="shared" ref="BK33:BK47" si="84">SUM(BG33:BJ33)</f>
        <v>0</v>
      </c>
      <c r="BL33" s="32"/>
      <c r="BM33" s="33"/>
      <c r="BN33" s="33"/>
      <c r="BO33" s="299"/>
      <c r="BP33" s="297">
        <f t="shared" si="77"/>
        <v>0</v>
      </c>
      <c r="BQ33" s="455">
        <f t="shared" si="2"/>
        <v>0</v>
      </c>
      <c r="BR33" s="32"/>
      <c r="BS33" s="43"/>
      <c r="BT33" s="43"/>
      <c r="BU33" s="781"/>
      <c r="BV33" s="782">
        <f t="shared" si="19"/>
        <v>0</v>
      </c>
      <c r="BW33" s="783"/>
      <c r="BX33" s="43"/>
      <c r="BY33" s="43"/>
      <c r="BZ33" s="781"/>
      <c r="CA33" s="784">
        <f t="shared" si="20"/>
        <v>0</v>
      </c>
      <c r="CB33" s="785"/>
      <c r="CC33" s="786"/>
      <c r="CD33" s="786"/>
      <c r="CE33" s="787"/>
      <c r="CF33" s="788">
        <f t="shared" si="78"/>
        <v>0</v>
      </c>
      <c r="CG33" s="785"/>
      <c r="CH33" s="786"/>
      <c r="CI33" s="786"/>
      <c r="CJ33" s="787"/>
      <c r="CK33" s="788">
        <f t="shared" si="79"/>
        <v>0</v>
      </c>
      <c r="CL33" s="785"/>
      <c r="CM33" s="786"/>
      <c r="CN33" s="786"/>
      <c r="CO33" s="787"/>
      <c r="CP33" s="788">
        <f t="shared" si="80"/>
        <v>0</v>
      </c>
      <c r="CQ33" s="789"/>
      <c r="CR33" s="367"/>
      <c r="CS33" s="367"/>
      <c r="CT33" s="790"/>
      <c r="CU33" s="791"/>
      <c r="CV33" s="789"/>
      <c r="CW33" s="367"/>
      <c r="CX33" s="367"/>
      <c r="CY33" s="790"/>
      <c r="CZ33" s="791"/>
      <c r="DA33" s="789"/>
      <c r="DB33" s="367"/>
      <c r="DC33" s="367"/>
      <c r="DD33" s="790"/>
      <c r="DE33" s="791"/>
      <c r="DF33" s="789"/>
      <c r="DG33" s="367"/>
      <c r="DH33" s="367"/>
      <c r="DI33" s="790"/>
      <c r="DJ33" s="791"/>
      <c r="DK33" s="789"/>
      <c r="DL33" s="367"/>
      <c r="DM33" s="367"/>
      <c r="DN33" s="790"/>
      <c r="DO33" s="791"/>
      <c r="DP33" s="789"/>
      <c r="DQ33" s="367"/>
      <c r="DR33" s="367"/>
      <c r="DS33" s="790"/>
      <c r="DT33" s="791"/>
      <c r="DU33" s="789"/>
      <c r="DV33" s="367"/>
      <c r="DW33" s="367"/>
      <c r="DX33" s="790"/>
      <c r="DY33" s="791"/>
      <c r="DZ33" s="455">
        <f t="shared" si="6"/>
        <v>0</v>
      </c>
      <c r="EA33" s="789"/>
      <c r="EB33" s="367"/>
      <c r="EC33" s="367"/>
      <c r="ED33" s="790"/>
      <c r="EE33" s="791"/>
      <c r="EF33" s="789"/>
      <c r="EG33" s="367"/>
      <c r="EH33" s="367"/>
      <c r="EI33" s="790"/>
      <c r="EJ33" s="791"/>
      <c r="EK33" s="789"/>
      <c r="EL33" s="367"/>
      <c r="EM33" s="367"/>
      <c r="EN33" s="790"/>
      <c r="EO33" s="791"/>
      <c r="EP33" s="789"/>
      <c r="EQ33" s="367"/>
      <c r="ER33" s="367"/>
      <c r="ES33" s="790"/>
      <c r="ET33" s="791"/>
      <c r="EU33" s="789"/>
      <c r="EV33" s="367"/>
      <c r="EW33" s="367"/>
      <c r="EX33" s="790"/>
      <c r="EY33" s="791"/>
      <c r="EZ33" s="789"/>
      <c r="FA33" s="367"/>
      <c r="FB33" s="367"/>
      <c r="FC33" s="790"/>
      <c r="FD33" s="791"/>
      <c r="FE33" s="789"/>
      <c r="FF33" s="367"/>
      <c r="FG33" s="367"/>
      <c r="FH33" s="790"/>
      <c r="FI33" s="791"/>
      <c r="FJ33" s="789"/>
      <c r="FK33" s="367"/>
      <c r="FL33" s="367"/>
      <c r="FM33" s="790"/>
      <c r="FN33" s="791"/>
      <c r="FO33" s="789"/>
      <c r="FP33" s="367"/>
      <c r="FQ33" s="367"/>
      <c r="FR33" s="790"/>
      <c r="FS33" s="791"/>
      <c r="FT33" s="789"/>
      <c r="FU33" s="367"/>
      <c r="FV33" s="367"/>
      <c r="FW33" s="790"/>
      <c r="FX33" s="791"/>
      <c r="FY33" s="789"/>
      <c r="FZ33" s="367"/>
      <c r="GA33" s="367"/>
      <c r="GB33" s="790"/>
      <c r="GC33" s="791"/>
      <c r="GD33" s="789"/>
      <c r="GE33" s="367"/>
      <c r="GF33" s="367"/>
      <c r="GG33" s="790"/>
      <c r="GH33" s="791"/>
      <c r="GI33" s="455">
        <f t="shared" si="7"/>
        <v>0</v>
      </c>
      <c r="GJ33" s="302"/>
      <c r="GK33" s="303"/>
      <c r="GL33" s="303"/>
      <c r="GM33" s="304"/>
      <c r="GN33" s="305"/>
      <c r="GO33" s="302"/>
      <c r="GP33" s="303"/>
      <c r="GQ33" s="303"/>
      <c r="GR33" s="304"/>
      <c r="GS33" s="305"/>
      <c r="GT33" s="302"/>
      <c r="GU33" s="303"/>
      <c r="GV33" s="303"/>
      <c r="GW33" s="304"/>
      <c r="GX33" s="305"/>
      <c r="GY33" s="302"/>
      <c r="GZ33" s="303"/>
      <c r="HA33" s="303"/>
      <c r="HB33" s="304"/>
      <c r="HC33" s="305"/>
      <c r="HD33" s="302"/>
      <c r="HE33" s="303"/>
      <c r="HF33" s="303"/>
      <c r="HG33" s="304"/>
      <c r="HH33" s="305"/>
      <c r="HI33" s="302"/>
      <c r="HJ33" s="303"/>
      <c r="HK33" s="303"/>
      <c r="HL33" s="304"/>
      <c r="HM33" s="305"/>
      <c r="HN33" s="302"/>
      <c r="HO33" s="303"/>
      <c r="HP33" s="303"/>
      <c r="HQ33" s="304"/>
      <c r="HR33" s="305"/>
      <c r="HS33" s="302"/>
      <c r="HT33" s="303"/>
      <c r="HU33" s="303"/>
      <c r="HV33" s="304"/>
      <c r="HW33" s="305"/>
      <c r="HX33" s="302"/>
      <c r="HY33" s="303"/>
      <c r="HZ33" s="303"/>
      <c r="IA33" s="304"/>
      <c r="IB33" s="305"/>
      <c r="IC33" s="302"/>
      <c r="ID33" s="303"/>
      <c r="IE33" s="303"/>
      <c r="IF33" s="304"/>
      <c r="IG33" s="305"/>
      <c r="IH33" s="61"/>
      <c r="II33" s="62"/>
      <c r="IJ33" s="62"/>
      <c r="IK33" s="301"/>
      <c r="IL33" s="300"/>
      <c r="IM33" s="61"/>
      <c r="IN33" s="62"/>
      <c r="IO33" s="301"/>
      <c r="IP33" s="296"/>
      <c r="IQ33" s="442"/>
      <c r="IR33" s="442"/>
      <c r="IS33" s="455">
        <f t="shared" si="48"/>
        <v>0</v>
      </c>
      <c r="IT33" s="449"/>
      <c r="IU33" s="309"/>
      <c r="IV33" s="33"/>
      <c r="IW33" s="296"/>
      <c r="IX33" s="298"/>
      <c r="IY33" s="32"/>
      <c r="IZ33" s="33"/>
      <c r="JA33" s="33"/>
      <c r="JB33" s="296"/>
      <c r="JC33" s="298"/>
      <c r="JD33" s="32"/>
      <c r="JE33" s="33"/>
      <c r="JF33" s="33"/>
      <c r="JG33" s="296"/>
      <c r="JH33" s="298"/>
      <c r="JI33" s="32"/>
      <c r="JJ33" s="33"/>
      <c r="JK33" s="33"/>
      <c r="JL33" s="296"/>
      <c r="JM33" s="298"/>
      <c r="JN33" s="32"/>
      <c r="JO33" s="33"/>
      <c r="JP33" s="33"/>
      <c r="JQ33" s="296"/>
      <c r="JR33" s="298"/>
      <c r="JS33" s="32"/>
      <c r="JT33" s="33"/>
      <c r="JU33" s="33"/>
      <c r="JV33" s="296"/>
      <c r="JW33" s="298"/>
      <c r="JX33" s="32"/>
      <c r="JY33" s="33"/>
      <c r="JZ33" s="33"/>
      <c r="KA33" s="296"/>
      <c r="KB33" s="298"/>
      <c r="KC33" s="32"/>
      <c r="KD33" s="33"/>
      <c r="KE33" s="33"/>
      <c r="KF33" s="296"/>
      <c r="KG33" s="298">
        <f t="shared" si="56"/>
        <v>0</v>
      </c>
      <c r="KH33" s="32" t="s">
        <v>171</v>
      </c>
      <c r="KI33" s="33" t="s">
        <v>171</v>
      </c>
      <c r="KJ33" s="33" t="s">
        <v>171</v>
      </c>
      <c r="KK33" s="296" t="s">
        <v>171</v>
      </c>
      <c r="KL33" s="298">
        <f t="shared" si="57"/>
        <v>0</v>
      </c>
      <c r="KM33" s="32" t="s">
        <v>171</v>
      </c>
      <c r="KN33" s="33" t="s">
        <v>171</v>
      </c>
      <c r="KO33" s="33" t="s">
        <v>171</v>
      </c>
      <c r="KP33" s="296" t="s">
        <v>171</v>
      </c>
      <c r="KQ33" s="298">
        <f t="shared" si="58"/>
        <v>0</v>
      </c>
      <c r="KR33" s="32" t="s">
        <v>171</v>
      </c>
      <c r="KS33" s="33" t="s">
        <v>171</v>
      </c>
      <c r="KT33" s="33" t="s">
        <v>171</v>
      </c>
      <c r="KU33" s="296" t="s">
        <v>171</v>
      </c>
      <c r="KV33" s="298">
        <f t="shared" si="59"/>
        <v>0</v>
      </c>
      <c r="KW33" s="32" t="s">
        <v>171</v>
      </c>
      <c r="KX33" s="33" t="s">
        <v>171</v>
      </c>
      <c r="KY33" s="33" t="s">
        <v>171</v>
      </c>
      <c r="KZ33" s="296" t="s">
        <v>171</v>
      </c>
      <c r="LA33" s="298">
        <f t="shared" si="8"/>
        <v>0</v>
      </c>
      <c r="LB33" s="455">
        <f t="shared" si="60"/>
        <v>0</v>
      </c>
      <c r="LC33" s="32" t="str">
        <f t="shared" si="9"/>
        <v/>
      </c>
      <c r="LD33" s="33" t="str">
        <f t="shared" si="10"/>
        <v/>
      </c>
      <c r="LE33" s="33" t="str">
        <f t="shared" si="11"/>
        <v/>
      </c>
      <c r="LF33" s="296" t="str">
        <f t="shared" si="12"/>
        <v/>
      </c>
      <c r="LG33" s="298">
        <f t="shared" si="13"/>
        <v>0</v>
      </c>
      <c r="LH33" s="32"/>
      <c r="LI33" s="33"/>
      <c r="LJ33" s="33"/>
      <c r="LK33" s="296"/>
      <c r="LL33" s="298"/>
      <c r="LM33" s="32"/>
      <c r="LN33" s="33"/>
      <c r="LO33" s="33"/>
      <c r="LP33" s="296"/>
      <c r="LQ33" s="298"/>
      <c r="LR33" s="32"/>
      <c r="LS33" s="33"/>
      <c r="LT33" s="33"/>
      <c r="LU33" s="296"/>
      <c r="LV33" s="298"/>
      <c r="LW33" s="32"/>
      <c r="LX33" s="33"/>
      <c r="LY33" s="33"/>
      <c r="LZ33" s="296"/>
      <c r="MA33" s="298"/>
      <c r="MB33" s="32"/>
      <c r="MC33" s="33"/>
      <c r="MD33" s="33"/>
      <c r="ME33" s="296"/>
      <c r="MF33" s="298"/>
      <c r="MG33" s="32"/>
      <c r="MH33" s="33"/>
      <c r="MI33" s="33"/>
      <c r="MJ33" s="296"/>
      <c r="MK33" s="298"/>
      <c r="ML33" s="32"/>
      <c r="MM33" s="33"/>
      <c r="MN33" s="33"/>
      <c r="MO33" s="296"/>
      <c r="MP33" s="298">
        <f t="shared" si="67"/>
        <v>0</v>
      </c>
      <c r="MQ33" s="32"/>
      <c r="MR33" s="33"/>
      <c r="MS33" s="33"/>
      <c r="MT33" s="296"/>
      <c r="MU33" s="298">
        <f t="shared" si="68"/>
        <v>0</v>
      </c>
      <c r="MV33" s="32"/>
      <c r="MW33" s="33"/>
      <c r="MX33" s="33"/>
      <c r="MY33" s="296"/>
      <c r="MZ33" s="298">
        <f t="shared" si="69"/>
        <v>0</v>
      </c>
      <c r="NA33" s="32"/>
      <c r="NB33" s="33"/>
      <c r="NC33" s="33"/>
      <c r="ND33" s="296"/>
      <c r="NE33" s="298">
        <f t="shared" si="70"/>
        <v>0</v>
      </c>
      <c r="NF33" s="32"/>
      <c r="NG33" s="33"/>
      <c r="NH33" s="33"/>
      <c r="NI33" s="296"/>
      <c r="NJ33" s="298">
        <f t="shared" si="14"/>
        <v>0</v>
      </c>
      <c r="NK33" s="455">
        <f t="shared" si="71"/>
        <v>0</v>
      </c>
    </row>
    <row r="34" spans="1:375" ht="15.75" x14ac:dyDescent="0.25">
      <c r="A34" s="322" t="s">
        <v>126</v>
      </c>
      <c r="B34" s="247" t="s">
        <v>127</v>
      </c>
      <c r="C34" s="325"/>
      <c r="D34" s="326"/>
      <c r="E34" s="327"/>
      <c r="F34" s="328"/>
      <c r="G34" s="329"/>
      <c r="H34" s="288">
        <f t="shared" si="15"/>
        <v>0</v>
      </c>
      <c r="I34" s="306"/>
      <c r="J34" s="290"/>
      <c r="K34" s="290"/>
      <c r="L34" s="291"/>
      <c r="M34" s="256">
        <f>SUM(I34:L34)</f>
        <v>0</v>
      </c>
      <c r="N34" s="306"/>
      <c r="O34" s="290"/>
      <c r="P34" s="290"/>
      <c r="Q34" s="291"/>
      <c r="R34" s="256">
        <f t="shared" si="0"/>
        <v>0</v>
      </c>
      <c r="S34" s="306"/>
      <c r="T34" s="290"/>
      <c r="U34" s="290"/>
      <c r="V34" s="291"/>
      <c r="W34" s="256">
        <f t="shared" si="1"/>
        <v>0</v>
      </c>
      <c r="X34" s="306"/>
      <c r="Y34" s="290"/>
      <c r="Z34" s="290"/>
      <c r="AA34" s="291"/>
      <c r="AB34" s="256">
        <f>SUM(X34:AA34)</f>
        <v>0</v>
      </c>
      <c r="AC34" s="330"/>
      <c r="AD34" s="293"/>
      <c r="AE34" s="293"/>
      <c r="AF34" s="294"/>
      <c r="AG34" s="260">
        <f>SUM(AC34:AF34)</f>
        <v>0</v>
      </c>
      <c r="AH34" s="330"/>
      <c r="AI34" s="293"/>
      <c r="AJ34" s="293"/>
      <c r="AK34" s="294"/>
      <c r="AL34" s="295">
        <f>SUM(AH34:AK34)</f>
        <v>0</v>
      </c>
      <c r="AM34" s="32"/>
      <c r="AN34" s="33"/>
      <c r="AO34" s="33"/>
      <c r="AP34" s="296"/>
      <c r="AQ34" s="297">
        <f t="shared" si="73"/>
        <v>0</v>
      </c>
      <c r="AR34" s="32"/>
      <c r="AS34" s="33"/>
      <c r="AT34" s="33"/>
      <c r="AU34" s="296"/>
      <c r="AV34" s="298">
        <f t="shared" si="74"/>
        <v>0</v>
      </c>
      <c r="AW34" s="32"/>
      <c r="AX34" s="33"/>
      <c r="AY34" s="33"/>
      <c r="AZ34" s="296"/>
      <c r="BA34" s="298">
        <f t="shared" si="75"/>
        <v>0</v>
      </c>
      <c r="BB34" s="32"/>
      <c r="BC34" s="33"/>
      <c r="BD34" s="33"/>
      <c r="BE34" s="296"/>
      <c r="BF34" s="298">
        <f>SUM(BB34:BE34)</f>
        <v>0</v>
      </c>
      <c r="BG34" s="32"/>
      <c r="BH34" s="33"/>
      <c r="BI34" s="33"/>
      <c r="BJ34" s="299"/>
      <c r="BK34" s="298">
        <f t="shared" si="84"/>
        <v>0</v>
      </c>
      <c r="BL34" s="32"/>
      <c r="BM34" s="33"/>
      <c r="BN34" s="33"/>
      <c r="BO34" s="299"/>
      <c r="BP34" s="297">
        <f t="shared" si="77"/>
        <v>0</v>
      </c>
      <c r="BQ34" s="455">
        <f t="shared" si="2"/>
        <v>0</v>
      </c>
      <c r="BR34" s="32"/>
      <c r="BS34" s="43"/>
      <c r="BT34" s="43"/>
      <c r="BU34" s="781"/>
      <c r="BV34" s="782">
        <f t="shared" si="19"/>
        <v>0</v>
      </c>
      <c r="BW34" s="783"/>
      <c r="BX34" s="43"/>
      <c r="BY34" s="43"/>
      <c r="BZ34" s="781"/>
      <c r="CA34" s="784">
        <f t="shared" si="20"/>
        <v>0</v>
      </c>
      <c r="CB34" s="785"/>
      <c r="CC34" s="786"/>
      <c r="CD34" s="786"/>
      <c r="CE34" s="787"/>
      <c r="CF34" s="788">
        <f t="shared" si="78"/>
        <v>0</v>
      </c>
      <c r="CG34" s="785"/>
      <c r="CH34" s="786"/>
      <c r="CI34" s="786"/>
      <c r="CJ34" s="787"/>
      <c r="CK34" s="788">
        <f t="shared" si="79"/>
        <v>0</v>
      </c>
      <c r="CL34" s="785"/>
      <c r="CM34" s="786"/>
      <c r="CN34" s="786"/>
      <c r="CO34" s="787"/>
      <c r="CP34" s="788">
        <f t="shared" si="80"/>
        <v>0</v>
      </c>
      <c r="CQ34" s="789"/>
      <c r="CR34" s="367"/>
      <c r="CS34" s="367"/>
      <c r="CT34" s="790"/>
      <c r="CU34" s="791"/>
      <c r="CV34" s="789"/>
      <c r="CW34" s="367"/>
      <c r="CX34" s="367"/>
      <c r="CY34" s="790"/>
      <c r="CZ34" s="791"/>
      <c r="DA34" s="789"/>
      <c r="DB34" s="367"/>
      <c r="DC34" s="367"/>
      <c r="DD34" s="790"/>
      <c r="DE34" s="791"/>
      <c r="DF34" s="789"/>
      <c r="DG34" s="367"/>
      <c r="DH34" s="367"/>
      <c r="DI34" s="790"/>
      <c r="DJ34" s="791"/>
      <c r="DK34" s="789"/>
      <c r="DL34" s="367"/>
      <c r="DM34" s="367"/>
      <c r="DN34" s="790"/>
      <c r="DO34" s="791"/>
      <c r="DP34" s="789"/>
      <c r="DQ34" s="367"/>
      <c r="DR34" s="367"/>
      <c r="DS34" s="790"/>
      <c r="DT34" s="791"/>
      <c r="DU34" s="789"/>
      <c r="DV34" s="367"/>
      <c r="DW34" s="367"/>
      <c r="DX34" s="790"/>
      <c r="DY34" s="791"/>
      <c r="DZ34" s="455">
        <f t="shared" si="6"/>
        <v>0</v>
      </c>
      <c r="EA34" s="789"/>
      <c r="EB34" s="367"/>
      <c r="EC34" s="367"/>
      <c r="ED34" s="790"/>
      <c r="EE34" s="791"/>
      <c r="EF34" s="789"/>
      <c r="EG34" s="367"/>
      <c r="EH34" s="367"/>
      <c r="EI34" s="790"/>
      <c r="EJ34" s="791"/>
      <c r="EK34" s="789"/>
      <c r="EL34" s="367"/>
      <c r="EM34" s="367"/>
      <c r="EN34" s="790"/>
      <c r="EO34" s="791"/>
      <c r="EP34" s="789"/>
      <c r="EQ34" s="367"/>
      <c r="ER34" s="367"/>
      <c r="ES34" s="790"/>
      <c r="ET34" s="791"/>
      <c r="EU34" s="789"/>
      <c r="EV34" s="367"/>
      <c r="EW34" s="367"/>
      <c r="EX34" s="790"/>
      <c r="EY34" s="791"/>
      <c r="EZ34" s="789"/>
      <c r="FA34" s="367"/>
      <c r="FB34" s="367"/>
      <c r="FC34" s="790"/>
      <c r="FD34" s="791"/>
      <c r="FE34" s="789"/>
      <c r="FF34" s="367"/>
      <c r="FG34" s="367"/>
      <c r="FH34" s="790"/>
      <c r="FI34" s="791"/>
      <c r="FJ34" s="789"/>
      <c r="FK34" s="367"/>
      <c r="FL34" s="367"/>
      <c r="FM34" s="790"/>
      <c r="FN34" s="791"/>
      <c r="FO34" s="789"/>
      <c r="FP34" s="367"/>
      <c r="FQ34" s="367"/>
      <c r="FR34" s="790"/>
      <c r="FS34" s="791"/>
      <c r="FT34" s="789"/>
      <c r="FU34" s="367"/>
      <c r="FV34" s="367"/>
      <c r="FW34" s="790"/>
      <c r="FX34" s="791"/>
      <c r="FY34" s="789"/>
      <c r="FZ34" s="367"/>
      <c r="GA34" s="367"/>
      <c r="GB34" s="790"/>
      <c r="GC34" s="791"/>
      <c r="GD34" s="789"/>
      <c r="GE34" s="367"/>
      <c r="GF34" s="367"/>
      <c r="GG34" s="790"/>
      <c r="GH34" s="791"/>
      <c r="GI34" s="455">
        <f t="shared" si="7"/>
        <v>0</v>
      </c>
      <c r="GJ34" s="302"/>
      <c r="GK34" s="303"/>
      <c r="GL34" s="303"/>
      <c r="GM34" s="304"/>
      <c r="GN34" s="305"/>
      <c r="GO34" s="302"/>
      <c r="GP34" s="303"/>
      <c r="GQ34" s="303"/>
      <c r="GR34" s="304"/>
      <c r="GS34" s="305"/>
      <c r="GT34" s="302"/>
      <c r="GU34" s="303"/>
      <c r="GV34" s="303"/>
      <c r="GW34" s="304"/>
      <c r="GX34" s="305"/>
      <c r="GY34" s="302"/>
      <c r="GZ34" s="303"/>
      <c r="HA34" s="303"/>
      <c r="HB34" s="304"/>
      <c r="HC34" s="305"/>
      <c r="HD34" s="302"/>
      <c r="HE34" s="303"/>
      <c r="HF34" s="303"/>
      <c r="HG34" s="304"/>
      <c r="HH34" s="305"/>
      <c r="HI34" s="302"/>
      <c r="HJ34" s="303"/>
      <c r="HK34" s="303"/>
      <c r="HL34" s="304"/>
      <c r="HM34" s="305"/>
      <c r="HN34" s="302"/>
      <c r="HO34" s="303"/>
      <c r="HP34" s="303"/>
      <c r="HQ34" s="304"/>
      <c r="HR34" s="305"/>
      <c r="HS34" s="302"/>
      <c r="HT34" s="303"/>
      <c r="HU34" s="303"/>
      <c r="HV34" s="304"/>
      <c r="HW34" s="305"/>
      <c r="HX34" s="302"/>
      <c r="HY34" s="303"/>
      <c r="HZ34" s="303"/>
      <c r="IA34" s="304"/>
      <c r="IB34" s="305"/>
      <c r="IC34" s="302"/>
      <c r="ID34" s="303"/>
      <c r="IE34" s="303"/>
      <c r="IF34" s="304"/>
      <c r="IG34" s="305"/>
      <c r="IH34" s="61"/>
      <c r="II34" s="62"/>
      <c r="IJ34" s="62"/>
      <c r="IK34" s="301"/>
      <c r="IL34" s="300"/>
      <c r="IM34" s="61"/>
      <c r="IN34" s="62"/>
      <c r="IO34" s="301"/>
      <c r="IP34" s="296"/>
      <c r="IQ34" s="442"/>
      <c r="IR34" s="442"/>
      <c r="IS34" s="455">
        <f t="shared" si="48"/>
        <v>0</v>
      </c>
      <c r="IT34" s="449"/>
      <c r="IU34" s="309"/>
      <c r="IV34" s="33"/>
      <c r="IW34" s="296"/>
      <c r="IX34" s="298"/>
      <c r="IY34" s="32"/>
      <c r="IZ34" s="33"/>
      <c r="JA34" s="33"/>
      <c r="JB34" s="296"/>
      <c r="JC34" s="298"/>
      <c r="JD34" s="32"/>
      <c r="JE34" s="33"/>
      <c r="JF34" s="33"/>
      <c r="JG34" s="296"/>
      <c r="JH34" s="298"/>
      <c r="JI34" s="32"/>
      <c r="JJ34" s="33"/>
      <c r="JK34" s="33"/>
      <c r="JL34" s="296"/>
      <c r="JM34" s="298"/>
      <c r="JN34" s="32"/>
      <c r="JO34" s="33"/>
      <c r="JP34" s="33"/>
      <c r="JQ34" s="296"/>
      <c r="JR34" s="298"/>
      <c r="JS34" s="32"/>
      <c r="JT34" s="33"/>
      <c r="JU34" s="33"/>
      <c r="JV34" s="296"/>
      <c r="JW34" s="298"/>
      <c r="JX34" s="32"/>
      <c r="JY34" s="33"/>
      <c r="JZ34" s="33"/>
      <c r="KA34" s="296"/>
      <c r="KB34" s="298"/>
      <c r="KC34" s="32"/>
      <c r="KD34" s="33"/>
      <c r="KE34" s="33"/>
      <c r="KF34" s="296"/>
      <c r="KG34" s="298">
        <f t="shared" si="56"/>
        <v>0</v>
      </c>
      <c r="KH34" s="32" t="s">
        <v>171</v>
      </c>
      <c r="KI34" s="33" t="s">
        <v>171</v>
      </c>
      <c r="KJ34" s="33" t="s">
        <v>171</v>
      </c>
      <c r="KK34" s="296" t="s">
        <v>171</v>
      </c>
      <c r="KL34" s="298">
        <f t="shared" si="57"/>
        <v>0</v>
      </c>
      <c r="KM34" s="32" t="s">
        <v>171</v>
      </c>
      <c r="KN34" s="33" t="s">
        <v>171</v>
      </c>
      <c r="KO34" s="33" t="s">
        <v>171</v>
      </c>
      <c r="KP34" s="296" t="s">
        <v>171</v>
      </c>
      <c r="KQ34" s="298">
        <f t="shared" si="58"/>
        <v>0</v>
      </c>
      <c r="KR34" s="32" t="s">
        <v>171</v>
      </c>
      <c r="KS34" s="33" t="s">
        <v>171</v>
      </c>
      <c r="KT34" s="33" t="s">
        <v>171</v>
      </c>
      <c r="KU34" s="296" t="s">
        <v>171</v>
      </c>
      <c r="KV34" s="298">
        <f t="shared" si="59"/>
        <v>0</v>
      </c>
      <c r="KW34" s="32" t="s">
        <v>171</v>
      </c>
      <c r="KX34" s="33" t="s">
        <v>171</v>
      </c>
      <c r="KY34" s="33" t="s">
        <v>171</v>
      </c>
      <c r="KZ34" s="296" t="s">
        <v>171</v>
      </c>
      <c r="LA34" s="298">
        <f t="shared" si="8"/>
        <v>0</v>
      </c>
      <c r="LB34" s="455">
        <f t="shared" si="60"/>
        <v>0</v>
      </c>
      <c r="LC34" s="32" t="str">
        <f t="shared" si="9"/>
        <v/>
      </c>
      <c r="LD34" s="33" t="str">
        <f t="shared" si="10"/>
        <v/>
      </c>
      <c r="LE34" s="33" t="str">
        <f t="shared" si="11"/>
        <v/>
      </c>
      <c r="LF34" s="296" t="str">
        <f t="shared" si="12"/>
        <v/>
      </c>
      <c r="LG34" s="298">
        <f t="shared" si="13"/>
        <v>0</v>
      </c>
      <c r="LH34" s="32"/>
      <c r="LI34" s="33"/>
      <c r="LJ34" s="33"/>
      <c r="LK34" s="296"/>
      <c r="LL34" s="298"/>
      <c r="LM34" s="32"/>
      <c r="LN34" s="33"/>
      <c r="LO34" s="33"/>
      <c r="LP34" s="296"/>
      <c r="LQ34" s="298"/>
      <c r="LR34" s="32"/>
      <c r="LS34" s="33"/>
      <c r="LT34" s="33"/>
      <c r="LU34" s="296"/>
      <c r="LV34" s="298"/>
      <c r="LW34" s="32"/>
      <c r="LX34" s="33"/>
      <c r="LY34" s="33"/>
      <c r="LZ34" s="296"/>
      <c r="MA34" s="298"/>
      <c r="MB34" s="32"/>
      <c r="MC34" s="33"/>
      <c r="MD34" s="33"/>
      <c r="ME34" s="296"/>
      <c r="MF34" s="298"/>
      <c r="MG34" s="32"/>
      <c r="MH34" s="33"/>
      <c r="MI34" s="33"/>
      <c r="MJ34" s="296"/>
      <c r="MK34" s="298"/>
      <c r="ML34" s="32"/>
      <c r="MM34" s="33"/>
      <c r="MN34" s="33"/>
      <c r="MO34" s="296"/>
      <c r="MP34" s="298">
        <f t="shared" si="67"/>
        <v>0</v>
      </c>
      <c r="MQ34" s="32"/>
      <c r="MR34" s="33"/>
      <c r="MS34" s="33"/>
      <c r="MT34" s="296"/>
      <c r="MU34" s="298">
        <f t="shared" si="68"/>
        <v>0</v>
      </c>
      <c r="MV34" s="32"/>
      <c r="MW34" s="33"/>
      <c r="MX34" s="33"/>
      <c r="MY34" s="296"/>
      <c r="MZ34" s="298">
        <f t="shared" si="69"/>
        <v>0</v>
      </c>
      <c r="NA34" s="32"/>
      <c r="NB34" s="33"/>
      <c r="NC34" s="33"/>
      <c r="ND34" s="296"/>
      <c r="NE34" s="298">
        <f t="shared" si="70"/>
        <v>0</v>
      </c>
      <c r="NF34" s="32"/>
      <c r="NG34" s="33"/>
      <c r="NH34" s="33"/>
      <c r="NI34" s="296"/>
      <c r="NJ34" s="298">
        <f t="shared" si="14"/>
        <v>0</v>
      </c>
      <c r="NK34" s="455">
        <f t="shared" si="71"/>
        <v>0</v>
      </c>
    </row>
    <row r="35" spans="1:375" ht="15.75" x14ac:dyDescent="0.25">
      <c r="A35" s="323"/>
      <c r="B35" s="282">
        <v>32</v>
      </c>
      <c r="C35" s="331"/>
      <c r="D35" s="332">
        <v>8.92</v>
      </c>
      <c r="E35" s="333">
        <v>3</v>
      </c>
      <c r="F35" s="334"/>
      <c r="G35" s="335"/>
      <c r="H35" s="288">
        <f t="shared" si="15"/>
        <v>11.92</v>
      </c>
      <c r="I35" s="289">
        <v>5.83</v>
      </c>
      <c r="J35" s="290">
        <v>7.36</v>
      </c>
      <c r="K35" s="290"/>
      <c r="L35" s="291"/>
      <c r="M35" s="256">
        <f>SUM(I35:L35)</f>
        <v>13.190000000000001</v>
      </c>
      <c r="N35" s="289"/>
      <c r="O35" s="290">
        <v>2.33</v>
      </c>
      <c r="P35" s="290"/>
      <c r="Q35" s="291"/>
      <c r="R35" s="256">
        <f t="shared" si="0"/>
        <v>2.33</v>
      </c>
      <c r="S35" s="289">
        <v>7.39</v>
      </c>
      <c r="T35" s="290">
        <v>9.77</v>
      </c>
      <c r="U35" s="290"/>
      <c r="V35" s="291"/>
      <c r="W35" s="256">
        <f t="shared" si="1"/>
        <v>17.16</v>
      </c>
      <c r="X35" s="289">
        <v>7.56</v>
      </c>
      <c r="Y35" s="290">
        <v>7.42</v>
      </c>
      <c r="Z35" s="290"/>
      <c r="AA35" s="291"/>
      <c r="AB35" s="256">
        <f>SUM(X35:AA35)</f>
        <v>14.98</v>
      </c>
      <c r="AC35" s="292">
        <v>12.7</v>
      </c>
      <c r="AD35" s="293">
        <v>6.91</v>
      </c>
      <c r="AE35" s="293"/>
      <c r="AF35" s="294"/>
      <c r="AG35" s="260">
        <f>SUM(AC35:AF35)</f>
        <v>19.61</v>
      </c>
      <c r="AH35" s="292">
        <v>13.41</v>
      </c>
      <c r="AI35" s="293">
        <v>6.8</v>
      </c>
      <c r="AJ35" s="293"/>
      <c r="AK35" s="294"/>
      <c r="AL35" s="295">
        <f>SUM(AH35:AK35)</f>
        <v>20.21</v>
      </c>
      <c r="AM35" s="32">
        <v>5.74</v>
      </c>
      <c r="AN35" s="33">
        <v>3.76</v>
      </c>
      <c r="AO35" s="33">
        <v>2.73</v>
      </c>
      <c r="AP35" s="296"/>
      <c r="AQ35" s="297">
        <f t="shared" si="73"/>
        <v>12.23</v>
      </c>
      <c r="AR35" s="32"/>
      <c r="AS35" s="33"/>
      <c r="AT35" s="33"/>
      <c r="AU35" s="296"/>
      <c r="AV35" s="298">
        <f t="shared" si="74"/>
        <v>0</v>
      </c>
      <c r="AW35" s="32"/>
      <c r="AX35" s="33"/>
      <c r="AY35" s="33"/>
      <c r="AZ35" s="296"/>
      <c r="BA35" s="298">
        <f t="shared" si="75"/>
        <v>0</v>
      </c>
      <c r="BB35" s="32"/>
      <c r="BC35" s="33"/>
      <c r="BD35" s="33"/>
      <c r="BE35" s="296"/>
      <c r="BF35" s="298">
        <f>SUM(BB35:BE35)</f>
        <v>0</v>
      </c>
      <c r="BG35" s="32"/>
      <c r="BH35" s="33"/>
      <c r="BI35" s="33"/>
      <c r="BJ35" s="299"/>
      <c r="BK35" s="298">
        <f t="shared" si="84"/>
        <v>0</v>
      </c>
      <c r="BL35" s="32"/>
      <c r="BM35" s="33"/>
      <c r="BN35" s="33"/>
      <c r="BO35" s="299"/>
      <c r="BP35" s="297">
        <f t="shared" si="77"/>
        <v>0</v>
      </c>
      <c r="BQ35" s="455">
        <f t="shared" si="2"/>
        <v>99.71</v>
      </c>
      <c r="BR35" s="32"/>
      <c r="BS35" s="43"/>
      <c r="BT35" s="43"/>
      <c r="BU35" s="781"/>
      <c r="BV35" s="782">
        <f t="shared" si="19"/>
        <v>0</v>
      </c>
      <c r="BW35" s="783"/>
      <c r="BX35" s="43"/>
      <c r="BY35" s="43"/>
      <c r="BZ35" s="781"/>
      <c r="CA35" s="784">
        <f t="shared" si="20"/>
        <v>0</v>
      </c>
      <c r="CB35" s="785"/>
      <c r="CC35" s="786"/>
      <c r="CD35" s="786"/>
      <c r="CE35" s="787"/>
      <c r="CF35" s="788">
        <f t="shared" si="78"/>
        <v>0</v>
      </c>
      <c r="CG35" s="785"/>
      <c r="CH35" s="786"/>
      <c r="CI35" s="786"/>
      <c r="CJ35" s="787"/>
      <c r="CK35" s="788">
        <f t="shared" si="79"/>
        <v>0</v>
      </c>
      <c r="CL35" s="785"/>
      <c r="CM35" s="786"/>
      <c r="CN35" s="786"/>
      <c r="CO35" s="787"/>
      <c r="CP35" s="788">
        <f t="shared" si="80"/>
        <v>0</v>
      </c>
      <c r="CQ35" s="789"/>
      <c r="CR35" s="367"/>
      <c r="CS35" s="367"/>
      <c r="CT35" s="790"/>
      <c r="CU35" s="791"/>
      <c r="CV35" s="789"/>
      <c r="CW35" s="367"/>
      <c r="CX35" s="367"/>
      <c r="CY35" s="790"/>
      <c r="CZ35" s="791"/>
      <c r="DA35" s="789"/>
      <c r="DB35" s="367"/>
      <c r="DC35" s="367"/>
      <c r="DD35" s="790"/>
      <c r="DE35" s="791"/>
      <c r="DF35" s="789"/>
      <c r="DG35" s="367"/>
      <c r="DH35" s="367"/>
      <c r="DI35" s="790"/>
      <c r="DJ35" s="791"/>
      <c r="DK35" s="789"/>
      <c r="DL35" s="367"/>
      <c r="DM35" s="367"/>
      <c r="DN35" s="790"/>
      <c r="DO35" s="791"/>
      <c r="DP35" s="789"/>
      <c r="DQ35" s="367"/>
      <c r="DR35" s="367"/>
      <c r="DS35" s="790"/>
      <c r="DT35" s="791"/>
      <c r="DU35" s="789"/>
      <c r="DV35" s="367"/>
      <c r="DW35" s="367"/>
      <c r="DX35" s="790"/>
      <c r="DY35" s="791"/>
      <c r="DZ35" s="455">
        <f t="shared" si="6"/>
        <v>0</v>
      </c>
      <c r="EA35" s="789"/>
      <c r="EB35" s="367"/>
      <c r="EC35" s="367"/>
      <c r="ED35" s="790"/>
      <c r="EE35" s="791"/>
      <c r="EF35" s="789"/>
      <c r="EG35" s="367"/>
      <c r="EH35" s="367"/>
      <c r="EI35" s="790"/>
      <c r="EJ35" s="791"/>
      <c r="EK35" s="789"/>
      <c r="EL35" s="367"/>
      <c r="EM35" s="367"/>
      <c r="EN35" s="790"/>
      <c r="EO35" s="791"/>
      <c r="EP35" s="789"/>
      <c r="EQ35" s="367"/>
      <c r="ER35" s="367"/>
      <c r="ES35" s="790"/>
      <c r="ET35" s="791"/>
      <c r="EU35" s="789"/>
      <c r="EV35" s="367"/>
      <c r="EW35" s="367"/>
      <c r="EX35" s="790"/>
      <c r="EY35" s="791"/>
      <c r="EZ35" s="789"/>
      <c r="FA35" s="367"/>
      <c r="FB35" s="367"/>
      <c r="FC35" s="790"/>
      <c r="FD35" s="791"/>
      <c r="FE35" s="789"/>
      <c r="FF35" s="367"/>
      <c r="FG35" s="367"/>
      <c r="FH35" s="790"/>
      <c r="FI35" s="791"/>
      <c r="FJ35" s="789"/>
      <c r="FK35" s="367"/>
      <c r="FL35" s="367"/>
      <c r="FM35" s="790"/>
      <c r="FN35" s="791"/>
      <c r="FO35" s="789"/>
      <c r="FP35" s="367"/>
      <c r="FQ35" s="367"/>
      <c r="FR35" s="790"/>
      <c r="FS35" s="791"/>
      <c r="FT35" s="789"/>
      <c r="FU35" s="367"/>
      <c r="FV35" s="367"/>
      <c r="FW35" s="790"/>
      <c r="FX35" s="791"/>
      <c r="FY35" s="789"/>
      <c r="FZ35" s="367"/>
      <c r="GA35" s="367"/>
      <c r="GB35" s="790"/>
      <c r="GC35" s="791"/>
      <c r="GD35" s="789"/>
      <c r="GE35" s="367"/>
      <c r="GF35" s="367"/>
      <c r="GG35" s="790"/>
      <c r="GH35" s="791"/>
      <c r="GI35" s="455">
        <f t="shared" si="7"/>
        <v>0</v>
      </c>
      <c r="GJ35" s="302"/>
      <c r="GK35" s="303"/>
      <c r="GL35" s="303"/>
      <c r="GM35" s="304"/>
      <c r="GN35" s="305"/>
      <c r="GO35" s="302"/>
      <c r="GP35" s="303"/>
      <c r="GQ35" s="303"/>
      <c r="GR35" s="304"/>
      <c r="GS35" s="305"/>
      <c r="GT35" s="302"/>
      <c r="GU35" s="303"/>
      <c r="GV35" s="303"/>
      <c r="GW35" s="304"/>
      <c r="GX35" s="305"/>
      <c r="GY35" s="302"/>
      <c r="GZ35" s="303"/>
      <c r="HA35" s="303"/>
      <c r="HB35" s="304"/>
      <c r="HC35" s="305"/>
      <c r="HD35" s="302"/>
      <c r="HE35" s="303"/>
      <c r="HF35" s="303"/>
      <c r="HG35" s="304"/>
      <c r="HH35" s="305"/>
      <c r="HI35" s="302"/>
      <c r="HJ35" s="303"/>
      <c r="HK35" s="303"/>
      <c r="HL35" s="304"/>
      <c r="HM35" s="305"/>
      <c r="HN35" s="302"/>
      <c r="HO35" s="303"/>
      <c r="HP35" s="303"/>
      <c r="HQ35" s="304"/>
      <c r="HR35" s="305"/>
      <c r="HS35" s="302"/>
      <c r="HT35" s="303"/>
      <c r="HU35" s="303"/>
      <c r="HV35" s="304"/>
      <c r="HW35" s="305"/>
      <c r="HX35" s="302"/>
      <c r="HY35" s="303"/>
      <c r="HZ35" s="303"/>
      <c r="IA35" s="304"/>
      <c r="IB35" s="305"/>
      <c r="IC35" s="302"/>
      <c r="ID35" s="303"/>
      <c r="IE35" s="303"/>
      <c r="IF35" s="304"/>
      <c r="IG35" s="305"/>
      <c r="IH35" s="61"/>
      <c r="II35" s="62"/>
      <c r="IJ35" s="62"/>
      <c r="IK35" s="301"/>
      <c r="IL35" s="300"/>
      <c r="IM35" s="61"/>
      <c r="IN35" s="62"/>
      <c r="IO35" s="301"/>
      <c r="IP35" s="296"/>
      <c r="IQ35" s="442"/>
      <c r="IR35" s="442"/>
      <c r="IS35" s="455">
        <f t="shared" si="48"/>
        <v>0</v>
      </c>
      <c r="IT35" s="449"/>
      <c r="IU35" s="309"/>
      <c r="IV35" s="33"/>
      <c r="IW35" s="296"/>
      <c r="IX35" s="298"/>
      <c r="IY35" s="32"/>
      <c r="IZ35" s="33"/>
      <c r="JA35" s="33"/>
      <c r="JB35" s="296"/>
      <c r="JC35" s="298"/>
      <c r="JD35" s="32"/>
      <c r="JE35" s="33"/>
      <c r="JF35" s="33"/>
      <c r="JG35" s="296"/>
      <c r="JH35" s="298"/>
      <c r="JI35" s="32"/>
      <c r="JJ35" s="33"/>
      <c r="JK35" s="33"/>
      <c r="JL35" s="296"/>
      <c r="JM35" s="298"/>
      <c r="JN35" s="32"/>
      <c r="JO35" s="33"/>
      <c r="JP35" s="33"/>
      <c r="JQ35" s="296"/>
      <c r="JR35" s="298"/>
      <c r="JS35" s="32"/>
      <c r="JT35" s="33"/>
      <c r="JU35" s="33"/>
      <c r="JV35" s="296"/>
      <c r="JW35" s="298"/>
      <c r="JX35" s="32"/>
      <c r="JY35" s="33"/>
      <c r="JZ35" s="33"/>
      <c r="KA35" s="296"/>
      <c r="KB35" s="298"/>
      <c r="KC35" s="32"/>
      <c r="KD35" s="33"/>
      <c r="KE35" s="33"/>
      <c r="KF35" s="296"/>
      <c r="KG35" s="298">
        <f t="shared" si="56"/>
        <v>0</v>
      </c>
      <c r="KH35" s="32" t="s">
        <v>171</v>
      </c>
      <c r="KI35" s="33" t="s">
        <v>171</v>
      </c>
      <c r="KJ35" s="33" t="s">
        <v>171</v>
      </c>
      <c r="KK35" s="296" t="s">
        <v>171</v>
      </c>
      <c r="KL35" s="298">
        <f t="shared" si="57"/>
        <v>0</v>
      </c>
      <c r="KM35" s="32" t="s">
        <v>171</v>
      </c>
      <c r="KN35" s="33" t="s">
        <v>171</v>
      </c>
      <c r="KO35" s="33" t="s">
        <v>171</v>
      </c>
      <c r="KP35" s="296" t="s">
        <v>171</v>
      </c>
      <c r="KQ35" s="298">
        <f t="shared" si="58"/>
        <v>0</v>
      </c>
      <c r="KR35" s="32" t="s">
        <v>171</v>
      </c>
      <c r="KS35" s="33" t="s">
        <v>171</v>
      </c>
      <c r="KT35" s="33" t="s">
        <v>171</v>
      </c>
      <c r="KU35" s="296" t="s">
        <v>171</v>
      </c>
      <c r="KV35" s="298">
        <f t="shared" si="59"/>
        <v>0</v>
      </c>
      <c r="KW35" s="32" t="s">
        <v>171</v>
      </c>
      <c r="KX35" s="33" t="s">
        <v>171</v>
      </c>
      <c r="KY35" s="33" t="s">
        <v>171</v>
      </c>
      <c r="KZ35" s="296" t="s">
        <v>171</v>
      </c>
      <c r="LA35" s="298">
        <f t="shared" si="8"/>
        <v>0</v>
      </c>
      <c r="LB35" s="455">
        <f t="shared" si="60"/>
        <v>0</v>
      </c>
      <c r="LC35" s="32" t="str">
        <f t="shared" si="9"/>
        <v/>
      </c>
      <c r="LD35" s="33" t="str">
        <f t="shared" si="10"/>
        <v/>
      </c>
      <c r="LE35" s="33" t="str">
        <f t="shared" si="11"/>
        <v/>
      </c>
      <c r="LF35" s="296" t="str">
        <f t="shared" si="12"/>
        <v/>
      </c>
      <c r="LG35" s="298">
        <f t="shared" si="13"/>
        <v>0</v>
      </c>
      <c r="LH35" s="32"/>
      <c r="LI35" s="33"/>
      <c r="LJ35" s="33"/>
      <c r="LK35" s="296"/>
      <c r="LL35" s="298"/>
      <c r="LM35" s="32"/>
      <c r="LN35" s="33"/>
      <c r="LO35" s="33"/>
      <c r="LP35" s="296"/>
      <c r="LQ35" s="298"/>
      <c r="LR35" s="32"/>
      <c r="LS35" s="33"/>
      <c r="LT35" s="33"/>
      <c r="LU35" s="296"/>
      <c r="LV35" s="298"/>
      <c r="LW35" s="32"/>
      <c r="LX35" s="33"/>
      <c r="LY35" s="33"/>
      <c r="LZ35" s="296"/>
      <c r="MA35" s="298"/>
      <c r="MB35" s="32"/>
      <c r="MC35" s="33"/>
      <c r="MD35" s="33"/>
      <c r="ME35" s="296"/>
      <c r="MF35" s="298"/>
      <c r="MG35" s="32"/>
      <c r="MH35" s="33"/>
      <c r="MI35" s="33"/>
      <c r="MJ35" s="296"/>
      <c r="MK35" s="298"/>
      <c r="ML35" s="32"/>
      <c r="MM35" s="33"/>
      <c r="MN35" s="33"/>
      <c r="MO35" s="296"/>
      <c r="MP35" s="298">
        <f t="shared" si="67"/>
        <v>0</v>
      </c>
      <c r="MQ35" s="32"/>
      <c r="MR35" s="33"/>
      <c r="MS35" s="33"/>
      <c r="MT35" s="296"/>
      <c r="MU35" s="298">
        <f t="shared" si="68"/>
        <v>0</v>
      </c>
      <c r="MV35" s="32"/>
      <c r="MW35" s="33"/>
      <c r="MX35" s="33"/>
      <c r="MY35" s="296"/>
      <c r="MZ35" s="298">
        <f t="shared" si="69"/>
        <v>0</v>
      </c>
      <c r="NA35" s="32"/>
      <c r="NB35" s="33"/>
      <c r="NC35" s="33"/>
      <c r="ND35" s="296"/>
      <c r="NE35" s="298">
        <f t="shared" si="70"/>
        <v>0</v>
      </c>
      <c r="NF35" s="32"/>
      <c r="NG35" s="33"/>
      <c r="NH35" s="33"/>
      <c r="NI35" s="296"/>
      <c r="NJ35" s="298">
        <f t="shared" si="14"/>
        <v>0</v>
      </c>
      <c r="NK35" s="455">
        <f t="shared" si="71"/>
        <v>0</v>
      </c>
    </row>
    <row r="36" spans="1:375" ht="16.5" thickBot="1" x14ac:dyDescent="0.3">
      <c r="A36" s="323"/>
      <c r="B36" s="336"/>
      <c r="C36" s="325"/>
      <c r="D36" s="332"/>
      <c r="E36" s="333"/>
      <c r="F36" s="334"/>
      <c r="G36" s="335"/>
      <c r="H36" s="337"/>
      <c r="I36" s="338"/>
      <c r="J36" s="185"/>
      <c r="K36" s="185"/>
      <c r="L36" s="339"/>
      <c r="M36" s="340"/>
      <c r="N36" s="338"/>
      <c r="O36" s="185"/>
      <c r="P36" s="185"/>
      <c r="Q36" s="339"/>
      <c r="R36" s="256"/>
      <c r="S36" s="338"/>
      <c r="T36" s="185"/>
      <c r="U36" s="185"/>
      <c r="V36" s="339"/>
      <c r="W36" s="256"/>
      <c r="X36" s="338"/>
      <c r="Y36" s="185"/>
      <c r="Z36" s="185"/>
      <c r="AA36" s="339"/>
      <c r="AB36" s="256"/>
      <c r="AC36" s="341"/>
      <c r="AD36" s="342"/>
      <c r="AE36" s="342"/>
      <c r="AF36" s="343"/>
      <c r="AG36" s="260"/>
      <c r="AH36" s="341"/>
      <c r="AI36" s="342"/>
      <c r="AJ36" s="342"/>
      <c r="AK36" s="343"/>
      <c r="AL36" s="344"/>
      <c r="AM36" s="345"/>
      <c r="AN36" s="346"/>
      <c r="AO36" s="346"/>
      <c r="AP36" s="265"/>
      <c r="AQ36" s="347"/>
      <c r="AR36" s="345"/>
      <c r="AS36" s="346"/>
      <c r="AT36" s="346"/>
      <c r="AU36" s="348"/>
      <c r="AV36" s="298"/>
      <c r="AW36" s="345"/>
      <c r="AX36" s="346"/>
      <c r="AY36" s="346"/>
      <c r="AZ36" s="348"/>
      <c r="BA36" s="298"/>
      <c r="BB36" s="345"/>
      <c r="BC36" s="346"/>
      <c r="BD36" s="346"/>
      <c r="BE36" s="348"/>
      <c r="BF36" s="298"/>
      <c r="BG36" s="32"/>
      <c r="BH36" s="33"/>
      <c r="BI36" s="33"/>
      <c r="BJ36" s="299"/>
      <c r="BK36" s="298">
        <f t="shared" si="84"/>
        <v>0</v>
      </c>
      <c r="BL36" s="32"/>
      <c r="BM36" s="33"/>
      <c r="BN36" s="33"/>
      <c r="BO36" s="299"/>
      <c r="BP36" s="297">
        <f t="shared" si="77"/>
        <v>0</v>
      </c>
      <c r="BQ36" s="455">
        <f t="shared" si="2"/>
        <v>0</v>
      </c>
      <c r="BR36" s="32"/>
      <c r="BS36" s="43"/>
      <c r="BT36" s="43"/>
      <c r="BU36" s="781"/>
      <c r="BV36" s="782">
        <f t="shared" si="19"/>
        <v>0</v>
      </c>
      <c r="BW36" s="783"/>
      <c r="BX36" s="43"/>
      <c r="BY36" s="43"/>
      <c r="BZ36" s="781"/>
      <c r="CA36" s="784">
        <f t="shared" si="20"/>
        <v>0</v>
      </c>
      <c r="CB36" s="785"/>
      <c r="CC36" s="786"/>
      <c r="CD36" s="786"/>
      <c r="CE36" s="787"/>
      <c r="CF36" s="788">
        <f t="shared" si="78"/>
        <v>0</v>
      </c>
      <c r="CG36" s="785"/>
      <c r="CH36" s="786"/>
      <c r="CI36" s="786"/>
      <c r="CJ36" s="787"/>
      <c r="CK36" s="788">
        <f t="shared" si="79"/>
        <v>0</v>
      </c>
      <c r="CL36" s="785"/>
      <c r="CM36" s="786"/>
      <c r="CN36" s="786"/>
      <c r="CO36" s="787"/>
      <c r="CP36" s="788">
        <f t="shared" si="80"/>
        <v>0</v>
      </c>
      <c r="CQ36" s="789"/>
      <c r="CR36" s="367"/>
      <c r="CS36" s="367"/>
      <c r="CT36" s="790"/>
      <c r="CU36" s="791"/>
      <c r="CV36" s="789"/>
      <c r="CW36" s="367"/>
      <c r="CX36" s="367"/>
      <c r="CY36" s="790"/>
      <c r="CZ36" s="791"/>
      <c r="DA36" s="789"/>
      <c r="DB36" s="367"/>
      <c r="DC36" s="367"/>
      <c r="DD36" s="790"/>
      <c r="DE36" s="791"/>
      <c r="DF36" s="789"/>
      <c r="DG36" s="367"/>
      <c r="DH36" s="367"/>
      <c r="DI36" s="790"/>
      <c r="DJ36" s="791"/>
      <c r="DK36" s="789"/>
      <c r="DL36" s="367"/>
      <c r="DM36" s="367"/>
      <c r="DN36" s="790"/>
      <c r="DO36" s="791"/>
      <c r="DP36" s="789"/>
      <c r="DQ36" s="367"/>
      <c r="DR36" s="367"/>
      <c r="DS36" s="790"/>
      <c r="DT36" s="791"/>
      <c r="DU36" s="789"/>
      <c r="DV36" s="367"/>
      <c r="DW36" s="367"/>
      <c r="DX36" s="790"/>
      <c r="DY36" s="791"/>
      <c r="DZ36" s="455">
        <f t="shared" si="6"/>
        <v>0</v>
      </c>
      <c r="EA36" s="789"/>
      <c r="EB36" s="367"/>
      <c r="EC36" s="367"/>
      <c r="ED36" s="790"/>
      <c r="EE36" s="791"/>
      <c r="EF36" s="789"/>
      <c r="EG36" s="367"/>
      <c r="EH36" s="367"/>
      <c r="EI36" s="790"/>
      <c r="EJ36" s="791"/>
      <c r="EK36" s="789"/>
      <c r="EL36" s="367"/>
      <c r="EM36" s="367"/>
      <c r="EN36" s="790"/>
      <c r="EO36" s="791"/>
      <c r="EP36" s="789"/>
      <c r="EQ36" s="367"/>
      <c r="ER36" s="367"/>
      <c r="ES36" s="790"/>
      <c r="ET36" s="791"/>
      <c r="EU36" s="789"/>
      <c r="EV36" s="367"/>
      <c r="EW36" s="367"/>
      <c r="EX36" s="790"/>
      <c r="EY36" s="791"/>
      <c r="EZ36" s="789"/>
      <c r="FA36" s="367"/>
      <c r="FB36" s="367"/>
      <c r="FC36" s="790"/>
      <c r="FD36" s="791"/>
      <c r="FE36" s="789"/>
      <c r="FF36" s="367"/>
      <c r="FG36" s="367"/>
      <c r="FH36" s="790"/>
      <c r="FI36" s="791"/>
      <c r="FJ36" s="789"/>
      <c r="FK36" s="367"/>
      <c r="FL36" s="367"/>
      <c r="FM36" s="790"/>
      <c r="FN36" s="791"/>
      <c r="FO36" s="789"/>
      <c r="FP36" s="367"/>
      <c r="FQ36" s="367"/>
      <c r="FR36" s="790"/>
      <c r="FS36" s="791"/>
      <c r="FT36" s="789"/>
      <c r="FU36" s="367"/>
      <c r="FV36" s="367"/>
      <c r="FW36" s="790"/>
      <c r="FX36" s="791"/>
      <c r="FY36" s="789"/>
      <c r="FZ36" s="367"/>
      <c r="GA36" s="367"/>
      <c r="GB36" s="790"/>
      <c r="GC36" s="791"/>
      <c r="GD36" s="789"/>
      <c r="GE36" s="367"/>
      <c r="GF36" s="367"/>
      <c r="GG36" s="790"/>
      <c r="GH36" s="791"/>
      <c r="GI36" s="455">
        <f t="shared" si="7"/>
        <v>0</v>
      </c>
      <c r="GJ36" s="302"/>
      <c r="GK36" s="303"/>
      <c r="GL36" s="303"/>
      <c r="GM36" s="304"/>
      <c r="GN36" s="305"/>
      <c r="GO36" s="302"/>
      <c r="GP36" s="303"/>
      <c r="GQ36" s="303"/>
      <c r="GR36" s="304"/>
      <c r="GS36" s="305"/>
      <c r="GT36" s="302"/>
      <c r="GU36" s="303"/>
      <c r="GV36" s="303"/>
      <c r="GW36" s="304"/>
      <c r="GX36" s="305"/>
      <c r="GY36" s="302"/>
      <c r="GZ36" s="303"/>
      <c r="HA36" s="303"/>
      <c r="HB36" s="304"/>
      <c r="HC36" s="305"/>
      <c r="HD36" s="302"/>
      <c r="HE36" s="303"/>
      <c r="HF36" s="303"/>
      <c r="HG36" s="304"/>
      <c r="HH36" s="305"/>
      <c r="HI36" s="302"/>
      <c r="HJ36" s="303"/>
      <c r="HK36" s="303"/>
      <c r="HL36" s="304"/>
      <c r="HM36" s="305"/>
      <c r="HN36" s="302"/>
      <c r="HO36" s="303"/>
      <c r="HP36" s="303"/>
      <c r="HQ36" s="304"/>
      <c r="HR36" s="305"/>
      <c r="HS36" s="302"/>
      <c r="HT36" s="303"/>
      <c r="HU36" s="303"/>
      <c r="HV36" s="304"/>
      <c r="HW36" s="305"/>
      <c r="HX36" s="302"/>
      <c r="HY36" s="303"/>
      <c r="HZ36" s="303"/>
      <c r="IA36" s="304"/>
      <c r="IB36" s="305"/>
      <c r="IC36" s="302"/>
      <c r="ID36" s="303"/>
      <c r="IE36" s="303"/>
      <c r="IF36" s="304"/>
      <c r="IG36" s="305"/>
      <c r="IH36" s="61"/>
      <c r="II36" s="62"/>
      <c r="IJ36" s="62"/>
      <c r="IK36" s="301"/>
      <c r="IL36" s="300"/>
      <c r="IM36" s="61"/>
      <c r="IN36" s="62"/>
      <c r="IO36" s="301"/>
      <c r="IP36" s="296"/>
      <c r="IQ36" s="442"/>
      <c r="IR36" s="442"/>
      <c r="IS36" s="455">
        <f t="shared" si="48"/>
        <v>0</v>
      </c>
      <c r="IT36" s="449"/>
      <c r="IU36" s="309"/>
      <c r="IV36" s="33"/>
      <c r="IW36" s="296"/>
      <c r="IX36" s="298"/>
      <c r="IY36" s="32"/>
      <c r="IZ36" s="33"/>
      <c r="JA36" s="33"/>
      <c r="JB36" s="296"/>
      <c r="JC36" s="298"/>
      <c r="JD36" s="32"/>
      <c r="JE36" s="33"/>
      <c r="JF36" s="33"/>
      <c r="JG36" s="296"/>
      <c r="JH36" s="298"/>
      <c r="JI36" s="32"/>
      <c r="JJ36" s="33"/>
      <c r="JK36" s="33"/>
      <c r="JL36" s="296"/>
      <c r="JM36" s="298"/>
      <c r="JN36" s="32"/>
      <c r="JO36" s="33"/>
      <c r="JP36" s="33"/>
      <c r="JQ36" s="296"/>
      <c r="JR36" s="298"/>
      <c r="JS36" s="32"/>
      <c r="JT36" s="33"/>
      <c r="JU36" s="33"/>
      <c r="JV36" s="296"/>
      <c r="JW36" s="298"/>
      <c r="JX36" s="32"/>
      <c r="JY36" s="33"/>
      <c r="JZ36" s="33"/>
      <c r="KA36" s="296"/>
      <c r="KB36" s="298"/>
      <c r="KC36" s="32"/>
      <c r="KD36" s="33"/>
      <c r="KE36" s="33"/>
      <c r="KF36" s="296"/>
      <c r="KG36" s="298">
        <f t="shared" si="56"/>
        <v>0</v>
      </c>
      <c r="KH36" s="32" t="s">
        <v>171</v>
      </c>
      <c r="KI36" s="33" t="s">
        <v>171</v>
      </c>
      <c r="KJ36" s="33" t="s">
        <v>171</v>
      </c>
      <c r="KK36" s="296" t="s">
        <v>171</v>
      </c>
      <c r="KL36" s="298">
        <f t="shared" si="57"/>
        <v>0</v>
      </c>
      <c r="KM36" s="32" t="s">
        <v>171</v>
      </c>
      <c r="KN36" s="33" t="s">
        <v>171</v>
      </c>
      <c r="KO36" s="33" t="s">
        <v>171</v>
      </c>
      <c r="KP36" s="296" t="s">
        <v>171</v>
      </c>
      <c r="KQ36" s="298">
        <f t="shared" si="58"/>
        <v>0</v>
      </c>
      <c r="KR36" s="32" t="s">
        <v>171</v>
      </c>
      <c r="KS36" s="33" t="s">
        <v>171</v>
      </c>
      <c r="KT36" s="33" t="s">
        <v>171</v>
      </c>
      <c r="KU36" s="296" t="s">
        <v>171</v>
      </c>
      <c r="KV36" s="298">
        <f t="shared" si="59"/>
        <v>0</v>
      </c>
      <c r="KW36" s="32" t="s">
        <v>171</v>
      </c>
      <c r="KX36" s="33" t="s">
        <v>171</v>
      </c>
      <c r="KY36" s="33" t="s">
        <v>171</v>
      </c>
      <c r="KZ36" s="296" t="s">
        <v>171</v>
      </c>
      <c r="LA36" s="298">
        <f t="shared" si="8"/>
        <v>0</v>
      </c>
      <c r="LB36" s="455">
        <f t="shared" si="60"/>
        <v>0</v>
      </c>
      <c r="LC36" s="32" t="str">
        <f t="shared" si="9"/>
        <v/>
      </c>
      <c r="LD36" s="33" t="str">
        <f t="shared" si="10"/>
        <v/>
      </c>
      <c r="LE36" s="33" t="str">
        <f t="shared" si="11"/>
        <v/>
      </c>
      <c r="LF36" s="296" t="str">
        <f t="shared" si="12"/>
        <v/>
      </c>
      <c r="LG36" s="298">
        <f t="shared" si="13"/>
        <v>0</v>
      </c>
      <c r="LH36" s="32"/>
      <c r="LI36" s="33"/>
      <c r="LJ36" s="33"/>
      <c r="LK36" s="296"/>
      <c r="LL36" s="298"/>
      <c r="LM36" s="32"/>
      <c r="LN36" s="33"/>
      <c r="LO36" s="33"/>
      <c r="LP36" s="296"/>
      <c r="LQ36" s="298"/>
      <c r="LR36" s="32"/>
      <c r="LS36" s="33"/>
      <c r="LT36" s="33"/>
      <c r="LU36" s="296"/>
      <c r="LV36" s="298"/>
      <c r="LW36" s="32"/>
      <c r="LX36" s="33"/>
      <c r="LY36" s="33"/>
      <c r="LZ36" s="296"/>
      <c r="MA36" s="298"/>
      <c r="MB36" s="32"/>
      <c r="MC36" s="33"/>
      <c r="MD36" s="33"/>
      <c r="ME36" s="296"/>
      <c r="MF36" s="298"/>
      <c r="MG36" s="32"/>
      <c r="MH36" s="33"/>
      <c r="MI36" s="33"/>
      <c r="MJ36" s="296"/>
      <c r="MK36" s="298"/>
      <c r="ML36" s="32"/>
      <c r="MM36" s="33"/>
      <c r="MN36" s="33"/>
      <c r="MO36" s="296"/>
      <c r="MP36" s="298">
        <f t="shared" si="67"/>
        <v>0</v>
      </c>
      <c r="MQ36" s="32"/>
      <c r="MR36" s="33"/>
      <c r="MS36" s="33"/>
      <c r="MT36" s="296"/>
      <c r="MU36" s="298">
        <f t="shared" si="68"/>
        <v>0</v>
      </c>
      <c r="MV36" s="32"/>
      <c r="MW36" s="33"/>
      <c r="MX36" s="33"/>
      <c r="MY36" s="296"/>
      <c r="MZ36" s="298">
        <f t="shared" si="69"/>
        <v>0</v>
      </c>
      <c r="NA36" s="32"/>
      <c r="NB36" s="33"/>
      <c r="NC36" s="33"/>
      <c r="ND36" s="296"/>
      <c r="NE36" s="298">
        <f t="shared" si="70"/>
        <v>0</v>
      </c>
      <c r="NF36" s="32"/>
      <c r="NG36" s="33"/>
      <c r="NH36" s="33"/>
      <c r="NI36" s="296"/>
      <c r="NJ36" s="298">
        <f t="shared" si="14"/>
        <v>0</v>
      </c>
      <c r="NK36" s="455">
        <f t="shared" si="71"/>
        <v>0</v>
      </c>
    </row>
    <row r="37" spans="1:375" ht="16.5" thickBot="1" x14ac:dyDescent="0.3">
      <c r="A37" s="322" t="s">
        <v>128</v>
      </c>
      <c r="B37" s="349">
        <v>105</v>
      </c>
      <c r="C37" s="325">
        <v>50</v>
      </c>
      <c r="D37" s="332">
        <v>3.78</v>
      </c>
      <c r="E37" s="333"/>
      <c r="F37" s="334"/>
      <c r="G37" s="335"/>
      <c r="H37" s="337">
        <f t="shared" si="15"/>
        <v>3.78</v>
      </c>
      <c r="I37" s="350">
        <v>3.76</v>
      </c>
      <c r="J37" s="185"/>
      <c r="K37" s="185"/>
      <c r="L37" s="339"/>
      <c r="M37" s="340">
        <f t="shared" si="16"/>
        <v>3.76</v>
      </c>
      <c r="N37" s="350"/>
      <c r="O37" s="185"/>
      <c r="P37" s="185"/>
      <c r="Q37" s="339"/>
      <c r="R37" s="256">
        <f t="shared" si="0"/>
        <v>0</v>
      </c>
      <c r="S37" s="350">
        <v>8.2100000000000009</v>
      </c>
      <c r="T37" s="185">
        <v>2.0499999999999998</v>
      </c>
      <c r="U37" s="185"/>
      <c r="V37" s="339"/>
      <c r="W37" s="256">
        <f t="shared" si="1"/>
        <v>10.260000000000002</v>
      </c>
      <c r="X37" s="350">
        <v>3.61</v>
      </c>
      <c r="Y37" s="185">
        <v>2.2999999999999998</v>
      </c>
      <c r="Z37" s="185"/>
      <c r="AA37" s="339"/>
      <c r="AB37" s="256">
        <f t="shared" si="17"/>
        <v>5.91</v>
      </c>
      <c r="AC37" s="351">
        <v>4.21</v>
      </c>
      <c r="AD37" s="342">
        <v>5.2</v>
      </c>
      <c r="AE37" s="342"/>
      <c r="AF37" s="343"/>
      <c r="AG37" s="260">
        <f>SUM(AC37:AF37)</f>
        <v>9.41</v>
      </c>
      <c r="AH37" s="351">
        <v>7.56</v>
      </c>
      <c r="AI37" s="342">
        <v>3.86</v>
      </c>
      <c r="AJ37" s="342"/>
      <c r="AK37" s="343"/>
      <c r="AL37" s="352">
        <f>SUM(AH37:AK37)</f>
        <v>11.42</v>
      </c>
      <c r="AM37" s="345">
        <v>5.88</v>
      </c>
      <c r="AN37" s="346"/>
      <c r="AO37" s="346"/>
      <c r="AP37" s="265"/>
      <c r="AQ37" s="347">
        <f t="shared" si="73"/>
        <v>5.88</v>
      </c>
      <c r="AR37" s="345">
        <v>5.88</v>
      </c>
      <c r="AS37" s="346">
        <v>4.7</v>
      </c>
      <c r="AT37" s="346"/>
      <c r="AU37" s="348"/>
      <c r="AV37" s="298">
        <f t="shared" si="74"/>
        <v>10.58</v>
      </c>
      <c r="AW37" s="345">
        <v>4.13</v>
      </c>
      <c r="AX37" s="346">
        <v>3.83</v>
      </c>
      <c r="AY37" s="346"/>
      <c r="AZ37" s="348"/>
      <c r="BA37" s="298">
        <f t="shared" si="75"/>
        <v>7.96</v>
      </c>
      <c r="BB37" s="345">
        <v>4.49</v>
      </c>
      <c r="BC37" s="346">
        <v>6.15</v>
      </c>
      <c r="BD37" s="346"/>
      <c r="BE37" s="348"/>
      <c r="BF37" s="298">
        <f>SUM(BB37:BE37)</f>
        <v>10.64</v>
      </c>
      <c r="BG37" s="32"/>
      <c r="BH37" s="33"/>
      <c r="BI37" s="33"/>
      <c r="BJ37" s="299"/>
      <c r="BK37" s="298">
        <f t="shared" si="84"/>
        <v>0</v>
      </c>
      <c r="BL37" s="32"/>
      <c r="BM37" s="33"/>
      <c r="BN37" s="33"/>
      <c r="BO37" s="299"/>
      <c r="BP37" s="297">
        <f t="shared" si="77"/>
        <v>0</v>
      </c>
      <c r="BQ37" s="455">
        <f t="shared" si="2"/>
        <v>75.819999999999993</v>
      </c>
      <c r="BR37" s="32"/>
      <c r="BS37" s="43"/>
      <c r="BT37" s="43"/>
      <c r="BU37" s="781"/>
      <c r="BV37" s="782">
        <f t="shared" si="19"/>
        <v>0</v>
      </c>
      <c r="BW37" s="783"/>
      <c r="BX37" s="43"/>
      <c r="BY37" s="43"/>
      <c r="BZ37" s="781"/>
      <c r="CA37" s="784">
        <f t="shared" si="20"/>
        <v>0</v>
      </c>
      <c r="CB37" s="785"/>
      <c r="CC37" s="786"/>
      <c r="CD37" s="786"/>
      <c r="CE37" s="787"/>
      <c r="CF37" s="788">
        <f t="shared" si="78"/>
        <v>0</v>
      </c>
      <c r="CG37" s="785"/>
      <c r="CH37" s="786"/>
      <c r="CI37" s="786"/>
      <c r="CJ37" s="787"/>
      <c r="CK37" s="788">
        <f t="shared" si="79"/>
        <v>0</v>
      </c>
      <c r="CL37" s="785"/>
      <c r="CM37" s="786"/>
      <c r="CN37" s="786"/>
      <c r="CO37" s="787"/>
      <c r="CP37" s="788">
        <f t="shared" si="80"/>
        <v>0</v>
      </c>
      <c r="CQ37" s="789"/>
      <c r="CR37" s="367"/>
      <c r="CS37" s="367"/>
      <c r="CT37" s="790"/>
      <c r="CU37" s="791"/>
      <c r="CV37" s="789"/>
      <c r="CW37" s="367"/>
      <c r="CX37" s="367"/>
      <c r="CY37" s="790"/>
      <c r="CZ37" s="791">
        <v>0</v>
      </c>
      <c r="DA37" s="789"/>
      <c r="DB37" s="367"/>
      <c r="DC37" s="367"/>
      <c r="DD37" s="790"/>
      <c r="DE37" s="791">
        <v>0</v>
      </c>
      <c r="DF37" s="789">
        <v>3.05</v>
      </c>
      <c r="DG37" s="367"/>
      <c r="DH37" s="367"/>
      <c r="DI37" s="790"/>
      <c r="DJ37" s="791">
        <f>SUM(DF37:DI37)</f>
        <v>3.05</v>
      </c>
      <c r="DK37" s="789"/>
      <c r="DL37" s="367"/>
      <c r="DM37" s="367"/>
      <c r="DN37" s="790"/>
      <c r="DO37" s="791">
        <f>SUM(DK37:DN37)</f>
        <v>0</v>
      </c>
      <c r="DP37" s="789"/>
      <c r="DQ37" s="367"/>
      <c r="DR37" s="367"/>
      <c r="DS37" s="790"/>
      <c r="DT37" s="791">
        <f>SUM(DP37:DS37)</f>
        <v>0</v>
      </c>
      <c r="DU37" s="789"/>
      <c r="DV37" s="367"/>
      <c r="DW37" s="367"/>
      <c r="DX37" s="790"/>
      <c r="DY37" s="791">
        <f>SUM(DU37:DX37)</f>
        <v>0</v>
      </c>
      <c r="DZ37" s="455">
        <f t="shared" si="6"/>
        <v>3.05</v>
      </c>
      <c r="EA37" s="789"/>
      <c r="EB37" s="367"/>
      <c r="EC37" s="367"/>
      <c r="ED37" s="790"/>
      <c r="EE37" s="791">
        <f>SUM(EA37:ED37)</f>
        <v>0</v>
      </c>
      <c r="EF37" s="789"/>
      <c r="EG37" s="367"/>
      <c r="EH37" s="367"/>
      <c r="EI37" s="790"/>
      <c r="EJ37" s="791">
        <f>SUM(EF37:EI37)</f>
        <v>0</v>
      </c>
      <c r="EK37" s="789"/>
      <c r="EL37" s="367"/>
      <c r="EM37" s="367"/>
      <c r="EN37" s="790"/>
      <c r="EO37" s="791">
        <f>SUM(EK37:EN37)</f>
        <v>0</v>
      </c>
      <c r="EP37" s="789"/>
      <c r="EQ37" s="367"/>
      <c r="ER37" s="367"/>
      <c r="ES37" s="790"/>
      <c r="ET37" s="791">
        <f>SUM(EP37:ES37)</f>
        <v>0</v>
      </c>
      <c r="EU37" s="789"/>
      <c r="EV37" s="367"/>
      <c r="EW37" s="367"/>
      <c r="EX37" s="790"/>
      <c r="EY37" s="791">
        <f>SUM(EU37:EX37)</f>
        <v>0</v>
      </c>
      <c r="EZ37" s="789"/>
      <c r="FA37" s="367"/>
      <c r="FB37" s="367"/>
      <c r="FC37" s="790"/>
      <c r="FD37" s="791">
        <f>SUM(EZ37:FC37)</f>
        <v>0</v>
      </c>
      <c r="FE37" s="789"/>
      <c r="FF37" s="367"/>
      <c r="FG37" s="367"/>
      <c r="FH37" s="790"/>
      <c r="FI37" s="791">
        <f>SUM(FE37:FH37)</f>
        <v>0</v>
      </c>
      <c r="FJ37" s="789"/>
      <c r="FK37" s="367"/>
      <c r="FL37" s="367"/>
      <c r="FM37" s="790"/>
      <c r="FN37" s="791">
        <f>SUM(FJ37:FM37)</f>
        <v>0</v>
      </c>
      <c r="FO37" s="789"/>
      <c r="FP37" s="367"/>
      <c r="FQ37" s="367"/>
      <c r="FR37" s="790"/>
      <c r="FS37" s="791">
        <f>SUM(FO37:FR37)</f>
        <v>0</v>
      </c>
      <c r="FT37" s="789"/>
      <c r="FU37" s="367"/>
      <c r="FV37" s="367"/>
      <c r="FW37" s="790"/>
      <c r="FX37" s="791">
        <f>SUM(FT37:FW37)</f>
        <v>0</v>
      </c>
      <c r="FY37" s="789"/>
      <c r="FZ37" s="367"/>
      <c r="GA37" s="367"/>
      <c r="GB37" s="790"/>
      <c r="GC37" s="791">
        <f>SUM(FY37:GB37)</f>
        <v>0</v>
      </c>
      <c r="GD37" s="789"/>
      <c r="GE37" s="367"/>
      <c r="GF37" s="367"/>
      <c r="GG37" s="790"/>
      <c r="GH37" s="791">
        <f>SUM(GD37:GG37)</f>
        <v>0</v>
      </c>
      <c r="GI37" s="455">
        <f t="shared" si="7"/>
        <v>0</v>
      </c>
      <c r="GJ37" s="353"/>
      <c r="GK37" s="354"/>
      <c r="GL37" s="354"/>
      <c r="GM37" s="355"/>
      <c r="GN37" s="305">
        <f>SUM(GJ37:GM37)</f>
        <v>0</v>
      </c>
      <c r="GO37" s="353"/>
      <c r="GP37" s="354"/>
      <c r="GQ37" s="354"/>
      <c r="GR37" s="355"/>
      <c r="GS37" s="305">
        <f>SUM(GO37:GR37)</f>
        <v>0</v>
      </c>
      <c r="GT37" s="302">
        <v>0.15</v>
      </c>
      <c r="GU37" s="310"/>
      <c r="GV37" s="303"/>
      <c r="GW37" s="304"/>
      <c r="GX37" s="305">
        <f>SUM(GT37:GW37)</f>
        <v>0.15</v>
      </c>
      <c r="GY37" s="302"/>
      <c r="GZ37" s="303"/>
      <c r="HA37" s="303"/>
      <c r="HB37" s="304"/>
      <c r="HC37" s="305">
        <f>SUM(GY37:HB37)</f>
        <v>0</v>
      </c>
      <c r="HD37" s="302"/>
      <c r="HE37" s="303"/>
      <c r="HF37" s="303"/>
      <c r="HG37" s="304"/>
      <c r="HH37" s="305">
        <f>SUM(HD37:HG37)</f>
        <v>0</v>
      </c>
      <c r="HI37" s="302"/>
      <c r="HJ37" s="303"/>
      <c r="HK37" s="303"/>
      <c r="HL37" s="304"/>
      <c r="HM37" s="305">
        <f>SUM(HI37:HL37)</f>
        <v>0</v>
      </c>
      <c r="HN37" s="302"/>
      <c r="HO37" s="303"/>
      <c r="HP37" s="303"/>
      <c r="HQ37" s="304"/>
      <c r="HR37" s="305">
        <f>SUM(HN37:HQ37)</f>
        <v>0</v>
      </c>
      <c r="HS37" s="302"/>
      <c r="HT37" s="303"/>
      <c r="HU37" s="303"/>
      <c r="HV37" s="304"/>
      <c r="HW37" s="305">
        <f>SUM(HS37:HV37)</f>
        <v>0</v>
      </c>
      <c r="HX37" s="302"/>
      <c r="HY37" s="303"/>
      <c r="HZ37" s="303"/>
      <c r="IA37" s="304"/>
      <c r="IB37" s="305">
        <f>SUM(HX37:IA37)</f>
        <v>0</v>
      </c>
      <c r="IC37" s="302"/>
      <c r="ID37" s="303"/>
      <c r="IE37" s="303"/>
      <c r="IF37" s="304"/>
      <c r="IG37" s="305">
        <f>SUM(IC37:IF37)</f>
        <v>0</v>
      </c>
      <c r="IH37" s="61"/>
      <c r="II37" s="62"/>
      <c r="IJ37" s="62"/>
      <c r="IK37" s="301"/>
      <c r="IL37" s="300">
        <f>SUM(IH37:IK37)</f>
        <v>0</v>
      </c>
      <c r="IM37" s="61"/>
      <c r="IN37" s="62"/>
      <c r="IO37" s="301"/>
      <c r="IP37" s="296"/>
      <c r="IQ37" s="442">
        <f>SUM(IM37:IP37)</f>
        <v>0</v>
      </c>
      <c r="IR37" s="442"/>
      <c r="IS37" s="455">
        <f t="shared" si="48"/>
        <v>0.15</v>
      </c>
      <c r="IT37" s="449"/>
      <c r="IU37" s="309"/>
      <c r="IV37" s="33"/>
      <c r="IW37" s="296"/>
      <c r="IX37" s="298">
        <f>SUM(IT37:IW37)</f>
        <v>0</v>
      </c>
      <c r="IY37" s="32"/>
      <c r="IZ37" s="33"/>
      <c r="JA37" s="33"/>
      <c r="JB37" s="296"/>
      <c r="JC37" s="298">
        <f>SUM(IY37:JB37)</f>
        <v>0</v>
      </c>
      <c r="JD37" s="32"/>
      <c r="JE37" s="33"/>
      <c r="JF37" s="33"/>
      <c r="JG37" s="296"/>
      <c r="JH37" s="298">
        <f>SUM(JD37:JG37)</f>
        <v>0</v>
      </c>
      <c r="JI37" s="32"/>
      <c r="JJ37" s="33"/>
      <c r="JK37" s="33"/>
      <c r="JL37" s="296"/>
      <c r="JM37" s="298">
        <f>SUM(JI37:JL37)</f>
        <v>0</v>
      </c>
      <c r="JN37" s="32"/>
      <c r="JO37" s="33"/>
      <c r="JP37" s="33"/>
      <c r="JQ37" s="296"/>
      <c r="JR37" s="298">
        <f>SUM(JN37:JQ37)</f>
        <v>0</v>
      </c>
      <c r="JS37" s="32"/>
      <c r="JT37" s="33"/>
      <c r="JU37" s="33"/>
      <c r="JV37" s="296"/>
      <c r="JW37" s="298">
        <f>SUM(JS37:JV37)</f>
        <v>0</v>
      </c>
      <c r="JX37" s="32"/>
      <c r="JY37" s="33"/>
      <c r="JZ37" s="33"/>
      <c r="KA37" s="296"/>
      <c r="KB37" s="298">
        <f>SUM(JX37:KA37)</f>
        <v>0</v>
      </c>
      <c r="KC37" s="32"/>
      <c r="KD37" s="33"/>
      <c r="KE37" s="33"/>
      <c r="KF37" s="296"/>
      <c r="KG37" s="298">
        <f t="shared" si="56"/>
        <v>0</v>
      </c>
      <c r="KH37" s="32" t="s">
        <v>171</v>
      </c>
      <c r="KI37" s="33" t="s">
        <v>171</v>
      </c>
      <c r="KJ37" s="33" t="s">
        <v>171</v>
      </c>
      <c r="KK37" s="296" t="s">
        <v>171</v>
      </c>
      <c r="KL37" s="298">
        <f t="shared" si="57"/>
        <v>0</v>
      </c>
      <c r="KM37" s="32" t="s">
        <v>171</v>
      </c>
      <c r="KN37" s="33" t="s">
        <v>171</v>
      </c>
      <c r="KO37" s="33" t="s">
        <v>171</v>
      </c>
      <c r="KP37" s="296" t="s">
        <v>171</v>
      </c>
      <c r="KQ37" s="298">
        <f t="shared" si="58"/>
        <v>0</v>
      </c>
      <c r="KR37" s="32" t="s">
        <v>171</v>
      </c>
      <c r="KS37" s="33" t="s">
        <v>171</v>
      </c>
      <c r="KT37" s="33" t="s">
        <v>171</v>
      </c>
      <c r="KU37" s="296" t="s">
        <v>171</v>
      </c>
      <c r="KV37" s="298">
        <f t="shared" si="59"/>
        <v>0</v>
      </c>
      <c r="KW37" s="32" t="s">
        <v>171</v>
      </c>
      <c r="KX37" s="33" t="s">
        <v>171</v>
      </c>
      <c r="KY37" s="33" t="s">
        <v>171</v>
      </c>
      <c r="KZ37" s="296" t="s">
        <v>171</v>
      </c>
      <c r="LA37" s="298">
        <f t="shared" si="8"/>
        <v>0</v>
      </c>
      <c r="LB37" s="455">
        <f t="shared" si="60"/>
        <v>0</v>
      </c>
      <c r="LC37" s="32" t="str">
        <f t="shared" si="9"/>
        <v/>
      </c>
      <c r="LD37" s="33" t="str">
        <f t="shared" si="10"/>
        <v/>
      </c>
      <c r="LE37" s="33" t="str">
        <f t="shared" si="11"/>
        <v/>
      </c>
      <c r="LF37" s="296" t="str">
        <f t="shared" si="12"/>
        <v/>
      </c>
      <c r="LG37" s="298">
        <f t="shared" si="13"/>
        <v>0</v>
      </c>
      <c r="LH37" s="32"/>
      <c r="LI37" s="33"/>
      <c r="LJ37" s="33"/>
      <c r="LK37" s="296"/>
      <c r="LL37" s="298">
        <f>SUM(LH37:LK37)</f>
        <v>0</v>
      </c>
      <c r="LM37" s="32"/>
      <c r="LN37" s="33"/>
      <c r="LO37" s="33"/>
      <c r="LP37" s="296"/>
      <c r="LQ37" s="298">
        <f>SUM(LM37:LP37)</f>
        <v>0</v>
      </c>
      <c r="LR37" s="32"/>
      <c r="LS37" s="33"/>
      <c r="LT37" s="33"/>
      <c r="LU37" s="296"/>
      <c r="LV37" s="298">
        <f>SUM(LR37:LU37)</f>
        <v>0</v>
      </c>
      <c r="LW37" s="32"/>
      <c r="LX37" s="33"/>
      <c r="LY37" s="33"/>
      <c r="LZ37" s="296"/>
      <c r="MA37" s="298">
        <f>SUM(LW37:LZ37)</f>
        <v>0</v>
      </c>
      <c r="MB37" s="32"/>
      <c r="MC37" s="33"/>
      <c r="MD37" s="33"/>
      <c r="ME37" s="296"/>
      <c r="MF37" s="298">
        <f>SUM(MB37:ME37)</f>
        <v>0</v>
      </c>
      <c r="MG37" s="32"/>
      <c r="MH37" s="33"/>
      <c r="MI37" s="33"/>
      <c r="MJ37" s="296"/>
      <c r="MK37" s="298">
        <f>SUM(MG37:MJ37)</f>
        <v>0</v>
      </c>
      <c r="ML37" s="32"/>
      <c r="MM37" s="33"/>
      <c r="MN37" s="33"/>
      <c r="MO37" s="296"/>
      <c r="MP37" s="298">
        <f t="shared" si="67"/>
        <v>0</v>
      </c>
      <c r="MQ37" s="32"/>
      <c r="MR37" s="33"/>
      <c r="MS37" s="33"/>
      <c r="MT37" s="296"/>
      <c r="MU37" s="298">
        <f t="shared" si="68"/>
        <v>0</v>
      </c>
      <c r="MV37" s="32"/>
      <c r="MW37" s="33"/>
      <c r="MX37" s="33"/>
      <c r="MY37" s="296"/>
      <c r="MZ37" s="298">
        <f t="shared" si="69"/>
        <v>0</v>
      </c>
      <c r="NA37" s="32"/>
      <c r="NB37" s="33"/>
      <c r="NC37" s="33"/>
      <c r="ND37" s="296"/>
      <c r="NE37" s="298">
        <f t="shared" si="70"/>
        <v>0</v>
      </c>
      <c r="NF37" s="32"/>
      <c r="NG37" s="33"/>
      <c r="NH37" s="33"/>
      <c r="NI37" s="296"/>
      <c r="NJ37" s="298">
        <f t="shared" si="14"/>
        <v>0</v>
      </c>
      <c r="NK37" s="455">
        <f t="shared" si="71"/>
        <v>0</v>
      </c>
    </row>
    <row r="38" spans="1:375" ht="16.5" thickBot="1" x14ac:dyDescent="0.3">
      <c r="A38" s="356" t="s">
        <v>129</v>
      </c>
      <c r="B38" s="316">
        <v>114</v>
      </c>
      <c r="C38" s="317">
        <v>46</v>
      </c>
      <c r="D38" s="326"/>
      <c r="E38" s="327"/>
      <c r="F38" s="328"/>
      <c r="G38" s="329"/>
      <c r="H38" s="357"/>
      <c r="I38" s="358"/>
      <c r="J38" s="186"/>
      <c r="K38" s="186"/>
      <c r="L38" s="359"/>
      <c r="M38" s="340"/>
      <c r="N38" s="358"/>
      <c r="O38" s="186"/>
      <c r="P38" s="186"/>
      <c r="Q38" s="359"/>
      <c r="R38" s="256"/>
      <c r="S38" s="358"/>
      <c r="T38" s="186"/>
      <c r="U38" s="186"/>
      <c r="V38" s="359"/>
      <c r="W38" s="256"/>
      <c r="X38" s="358"/>
      <c r="Y38" s="186"/>
      <c r="Z38" s="186"/>
      <c r="AA38" s="359"/>
      <c r="AB38" s="256"/>
      <c r="AC38" s="360"/>
      <c r="AD38" s="361"/>
      <c r="AE38" s="361"/>
      <c r="AF38" s="362"/>
      <c r="AG38" s="363"/>
      <c r="AH38" s="351"/>
      <c r="AI38" s="342"/>
      <c r="AJ38" s="342"/>
      <c r="AK38" s="364"/>
      <c r="AL38" s="352"/>
      <c r="AM38" s="345"/>
      <c r="AN38" s="346"/>
      <c r="AO38" s="346"/>
      <c r="AP38" s="265"/>
      <c r="AQ38" s="347"/>
      <c r="AR38" s="345"/>
      <c r="AS38" s="346"/>
      <c r="AT38" s="346"/>
      <c r="AU38" s="348"/>
      <c r="AV38" s="365"/>
      <c r="AW38" s="345"/>
      <c r="AX38" s="346"/>
      <c r="AY38" s="346"/>
      <c r="AZ38" s="348"/>
      <c r="BA38" s="365"/>
      <c r="BB38" s="345"/>
      <c r="BC38" s="346"/>
      <c r="BD38" s="346"/>
      <c r="BE38" s="348"/>
      <c r="BF38" s="365"/>
      <c r="BG38" s="32"/>
      <c r="BH38" s="33"/>
      <c r="BI38" s="33"/>
      <c r="BJ38" s="299"/>
      <c r="BK38" s="298"/>
      <c r="BL38" s="32"/>
      <c r="BM38" s="33"/>
      <c r="BN38" s="33"/>
      <c r="BO38" s="299"/>
      <c r="BP38" s="297"/>
      <c r="BQ38" s="455">
        <f t="shared" si="2"/>
        <v>0</v>
      </c>
      <c r="BR38" s="32"/>
      <c r="BS38" s="43"/>
      <c r="BT38" s="43"/>
      <c r="BU38" s="781"/>
      <c r="BV38" s="782"/>
      <c r="BW38" s="783"/>
      <c r="BX38" s="43"/>
      <c r="BY38" s="43"/>
      <c r="BZ38" s="781"/>
      <c r="CA38" s="784"/>
      <c r="CB38" s="785"/>
      <c r="CC38" s="786"/>
      <c r="CD38" s="786"/>
      <c r="CE38" s="787"/>
      <c r="CF38" s="788"/>
      <c r="CG38" s="785"/>
      <c r="CH38" s="786"/>
      <c r="CI38" s="786"/>
      <c r="CJ38" s="787"/>
      <c r="CK38" s="788"/>
      <c r="CL38" s="785"/>
      <c r="CM38" s="786"/>
      <c r="CN38" s="786"/>
      <c r="CO38" s="787"/>
      <c r="CP38" s="788"/>
      <c r="CQ38" s="789"/>
      <c r="CR38" s="367"/>
      <c r="CS38" s="367"/>
      <c r="CT38" s="790"/>
      <c r="CU38" s="791"/>
      <c r="CV38" s="789"/>
      <c r="CW38" s="367"/>
      <c r="CX38" s="367"/>
      <c r="CY38" s="790"/>
      <c r="CZ38" s="791"/>
      <c r="DA38" s="789"/>
      <c r="DB38" s="367"/>
      <c r="DC38" s="367"/>
      <c r="DD38" s="790"/>
      <c r="DE38" s="791"/>
      <c r="DF38" s="789"/>
      <c r="DG38" s="367"/>
      <c r="DH38" s="367"/>
      <c r="DI38" s="790"/>
      <c r="DJ38" s="791"/>
      <c r="DK38" s="789"/>
      <c r="DL38" s="367"/>
      <c r="DM38" s="367"/>
      <c r="DN38" s="790"/>
      <c r="DO38" s="791"/>
      <c r="DP38" s="789"/>
      <c r="DQ38" s="367"/>
      <c r="DR38" s="367"/>
      <c r="DS38" s="790"/>
      <c r="DT38" s="791"/>
      <c r="DU38" s="789"/>
      <c r="DV38" s="367"/>
      <c r="DW38" s="367"/>
      <c r="DX38" s="790"/>
      <c r="DY38" s="791"/>
      <c r="DZ38" s="455">
        <f t="shared" si="6"/>
        <v>0</v>
      </c>
      <c r="EA38" s="789"/>
      <c r="EB38" s="367"/>
      <c r="EC38" s="367"/>
      <c r="ED38" s="790"/>
      <c r="EE38" s="791"/>
      <c r="EF38" s="789"/>
      <c r="EG38" s="367"/>
      <c r="EH38" s="367"/>
      <c r="EI38" s="790"/>
      <c r="EJ38" s="791"/>
      <c r="EK38" s="789"/>
      <c r="EL38" s="367"/>
      <c r="EM38" s="367"/>
      <c r="EN38" s="790"/>
      <c r="EO38" s="791"/>
      <c r="EP38" s="789"/>
      <c r="EQ38" s="367"/>
      <c r="ER38" s="367"/>
      <c r="ES38" s="790"/>
      <c r="ET38" s="791"/>
      <c r="EU38" s="789"/>
      <c r="EV38" s="367"/>
      <c r="EW38" s="367"/>
      <c r="EX38" s="790"/>
      <c r="EY38" s="791"/>
      <c r="EZ38" s="789"/>
      <c r="FA38" s="367"/>
      <c r="FB38" s="367"/>
      <c r="FC38" s="790"/>
      <c r="FD38" s="791"/>
      <c r="FE38" s="789"/>
      <c r="FF38" s="367"/>
      <c r="FG38" s="367"/>
      <c r="FH38" s="790"/>
      <c r="FI38" s="791"/>
      <c r="FJ38" s="789"/>
      <c r="FK38" s="367"/>
      <c r="FL38" s="367"/>
      <c r="FM38" s="790"/>
      <c r="FN38" s="791"/>
      <c r="FO38" s="789"/>
      <c r="FP38" s="367"/>
      <c r="FQ38" s="367"/>
      <c r="FR38" s="790"/>
      <c r="FS38" s="791"/>
      <c r="FT38" s="789"/>
      <c r="FU38" s="367"/>
      <c r="FV38" s="367"/>
      <c r="FW38" s="790"/>
      <c r="FX38" s="791"/>
      <c r="FY38" s="789"/>
      <c r="FZ38" s="367"/>
      <c r="GA38" s="367"/>
      <c r="GB38" s="790"/>
      <c r="GC38" s="791"/>
      <c r="GD38" s="789"/>
      <c r="GE38" s="367"/>
      <c r="GF38" s="367"/>
      <c r="GG38" s="790"/>
      <c r="GH38" s="791"/>
      <c r="GI38" s="455">
        <f t="shared" si="7"/>
        <v>0</v>
      </c>
      <c r="GJ38" s="353"/>
      <c r="GK38" s="354"/>
      <c r="GL38" s="354"/>
      <c r="GM38" s="355"/>
      <c r="GN38" s="305">
        <v>0</v>
      </c>
      <c r="GO38" s="353"/>
      <c r="GP38" s="354"/>
      <c r="GQ38" s="354"/>
      <c r="GR38" s="355"/>
      <c r="GS38" s="305">
        <v>0</v>
      </c>
      <c r="GT38" s="302">
        <v>0.15</v>
      </c>
      <c r="GU38" s="310"/>
      <c r="GV38" s="303"/>
      <c r="GW38" s="304"/>
      <c r="GX38" s="305">
        <f>SUM(GT38:GW38)</f>
        <v>0.15</v>
      </c>
      <c r="GY38" s="302"/>
      <c r="GZ38" s="303"/>
      <c r="HA38" s="303"/>
      <c r="HB38" s="304"/>
      <c r="HC38" s="305">
        <f>SUM(GY38:HB38)</f>
        <v>0</v>
      </c>
      <c r="HD38" s="302"/>
      <c r="HE38" s="303"/>
      <c r="HF38" s="303"/>
      <c r="HG38" s="304"/>
      <c r="HH38" s="305">
        <f>SUM(HD38:HG38)</f>
        <v>0</v>
      </c>
      <c r="HI38" s="302"/>
      <c r="HJ38" s="303"/>
      <c r="HK38" s="303"/>
      <c r="HL38" s="304"/>
      <c r="HM38" s="305">
        <f>SUM(HI38:HL38)</f>
        <v>0</v>
      </c>
      <c r="HN38" s="302"/>
      <c r="HO38" s="303"/>
      <c r="HP38" s="303"/>
      <c r="HQ38" s="304"/>
      <c r="HR38" s="305">
        <f>SUM(HN38:HQ38)</f>
        <v>0</v>
      </c>
      <c r="HS38" s="302"/>
      <c r="HT38" s="303"/>
      <c r="HU38" s="303"/>
      <c r="HV38" s="304"/>
      <c r="HW38" s="305">
        <f>SUM(HS38:HV38)</f>
        <v>0</v>
      </c>
      <c r="HX38" s="302"/>
      <c r="HY38" s="303"/>
      <c r="HZ38" s="303"/>
      <c r="IA38" s="304"/>
      <c r="IB38" s="305">
        <f>SUM(HX38:IA38)</f>
        <v>0</v>
      </c>
      <c r="IC38" s="302"/>
      <c r="ID38" s="303"/>
      <c r="IE38" s="303"/>
      <c r="IF38" s="304"/>
      <c r="IG38" s="305">
        <f>SUM(IC38:IF38)</f>
        <v>0</v>
      </c>
      <c r="IH38" s="61"/>
      <c r="II38" s="62"/>
      <c r="IJ38" s="62"/>
      <c r="IK38" s="301"/>
      <c r="IL38" s="300">
        <f>SUM(IH38:IK38)</f>
        <v>0</v>
      </c>
      <c r="IM38" s="61"/>
      <c r="IN38" s="62"/>
      <c r="IO38" s="301"/>
      <c r="IP38" s="296"/>
      <c r="IQ38" s="442">
        <f>SUM(IM38:IP38)</f>
        <v>0</v>
      </c>
      <c r="IR38" s="442"/>
      <c r="IS38" s="455">
        <f t="shared" si="48"/>
        <v>0.15</v>
      </c>
      <c r="IT38" s="449"/>
      <c r="IU38" s="309"/>
      <c r="IV38" s="33"/>
      <c r="IW38" s="296"/>
      <c r="IX38" s="298">
        <f>SUM(IT38:IW38)</f>
        <v>0</v>
      </c>
      <c r="IY38" s="32"/>
      <c r="IZ38" s="33"/>
      <c r="JA38" s="33"/>
      <c r="JB38" s="296"/>
      <c r="JC38" s="298">
        <f>SUM(IY38:JB38)</f>
        <v>0</v>
      </c>
      <c r="JD38" s="32"/>
      <c r="JE38" s="33"/>
      <c r="JF38" s="33"/>
      <c r="JG38" s="296"/>
      <c r="JH38" s="298">
        <f>SUM(JD38:JG38)</f>
        <v>0</v>
      </c>
      <c r="JI38" s="32"/>
      <c r="JJ38" s="33"/>
      <c r="JK38" s="33"/>
      <c r="JL38" s="296"/>
      <c r="JM38" s="298">
        <f>SUM(JI38:JL38)</f>
        <v>0</v>
      </c>
      <c r="JN38" s="32"/>
      <c r="JO38" s="33"/>
      <c r="JP38" s="33"/>
      <c r="JQ38" s="296"/>
      <c r="JR38" s="298">
        <f>SUM(JN38:JQ38)</f>
        <v>0</v>
      </c>
      <c r="JS38" s="32"/>
      <c r="JT38" s="33"/>
      <c r="JU38" s="33"/>
      <c r="JV38" s="296"/>
      <c r="JW38" s="298">
        <f>SUM(JS38:JV38)</f>
        <v>0</v>
      </c>
      <c r="JX38" s="32"/>
      <c r="JY38" s="33"/>
      <c r="JZ38" s="33"/>
      <c r="KA38" s="296"/>
      <c r="KB38" s="298">
        <f>SUM(JX38:KA38)</f>
        <v>0</v>
      </c>
      <c r="KC38" s="32"/>
      <c r="KD38" s="33"/>
      <c r="KE38" s="33"/>
      <c r="KF38" s="296"/>
      <c r="KG38" s="298">
        <f t="shared" si="56"/>
        <v>0</v>
      </c>
      <c r="KH38" s="32" t="s">
        <v>171</v>
      </c>
      <c r="KI38" s="33" t="s">
        <v>171</v>
      </c>
      <c r="KJ38" s="33" t="s">
        <v>171</v>
      </c>
      <c r="KK38" s="296" t="s">
        <v>171</v>
      </c>
      <c r="KL38" s="298">
        <f t="shared" si="57"/>
        <v>0</v>
      </c>
      <c r="KM38" s="32" t="s">
        <v>171</v>
      </c>
      <c r="KN38" s="33" t="s">
        <v>171</v>
      </c>
      <c r="KO38" s="33" t="s">
        <v>171</v>
      </c>
      <c r="KP38" s="296" t="s">
        <v>171</v>
      </c>
      <c r="KQ38" s="298">
        <f t="shared" si="58"/>
        <v>0</v>
      </c>
      <c r="KR38" s="32" t="s">
        <v>171</v>
      </c>
      <c r="KS38" s="33" t="s">
        <v>171</v>
      </c>
      <c r="KT38" s="33" t="s">
        <v>171</v>
      </c>
      <c r="KU38" s="296" t="s">
        <v>171</v>
      </c>
      <c r="KV38" s="298">
        <f t="shared" si="59"/>
        <v>0</v>
      </c>
      <c r="KW38" s="32" t="s">
        <v>171</v>
      </c>
      <c r="KX38" s="33" t="s">
        <v>171</v>
      </c>
      <c r="KY38" s="33" t="s">
        <v>171</v>
      </c>
      <c r="KZ38" s="296" t="s">
        <v>171</v>
      </c>
      <c r="LA38" s="298">
        <f t="shared" si="8"/>
        <v>0</v>
      </c>
      <c r="LB38" s="455">
        <f t="shared" si="60"/>
        <v>0</v>
      </c>
      <c r="LC38" s="32" t="str">
        <f t="shared" si="9"/>
        <v/>
      </c>
      <c r="LD38" s="33" t="str">
        <f t="shared" si="10"/>
        <v/>
      </c>
      <c r="LE38" s="33" t="str">
        <f t="shared" si="11"/>
        <v/>
      </c>
      <c r="LF38" s="296" t="str">
        <f t="shared" si="12"/>
        <v/>
      </c>
      <c r="LG38" s="298">
        <f t="shared" si="13"/>
        <v>0</v>
      </c>
      <c r="LH38" s="32"/>
      <c r="LI38" s="33"/>
      <c r="LJ38" s="33"/>
      <c r="LK38" s="296"/>
      <c r="LL38" s="298">
        <f>SUM(LH38:LK38)</f>
        <v>0</v>
      </c>
      <c r="LM38" s="32"/>
      <c r="LN38" s="33"/>
      <c r="LO38" s="33"/>
      <c r="LP38" s="296"/>
      <c r="LQ38" s="298">
        <f>SUM(LM38:LP38)</f>
        <v>0</v>
      </c>
      <c r="LR38" s="32"/>
      <c r="LS38" s="33"/>
      <c r="LT38" s="33"/>
      <c r="LU38" s="296"/>
      <c r="LV38" s="298">
        <f>SUM(LR38:LU38)</f>
        <v>0</v>
      </c>
      <c r="LW38" s="32"/>
      <c r="LX38" s="33"/>
      <c r="LY38" s="33"/>
      <c r="LZ38" s="296"/>
      <c r="MA38" s="298">
        <f>SUM(LW38:LZ38)</f>
        <v>0</v>
      </c>
      <c r="MB38" s="32"/>
      <c r="MC38" s="33"/>
      <c r="MD38" s="33"/>
      <c r="ME38" s="296"/>
      <c r="MF38" s="298">
        <f>SUM(MB38:ME38)</f>
        <v>0</v>
      </c>
      <c r="MG38" s="32"/>
      <c r="MH38" s="33"/>
      <c r="MI38" s="33"/>
      <c r="MJ38" s="296"/>
      <c r="MK38" s="298">
        <f>SUM(MG38:MJ38)</f>
        <v>0</v>
      </c>
      <c r="ML38" s="32"/>
      <c r="MM38" s="33"/>
      <c r="MN38" s="33"/>
      <c r="MO38" s="296"/>
      <c r="MP38" s="298">
        <f t="shared" si="67"/>
        <v>0</v>
      </c>
      <c r="MQ38" s="32"/>
      <c r="MR38" s="33"/>
      <c r="MS38" s="33"/>
      <c r="MT38" s="296"/>
      <c r="MU38" s="298">
        <f t="shared" si="68"/>
        <v>0</v>
      </c>
      <c r="MV38" s="32"/>
      <c r="MW38" s="33"/>
      <c r="MX38" s="33"/>
      <c r="MY38" s="296"/>
      <c r="MZ38" s="298">
        <f t="shared" si="69"/>
        <v>0</v>
      </c>
      <c r="NA38" s="32"/>
      <c r="NB38" s="33"/>
      <c r="NC38" s="33"/>
      <c r="ND38" s="296"/>
      <c r="NE38" s="298">
        <f t="shared" si="70"/>
        <v>0</v>
      </c>
      <c r="NF38" s="32"/>
      <c r="NG38" s="33"/>
      <c r="NH38" s="33"/>
      <c r="NI38" s="296"/>
      <c r="NJ38" s="298">
        <f t="shared" si="14"/>
        <v>0</v>
      </c>
      <c r="NK38" s="455">
        <f t="shared" si="71"/>
        <v>0</v>
      </c>
    </row>
    <row r="39" spans="1:375" ht="15.75" collapsed="1" x14ac:dyDescent="0.25">
      <c r="A39" s="322" t="s">
        <v>70</v>
      </c>
      <c r="B39" s="247">
        <v>25</v>
      </c>
      <c r="C39" s="248">
        <v>38.22</v>
      </c>
      <c r="D39" s="326"/>
      <c r="E39" s="327"/>
      <c r="F39" s="328"/>
      <c r="G39" s="329"/>
      <c r="H39" s="357"/>
      <c r="I39" s="358"/>
      <c r="J39" s="186"/>
      <c r="K39" s="186"/>
      <c r="L39" s="359"/>
      <c r="M39" s="340"/>
      <c r="N39" s="358"/>
      <c r="O39" s="186"/>
      <c r="P39" s="186"/>
      <c r="Q39" s="359"/>
      <c r="R39" s="256"/>
      <c r="S39" s="358"/>
      <c r="T39" s="186"/>
      <c r="U39" s="186"/>
      <c r="V39" s="359"/>
      <c r="W39" s="256"/>
      <c r="X39" s="358"/>
      <c r="Y39" s="186"/>
      <c r="Z39" s="186"/>
      <c r="AA39" s="359"/>
      <c r="AB39" s="256"/>
      <c r="AC39" s="360"/>
      <c r="AD39" s="361"/>
      <c r="AE39" s="361"/>
      <c r="AF39" s="362"/>
      <c r="AG39" s="363"/>
      <c r="AH39" s="351"/>
      <c r="AI39" s="342"/>
      <c r="AJ39" s="342"/>
      <c r="AK39" s="364"/>
      <c r="AL39" s="352"/>
      <c r="AM39" s="345"/>
      <c r="AN39" s="346"/>
      <c r="AO39" s="346"/>
      <c r="AP39" s="265"/>
      <c r="AQ39" s="347"/>
      <c r="AR39" s="345"/>
      <c r="AS39" s="346"/>
      <c r="AT39" s="346"/>
      <c r="AU39" s="348"/>
      <c r="AV39" s="365"/>
      <c r="AW39" s="345"/>
      <c r="AX39" s="346"/>
      <c r="AY39" s="346"/>
      <c r="AZ39" s="348"/>
      <c r="BA39" s="365"/>
      <c r="BB39" s="345"/>
      <c r="BC39" s="346"/>
      <c r="BD39" s="346"/>
      <c r="BE39" s="348"/>
      <c r="BF39" s="365"/>
      <c r="BG39" s="32"/>
      <c r="BH39" s="33"/>
      <c r="BI39" s="33"/>
      <c r="BJ39" s="299"/>
      <c r="BK39" s="298">
        <f t="shared" si="84"/>
        <v>0</v>
      </c>
      <c r="BL39" s="32"/>
      <c r="BM39" s="33"/>
      <c r="BN39" s="33"/>
      <c r="BO39" s="299"/>
      <c r="BP39" s="297">
        <f t="shared" si="77"/>
        <v>0</v>
      </c>
      <c r="BQ39" s="455">
        <f t="shared" si="2"/>
        <v>0</v>
      </c>
      <c r="BR39" s="32"/>
      <c r="BS39" s="43"/>
      <c r="BT39" s="43"/>
      <c r="BU39" s="781"/>
      <c r="BV39" s="782">
        <f t="shared" si="19"/>
        <v>0</v>
      </c>
      <c r="BW39" s="783"/>
      <c r="BX39" s="43"/>
      <c r="BY39" s="43"/>
      <c r="BZ39" s="781"/>
      <c r="CA39" s="784">
        <f t="shared" si="20"/>
        <v>0</v>
      </c>
      <c r="CB39" s="785"/>
      <c r="CC39" s="786"/>
      <c r="CD39" s="786"/>
      <c r="CE39" s="787"/>
      <c r="CF39" s="788">
        <f t="shared" si="78"/>
        <v>0</v>
      </c>
      <c r="CG39" s="785"/>
      <c r="CH39" s="786"/>
      <c r="CI39" s="786"/>
      <c r="CJ39" s="787"/>
      <c r="CK39" s="788">
        <f t="shared" si="79"/>
        <v>0</v>
      </c>
      <c r="CL39" s="785"/>
      <c r="CM39" s="786"/>
      <c r="CN39" s="786"/>
      <c r="CO39" s="787"/>
      <c r="CP39" s="791">
        <f t="shared" si="80"/>
        <v>0</v>
      </c>
      <c r="CQ39" s="789"/>
      <c r="CR39" s="367"/>
      <c r="CS39" s="367"/>
      <c r="CT39" s="790"/>
      <c r="CU39" s="791">
        <v>0</v>
      </c>
      <c r="CV39" s="789"/>
      <c r="CW39" s="367"/>
      <c r="CX39" s="367"/>
      <c r="CY39" s="790"/>
      <c r="CZ39" s="791">
        <v>0</v>
      </c>
      <c r="DA39" s="789">
        <v>0.28999999999999998</v>
      </c>
      <c r="DB39" s="367"/>
      <c r="DC39" s="367"/>
      <c r="DD39" s="790"/>
      <c r="DE39" s="791">
        <f>SUM(DA39:DD39)</f>
        <v>0.28999999999999998</v>
      </c>
      <c r="DF39" s="789">
        <v>0.69</v>
      </c>
      <c r="DG39" s="367"/>
      <c r="DH39" s="367"/>
      <c r="DI39" s="790"/>
      <c r="DJ39" s="791">
        <f>SUM(DF39:DI39)</f>
        <v>0.69</v>
      </c>
      <c r="DK39" s="789">
        <v>0.4</v>
      </c>
      <c r="DL39" s="367"/>
      <c r="DM39" s="367"/>
      <c r="DN39" s="790"/>
      <c r="DO39" s="791">
        <f>SUM(DK39:DN39)</f>
        <v>0.4</v>
      </c>
      <c r="DP39" s="789">
        <v>0.71</v>
      </c>
      <c r="DQ39" s="367"/>
      <c r="DR39" s="367"/>
      <c r="DS39" s="790"/>
      <c r="DT39" s="791">
        <f>SUM(DP39:DS39)</f>
        <v>0.71</v>
      </c>
      <c r="DU39" s="789">
        <v>0.99</v>
      </c>
      <c r="DV39" s="367"/>
      <c r="DW39" s="367"/>
      <c r="DX39" s="790"/>
      <c r="DY39" s="791">
        <f>SUM(DU39:DX39)</f>
        <v>0.99</v>
      </c>
      <c r="DZ39" s="455">
        <f t="shared" si="6"/>
        <v>3.08</v>
      </c>
      <c r="EA39" s="789">
        <v>0.61</v>
      </c>
      <c r="EB39" s="367">
        <v>0.81</v>
      </c>
      <c r="EC39" s="367"/>
      <c r="ED39" s="790"/>
      <c r="EE39" s="791">
        <f>SUM(EA39:ED39)</f>
        <v>1.42</v>
      </c>
      <c r="EF39" s="789">
        <v>0.37</v>
      </c>
      <c r="EG39" s="367"/>
      <c r="EH39" s="367"/>
      <c r="EI39" s="790"/>
      <c r="EJ39" s="791">
        <f>SUM(EF39:EI39)</f>
        <v>0.37</v>
      </c>
      <c r="EK39" s="789">
        <v>0.36</v>
      </c>
      <c r="EL39" s="367"/>
      <c r="EM39" s="367"/>
      <c r="EN39" s="790"/>
      <c r="EO39" s="791">
        <f>SUM(EK39:EN39)</f>
        <v>0.36</v>
      </c>
      <c r="EP39" s="789">
        <v>1.26</v>
      </c>
      <c r="EQ39" s="367"/>
      <c r="ER39" s="367"/>
      <c r="ES39" s="790"/>
      <c r="ET39" s="791">
        <f>SUM(EP39:ES39)</f>
        <v>1.26</v>
      </c>
      <c r="EU39" s="789">
        <v>1.83</v>
      </c>
      <c r="EV39" s="367">
        <v>0.93</v>
      </c>
      <c r="EW39" s="367"/>
      <c r="EX39" s="790"/>
      <c r="EY39" s="791">
        <f>SUM(EU39:EX39)</f>
        <v>2.7600000000000002</v>
      </c>
      <c r="EZ39" s="789">
        <v>0.92</v>
      </c>
      <c r="FA39" s="367"/>
      <c r="FB39" s="367"/>
      <c r="FC39" s="790"/>
      <c r="FD39" s="791">
        <f>SUM(EZ39:FC39)</f>
        <v>0.92</v>
      </c>
      <c r="FE39" s="789">
        <v>1.19</v>
      </c>
      <c r="FF39" s="367"/>
      <c r="FG39" s="367"/>
      <c r="FH39" s="790"/>
      <c r="FI39" s="791">
        <f>SUM(FE39:FH39)</f>
        <v>1.19</v>
      </c>
      <c r="FJ39" s="789">
        <v>0.89</v>
      </c>
      <c r="FK39" s="367">
        <v>1.27</v>
      </c>
      <c r="FL39" s="367"/>
      <c r="FM39" s="790"/>
      <c r="FN39" s="791">
        <f>SUM(FJ39:FM39)</f>
        <v>2.16</v>
      </c>
      <c r="FO39" s="789">
        <v>0.71</v>
      </c>
      <c r="FP39" s="367"/>
      <c r="FQ39" s="367"/>
      <c r="FR39" s="790"/>
      <c r="FS39" s="791">
        <f>SUM(FO39:FR39)</f>
        <v>0.71</v>
      </c>
      <c r="FT39" s="789">
        <v>0.62</v>
      </c>
      <c r="FU39" s="367">
        <v>0.78</v>
      </c>
      <c r="FV39" s="367"/>
      <c r="FW39" s="790"/>
      <c r="FX39" s="791">
        <f>SUM(FT39:FW39)</f>
        <v>1.4</v>
      </c>
      <c r="FY39" s="789">
        <v>0.5</v>
      </c>
      <c r="FZ39" s="367">
        <v>1.07</v>
      </c>
      <c r="GA39" s="367"/>
      <c r="GB39" s="790"/>
      <c r="GC39" s="791">
        <f>SUM(FY39:GB39)</f>
        <v>1.57</v>
      </c>
      <c r="GD39" s="789">
        <v>0.52</v>
      </c>
      <c r="GE39" s="367">
        <v>0.51</v>
      </c>
      <c r="GF39" s="367"/>
      <c r="GG39" s="790"/>
      <c r="GH39" s="791">
        <f>SUM(GD39:GG39)</f>
        <v>1.03</v>
      </c>
      <c r="GI39" s="455">
        <f t="shared" si="7"/>
        <v>15.149999999999999</v>
      </c>
      <c r="GJ39" s="302">
        <v>0.37</v>
      </c>
      <c r="GK39" s="303">
        <v>0.65</v>
      </c>
      <c r="GL39" s="303"/>
      <c r="GM39" s="304"/>
      <c r="GN39" s="305">
        <f>SUM(GJ39:GM39)</f>
        <v>1.02</v>
      </c>
      <c r="GO39" s="302">
        <v>0.48</v>
      </c>
      <c r="GP39" s="303">
        <v>0.54</v>
      </c>
      <c r="GQ39" s="303"/>
      <c r="GR39" s="304"/>
      <c r="GS39" s="305">
        <f>SUM(GO39:GR39)</f>
        <v>1.02</v>
      </c>
      <c r="GT39" s="302">
        <v>0.94</v>
      </c>
      <c r="GU39" s="303">
        <v>1.34</v>
      </c>
      <c r="GV39" s="303"/>
      <c r="GW39" s="304"/>
      <c r="GX39" s="305">
        <f>SUM(GT39:GW39)</f>
        <v>2.2800000000000002</v>
      </c>
      <c r="GY39" s="302">
        <v>1.66</v>
      </c>
      <c r="GZ39" s="303">
        <v>1.77</v>
      </c>
      <c r="HA39" s="303"/>
      <c r="HB39" s="304"/>
      <c r="HC39" s="305">
        <f>SUM(GY39:HB39)</f>
        <v>3.4299999999999997</v>
      </c>
      <c r="HD39" s="302">
        <v>2.68</v>
      </c>
      <c r="HE39" s="303">
        <v>6.66</v>
      </c>
      <c r="HF39" s="303"/>
      <c r="HG39" s="304"/>
      <c r="HH39" s="305">
        <f>SUM(HD39:HG39)</f>
        <v>9.34</v>
      </c>
      <c r="HI39" s="302">
        <v>3.23</v>
      </c>
      <c r="HJ39" s="303">
        <v>8.94</v>
      </c>
      <c r="HK39" s="303"/>
      <c r="HL39" s="304"/>
      <c r="HM39" s="305">
        <f>SUM(HI39:HL39)</f>
        <v>12.17</v>
      </c>
      <c r="HN39" s="302">
        <v>1.51</v>
      </c>
      <c r="HO39" s="303">
        <v>6.59</v>
      </c>
      <c r="HP39" s="303"/>
      <c r="HQ39" s="304"/>
      <c r="HR39" s="305">
        <f>SUM(HN39:HQ39)</f>
        <v>8.1</v>
      </c>
      <c r="HS39" s="302">
        <v>10.59</v>
      </c>
      <c r="HT39" s="308"/>
      <c r="HU39" s="303"/>
      <c r="HV39" s="304"/>
      <c r="HW39" s="305">
        <f>SUM(HS39:HV39)</f>
        <v>10.59</v>
      </c>
      <c r="HX39" s="302">
        <v>8.4600000000000009</v>
      </c>
      <c r="HY39" s="303">
        <v>6.37</v>
      </c>
      <c r="HZ39" s="303"/>
      <c r="IA39" s="304"/>
      <c r="IB39" s="305">
        <f>SUM(HX39:IA39)</f>
        <v>14.830000000000002</v>
      </c>
      <c r="IC39" s="302">
        <v>7.62</v>
      </c>
      <c r="ID39" s="303">
        <v>5.59</v>
      </c>
      <c r="IE39" s="303"/>
      <c r="IF39" s="304"/>
      <c r="IG39" s="305">
        <f>SUM(IC39:IF39)</f>
        <v>13.21</v>
      </c>
      <c r="IH39" s="61">
        <v>11.73</v>
      </c>
      <c r="II39" s="62">
        <v>13.08</v>
      </c>
      <c r="IJ39" s="62"/>
      <c r="IK39" s="301"/>
      <c r="IL39" s="300">
        <f>SUM(IH39:IK39)</f>
        <v>24.810000000000002</v>
      </c>
      <c r="IM39" s="61">
        <v>4.58</v>
      </c>
      <c r="IN39" s="62">
        <v>4.53</v>
      </c>
      <c r="IO39" s="301"/>
      <c r="IP39" s="296"/>
      <c r="IQ39" s="442">
        <f>SUM(IM39:IP39)</f>
        <v>9.11</v>
      </c>
      <c r="IR39" s="442"/>
      <c r="IS39" s="455">
        <f t="shared" si="48"/>
        <v>109.91000000000001</v>
      </c>
      <c r="IT39" s="449">
        <v>18.25</v>
      </c>
      <c r="IU39" s="309"/>
      <c r="IV39" s="33"/>
      <c r="IW39" s="296"/>
      <c r="IX39" s="298">
        <f>SUM(IT39:IW39)</f>
        <v>18.25</v>
      </c>
      <c r="IY39" s="32">
        <v>14.66</v>
      </c>
      <c r="IZ39" s="33">
        <v>6.8</v>
      </c>
      <c r="JA39" s="33"/>
      <c r="JB39" s="296"/>
      <c r="JC39" s="298">
        <f>SUM(IY39:JB39)</f>
        <v>21.46</v>
      </c>
      <c r="JD39" s="32">
        <v>7.51</v>
      </c>
      <c r="JE39" s="33">
        <v>11.47</v>
      </c>
      <c r="JF39" s="33"/>
      <c r="JG39" s="296"/>
      <c r="JH39" s="298">
        <f>SUM(JD39:JG39)</f>
        <v>18.98</v>
      </c>
      <c r="JI39" s="32">
        <v>15.53</v>
      </c>
      <c r="JJ39" s="33">
        <v>13.39</v>
      </c>
      <c r="JK39" s="33"/>
      <c r="JL39" s="296"/>
      <c r="JM39" s="298">
        <f>SUM(JI39:JL39)</f>
        <v>28.92</v>
      </c>
      <c r="JN39" s="32">
        <v>19.649999999999999</v>
      </c>
      <c r="JO39" s="33">
        <v>24.13</v>
      </c>
      <c r="JP39" s="33"/>
      <c r="JQ39" s="296"/>
      <c r="JR39" s="298">
        <f>SUM(JN39:JQ39)</f>
        <v>43.78</v>
      </c>
      <c r="JS39" s="32">
        <v>9.7899999999999991</v>
      </c>
      <c r="JT39" s="33">
        <v>14.64</v>
      </c>
      <c r="JU39" s="33"/>
      <c r="JV39" s="296"/>
      <c r="JW39" s="298">
        <f>SUM(JS39:JV39)</f>
        <v>24.43</v>
      </c>
      <c r="JX39" s="32">
        <v>13.64</v>
      </c>
      <c r="JY39" s="33">
        <v>10.25</v>
      </c>
      <c r="JZ39" s="33"/>
      <c r="KA39" s="296"/>
      <c r="KB39" s="298">
        <f>SUM(JX39:KA39)</f>
        <v>23.89</v>
      </c>
      <c r="KC39" s="32">
        <v>23.57</v>
      </c>
      <c r="KD39" s="33">
        <v>6.51</v>
      </c>
      <c r="KE39" s="33"/>
      <c r="KF39" s="296"/>
      <c r="KG39" s="298">
        <f t="shared" si="56"/>
        <v>30.08</v>
      </c>
      <c r="KH39" s="32">
        <v>23.03</v>
      </c>
      <c r="KI39" s="33">
        <v>7.02</v>
      </c>
      <c r="KJ39" s="33">
        <v>0</v>
      </c>
      <c r="KK39" s="296">
        <v>0</v>
      </c>
      <c r="KL39" s="298">
        <f t="shared" si="57"/>
        <v>30.05</v>
      </c>
      <c r="KM39" s="32">
        <v>25.560000000000002</v>
      </c>
      <c r="KN39" s="33">
        <v>14.440000000000001</v>
      </c>
      <c r="KO39" s="33">
        <v>0</v>
      </c>
      <c r="KP39" s="296">
        <v>0</v>
      </c>
      <c r="KQ39" s="298">
        <f t="shared" si="58"/>
        <v>40</v>
      </c>
      <c r="KR39" s="32">
        <v>13.8</v>
      </c>
      <c r="KS39" s="33">
        <v>14.97</v>
      </c>
      <c r="KT39" s="33">
        <v>0</v>
      </c>
      <c r="KU39" s="296">
        <v>0</v>
      </c>
      <c r="KV39" s="298">
        <f t="shared" si="59"/>
        <v>28.770000000000003</v>
      </c>
      <c r="KW39" s="32">
        <v>12.27</v>
      </c>
      <c r="KX39" s="33">
        <v>9.43</v>
      </c>
      <c r="KY39" s="33">
        <v>0</v>
      </c>
      <c r="KZ39" s="296">
        <v>0</v>
      </c>
      <c r="LA39" s="298">
        <f t="shared" si="8"/>
        <v>21.7</v>
      </c>
      <c r="LB39" s="455">
        <f t="shared" si="60"/>
        <v>330.30999999999995</v>
      </c>
      <c r="LC39" s="32">
        <f t="shared" si="9"/>
        <v>16.68</v>
      </c>
      <c r="LD39" s="33">
        <f t="shared" si="10"/>
        <v>5.99</v>
      </c>
      <c r="LE39" s="33">
        <f t="shared" si="11"/>
        <v>0</v>
      </c>
      <c r="LF39" s="296">
        <f t="shared" si="12"/>
        <v>0</v>
      </c>
      <c r="LG39" s="298">
        <f t="shared" si="13"/>
        <v>22.67</v>
      </c>
      <c r="LH39" s="32"/>
      <c r="LI39" s="33"/>
      <c r="LJ39" s="33"/>
      <c r="LK39" s="296"/>
      <c r="LL39" s="298">
        <f>SUM(LH39:LK39)</f>
        <v>0</v>
      </c>
      <c r="LM39" s="32"/>
      <c r="LN39" s="33"/>
      <c r="LO39" s="33"/>
      <c r="LP39" s="296"/>
      <c r="LQ39" s="298">
        <f>SUM(LM39:LP39)</f>
        <v>0</v>
      </c>
      <c r="LR39" s="32"/>
      <c r="LS39" s="33"/>
      <c r="LT39" s="33"/>
      <c r="LU39" s="296"/>
      <c r="LV39" s="298">
        <f>SUM(LR39:LU39)</f>
        <v>0</v>
      </c>
      <c r="LW39" s="32"/>
      <c r="LX39" s="33"/>
      <c r="LY39" s="33"/>
      <c r="LZ39" s="296"/>
      <c r="MA39" s="298">
        <f>SUM(LW39:LZ39)</f>
        <v>0</v>
      </c>
      <c r="MB39" s="32"/>
      <c r="MC39" s="33"/>
      <c r="MD39" s="33"/>
      <c r="ME39" s="296"/>
      <c r="MF39" s="298">
        <f>SUM(MB39:ME39)</f>
        <v>0</v>
      </c>
      <c r="MG39" s="32"/>
      <c r="MH39" s="33"/>
      <c r="MI39" s="33"/>
      <c r="MJ39" s="296"/>
      <c r="MK39" s="298">
        <f>SUM(MG39:MJ39)</f>
        <v>0</v>
      </c>
      <c r="ML39" s="32"/>
      <c r="MM39" s="33"/>
      <c r="MN39" s="33"/>
      <c r="MO39" s="296"/>
      <c r="MP39" s="298">
        <f t="shared" si="67"/>
        <v>0</v>
      </c>
      <c r="MQ39" s="32"/>
      <c r="MR39" s="33"/>
      <c r="MS39" s="33"/>
      <c r="MT39" s="296"/>
      <c r="MU39" s="298">
        <f t="shared" si="68"/>
        <v>0</v>
      </c>
      <c r="MV39" s="32"/>
      <c r="MW39" s="33"/>
      <c r="MX39" s="33"/>
      <c r="MY39" s="296"/>
      <c r="MZ39" s="298">
        <f t="shared" si="69"/>
        <v>0</v>
      </c>
      <c r="NA39" s="32"/>
      <c r="NB39" s="33"/>
      <c r="NC39" s="33"/>
      <c r="ND39" s="296"/>
      <c r="NE39" s="298">
        <f t="shared" si="70"/>
        <v>0</v>
      </c>
      <c r="NF39" s="32"/>
      <c r="NG39" s="33"/>
      <c r="NH39" s="33"/>
      <c r="NI39" s="296"/>
      <c r="NJ39" s="298">
        <f t="shared" si="14"/>
        <v>0</v>
      </c>
      <c r="NK39" s="455">
        <f t="shared" si="71"/>
        <v>22.67</v>
      </c>
    </row>
    <row r="40" spans="1:375" ht="15.75" x14ac:dyDescent="0.25">
      <c r="A40" s="323"/>
      <c r="B40" s="282" t="s">
        <v>7</v>
      </c>
      <c r="C40" s="366">
        <v>22.72</v>
      </c>
      <c r="D40" s="326"/>
      <c r="E40" s="327"/>
      <c r="F40" s="328"/>
      <c r="G40" s="329"/>
      <c r="H40" s="357"/>
      <c r="I40" s="358"/>
      <c r="J40" s="186"/>
      <c r="K40" s="186"/>
      <c r="L40" s="359"/>
      <c r="M40" s="340"/>
      <c r="N40" s="358"/>
      <c r="O40" s="186"/>
      <c r="P40" s="186"/>
      <c r="Q40" s="359"/>
      <c r="R40" s="256"/>
      <c r="S40" s="358"/>
      <c r="T40" s="186"/>
      <c r="U40" s="186"/>
      <c r="V40" s="359"/>
      <c r="W40" s="256"/>
      <c r="X40" s="358"/>
      <c r="Y40" s="186"/>
      <c r="Z40" s="186"/>
      <c r="AA40" s="359"/>
      <c r="AB40" s="256"/>
      <c r="AC40" s="360"/>
      <c r="AD40" s="361"/>
      <c r="AE40" s="361"/>
      <c r="AF40" s="362"/>
      <c r="AG40" s="363"/>
      <c r="AH40" s="351"/>
      <c r="AI40" s="342"/>
      <c r="AJ40" s="342"/>
      <c r="AK40" s="364"/>
      <c r="AL40" s="352"/>
      <c r="AM40" s="345"/>
      <c r="AN40" s="346"/>
      <c r="AO40" s="346"/>
      <c r="AP40" s="265"/>
      <c r="AQ40" s="347"/>
      <c r="AR40" s="345"/>
      <c r="AS40" s="346"/>
      <c r="AT40" s="346"/>
      <c r="AU40" s="348"/>
      <c r="AV40" s="365"/>
      <c r="AW40" s="345"/>
      <c r="AX40" s="346"/>
      <c r="AY40" s="346"/>
      <c r="AZ40" s="348"/>
      <c r="BA40" s="365"/>
      <c r="BB40" s="345"/>
      <c r="BC40" s="346"/>
      <c r="BD40" s="346"/>
      <c r="BE40" s="348"/>
      <c r="BF40" s="365"/>
      <c r="BG40" s="32">
        <v>2</v>
      </c>
      <c r="BH40" s="33"/>
      <c r="BI40" s="33"/>
      <c r="BJ40" s="299"/>
      <c r="BK40" s="298">
        <f t="shared" si="84"/>
        <v>2</v>
      </c>
      <c r="BL40" s="32">
        <v>1.79</v>
      </c>
      <c r="BM40" s="33">
        <v>1.2</v>
      </c>
      <c r="BN40" s="33"/>
      <c r="BO40" s="299"/>
      <c r="BP40" s="297">
        <f t="shared" si="77"/>
        <v>2.99</v>
      </c>
      <c r="BQ40" s="455">
        <f t="shared" si="2"/>
        <v>4.99</v>
      </c>
      <c r="BR40" s="32">
        <v>0.48</v>
      </c>
      <c r="BS40" s="43">
        <v>0.55000000000000004</v>
      </c>
      <c r="BT40" s="43"/>
      <c r="BU40" s="781"/>
      <c r="BV40" s="782">
        <f t="shared" si="19"/>
        <v>1.03</v>
      </c>
      <c r="BW40" s="783">
        <v>0.5</v>
      </c>
      <c r="BX40" s="43"/>
      <c r="BY40" s="43"/>
      <c r="BZ40" s="781"/>
      <c r="CA40" s="784">
        <f t="shared" si="20"/>
        <v>0.5</v>
      </c>
      <c r="CB40" s="785"/>
      <c r="CC40" s="786"/>
      <c r="CD40" s="786"/>
      <c r="CE40" s="787"/>
      <c r="CF40" s="788">
        <f t="shared" si="78"/>
        <v>0</v>
      </c>
      <c r="CG40" s="785"/>
      <c r="CH40" s="786"/>
      <c r="CI40" s="786"/>
      <c r="CJ40" s="787"/>
      <c r="CK40" s="788">
        <f t="shared" si="79"/>
        <v>0</v>
      </c>
      <c r="CL40" s="785">
        <v>1.53</v>
      </c>
      <c r="CM40" s="786">
        <v>0.24</v>
      </c>
      <c r="CN40" s="786"/>
      <c r="CO40" s="787"/>
      <c r="CP40" s="788">
        <f t="shared" si="80"/>
        <v>1.77</v>
      </c>
      <c r="CQ40" s="789">
        <v>0.3</v>
      </c>
      <c r="CR40" s="367">
        <v>0.4</v>
      </c>
      <c r="CS40" s="367"/>
      <c r="CT40" s="790"/>
      <c r="CU40" s="791">
        <v>0.7</v>
      </c>
      <c r="CV40" s="789">
        <v>0.52</v>
      </c>
      <c r="CW40" s="367">
        <v>0.45</v>
      </c>
      <c r="CX40" s="367"/>
      <c r="CY40" s="790"/>
      <c r="CZ40" s="791">
        <f>SUM(CV40:CY40)</f>
        <v>0.97</v>
      </c>
      <c r="DA40" s="789">
        <v>0.75</v>
      </c>
      <c r="DB40" s="367">
        <v>1</v>
      </c>
      <c r="DC40" s="367"/>
      <c r="DD40" s="790"/>
      <c r="DE40" s="791">
        <f>SUM(DA40:DD40)</f>
        <v>1.75</v>
      </c>
      <c r="DF40" s="789">
        <v>2</v>
      </c>
      <c r="DG40" s="367"/>
      <c r="DH40" s="367"/>
      <c r="DI40" s="790"/>
      <c r="DJ40" s="791">
        <f>SUM(DF40:DI40)</f>
        <v>2</v>
      </c>
      <c r="DK40" s="789">
        <v>2</v>
      </c>
      <c r="DL40" s="367"/>
      <c r="DM40" s="367"/>
      <c r="DN40" s="790"/>
      <c r="DO40" s="791">
        <f>SUM(DK40:DN40)</f>
        <v>2</v>
      </c>
      <c r="DP40" s="789">
        <v>3.21</v>
      </c>
      <c r="DQ40" s="367"/>
      <c r="DR40" s="367"/>
      <c r="DS40" s="790"/>
      <c r="DT40" s="791">
        <f>SUM(DP40:DS40)</f>
        <v>3.21</v>
      </c>
      <c r="DU40" s="789">
        <v>1.5</v>
      </c>
      <c r="DV40" s="367"/>
      <c r="DW40" s="367"/>
      <c r="DX40" s="790"/>
      <c r="DY40" s="791">
        <f>SUM(DU40:DX40)</f>
        <v>1.5</v>
      </c>
      <c r="DZ40" s="455">
        <f t="shared" si="6"/>
        <v>15.43</v>
      </c>
      <c r="EA40" s="789">
        <v>2.4</v>
      </c>
      <c r="EB40" s="367">
        <v>2.21</v>
      </c>
      <c r="EC40" s="367"/>
      <c r="ED40" s="790"/>
      <c r="EE40" s="791">
        <f>SUM(EA40:ED40)</f>
        <v>4.6099999999999994</v>
      </c>
      <c r="EF40" s="789">
        <v>1.23</v>
      </c>
      <c r="EG40" s="367"/>
      <c r="EH40" s="367"/>
      <c r="EI40" s="790"/>
      <c r="EJ40" s="791">
        <f>SUM(EF40:EI40)</f>
        <v>1.23</v>
      </c>
      <c r="EK40" s="789">
        <v>2</v>
      </c>
      <c r="EL40" s="367"/>
      <c r="EM40" s="367"/>
      <c r="EN40" s="790"/>
      <c r="EO40" s="791">
        <f>SUM(EK40:EN40)</f>
        <v>2</v>
      </c>
      <c r="EP40" s="789">
        <v>2.17</v>
      </c>
      <c r="EQ40" s="367"/>
      <c r="ER40" s="367"/>
      <c r="ES40" s="790"/>
      <c r="ET40" s="791">
        <f>SUM(EP40:ES40)</f>
        <v>2.17</v>
      </c>
      <c r="EU40" s="789">
        <v>2.4900000000000002</v>
      </c>
      <c r="EV40" s="367">
        <v>0.9</v>
      </c>
      <c r="EW40" s="367"/>
      <c r="EX40" s="790"/>
      <c r="EY40" s="791">
        <f>SUM(EU40:EX40)</f>
        <v>3.39</v>
      </c>
      <c r="EZ40" s="789">
        <v>2.4900000000000002</v>
      </c>
      <c r="FA40" s="367"/>
      <c r="FB40" s="367"/>
      <c r="FC40" s="790"/>
      <c r="FD40" s="791">
        <f>SUM(EZ40:FC40)</f>
        <v>2.4900000000000002</v>
      </c>
      <c r="FE40" s="789">
        <v>2.62</v>
      </c>
      <c r="FF40" s="367">
        <v>1.41</v>
      </c>
      <c r="FG40" s="367"/>
      <c r="FH40" s="790"/>
      <c r="FI40" s="791">
        <f>SUM(FE40:FH40)</f>
        <v>4.03</v>
      </c>
      <c r="FJ40" s="789">
        <v>3.1</v>
      </c>
      <c r="FK40" s="367"/>
      <c r="FL40" s="367"/>
      <c r="FM40" s="790"/>
      <c r="FN40" s="791">
        <f>SUM(FJ40:FM40)</f>
        <v>3.1</v>
      </c>
      <c r="FO40" s="789">
        <v>4.79</v>
      </c>
      <c r="FP40" s="367"/>
      <c r="FQ40" s="367"/>
      <c r="FR40" s="790"/>
      <c r="FS40" s="791">
        <f>SUM(FO40:FR40)</f>
        <v>4.79</v>
      </c>
      <c r="FT40" s="789">
        <v>2.75</v>
      </c>
      <c r="FU40" s="367">
        <v>4.92</v>
      </c>
      <c r="FV40" s="367"/>
      <c r="FW40" s="790"/>
      <c r="FX40" s="791">
        <f>SUM(FT40:FW40)</f>
        <v>7.67</v>
      </c>
      <c r="FY40" s="789">
        <v>4.51</v>
      </c>
      <c r="FZ40" s="367">
        <v>3.96</v>
      </c>
      <c r="GA40" s="367"/>
      <c r="GB40" s="790"/>
      <c r="GC40" s="791">
        <f>SUM(FY40:GB40)</f>
        <v>8.4699999999999989</v>
      </c>
      <c r="GD40" s="789">
        <v>3.33</v>
      </c>
      <c r="GE40" s="367">
        <v>2.86</v>
      </c>
      <c r="GF40" s="367"/>
      <c r="GG40" s="790"/>
      <c r="GH40" s="791">
        <f>SUM(GD40:GG40)</f>
        <v>6.1899999999999995</v>
      </c>
      <c r="GI40" s="455">
        <f t="shared" si="7"/>
        <v>50.14</v>
      </c>
      <c r="GJ40" s="302">
        <v>3.24</v>
      </c>
      <c r="GK40" s="303">
        <v>2.54</v>
      </c>
      <c r="GL40" s="303"/>
      <c r="GM40" s="304"/>
      <c r="GN40" s="305">
        <f>SUM(GJ40:GM40)</f>
        <v>5.78</v>
      </c>
      <c r="GO40" s="302">
        <v>2.54</v>
      </c>
      <c r="GP40" s="303">
        <v>2.27</v>
      </c>
      <c r="GQ40" s="303"/>
      <c r="GR40" s="304"/>
      <c r="GS40" s="305">
        <f>SUM(GO40:GR40)</f>
        <v>4.8100000000000005</v>
      </c>
      <c r="GT40" s="302">
        <v>4.12</v>
      </c>
      <c r="GU40" s="303">
        <v>1.95</v>
      </c>
      <c r="GV40" s="303"/>
      <c r="GW40" s="304"/>
      <c r="GX40" s="305">
        <f>SUM(GT40:GW40)</f>
        <v>6.07</v>
      </c>
      <c r="GY40" s="302">
        <v>4.1900000000000004</v>
      </c>
      <c r="GZ40" s="303">
        <v>4.87</v>
      </c>
      <c r="HA40" s="303"/>
      <c r="HB40" s="304"/>
      <c r="HC40" s="305">
        <f>SUM(GY40:HB40)</f>
        <v>9.06</v>
      </c>
      <c r="HD40" s="302">
        <v>8</v>
      </c>
      <c r="HE40" s="303">
        <v>7.52</v>
      </c>
      <c r="HF40" s="303"/>
      <c r="HG40" s="304"/>
      <c r="HH40" s="305">
        <f>SUM(HD40:HG40)</f>
        <v>15.52</v>
      </c>
      <c r="HI40" s="302">
        <v>5.66</v>
      </c>
      <c r="HJ40" s="303">
        <v>8.51</v>
      </c>
      <c r="HK40" s="303"/>
      <c r="HL40" s="304"/>
      <c r="HM40" s="305">
        <f>SUM(HI40:HL40)</f>
        <v>14.17</v>
      </c>
      <c r="HN40" s="302">
        <v>3.9</v>
      </c>
      <c r="HO40" s="303">
        <v>5.77</v>
      </c>
      <c r="HP40" s="303"/>
      <c r="HQ40" s="304"/>
      <c r="HR40" s="305">
        <f>SUM(HN40:HQ40)</f>
        <v>9.67</v>
      </c>
      <c r="HS40" s="302">
        <v>8.16</v>
      </c>
      <c r="HT40" s="303">
        <v>12.98</v>
      </c>
      <c r="HU40" s="303"/>
      <c r="HV40" s="304"/>
      <c r="HW40" s="305">
        <f>SUM(HS40:HV40)</f>
        <v>21.14</v>
      </c>
      <c r="HX40" s="302">
        <v>10.89</v>
      </c>
      <c r="HY40" s="303">
        <v>9.2100000000000009</v>
      </c>
      <c r="HZ40" s="303"/>
      <c r="IA40" s="304"/>
      <c r="IB40" s="305">
        <f>SUM(HX40:IA40)</f>
        <v>20.100000000000001</v>
      </c>
      <c r="IC40" s="302">
        <v>14.61</v>
      </c>
      <c r="ID40" s="303">
        <v>2.0699999999999998</v>
      </c>
      <c r="IE40" s="303"/>
      <c r="IF40" s="304"/>
      <c r="IG40" s="305">
        <f>SUM(IC40:IF40)</f>
        <v>16.68</v>
      </c>
      <c r="IH40" s="61">
        <v>6.89</v>
      </c>
      <c r="II40" s="62">
        <v>12.92</v>
      </c>
      <c r="IJ40" s="62"/>
      <c r="IK40" s="301"/>
      <c r="IL40" s="300">
        <f>SUM(IH40:IK40)</f>
        <v>19.809999999999999</v>
      </c>
      <c r="IM40" s="61">
        <v>7.88</v>
      </c>
      <c r="IN40" s="62">
        <v>14.17</v>
      </c>
      <c r="IO40" s="301"/>
      <c r="IP40" s="296"/>
      <c r="IQ40" s="442">
        <f>SUM(IM40:IP40)</f>
        <v>22.05</v>
      </c>
      <c r="IR40" s="442"/>
      <c r="IS40" s="455">
        <f t="shared" si="48"/>
        <v>164.86</v>
      </c>
      <c r="IT40" s="449">
        <v>9.0399999999999991</v>
      </c>
      <c r="IU40" s="43">
        <v>9.56</v>
      </c>
      <c r="IV40" s="33"/>
      <c r="IW40" s="296"/>
      <c r="IX40" s="298">
        <f>SUM(IT40:IW40)</f>
        <v>18.600000000000001</v>
      </c>
      <c r="IY40" s="32">
        <v>8.83</v>
      </c>
      <c r="IZ40" s="43">
        <v>2.0699999999999998</v>
      </c>
      <c r="JA40" s="33"/>
      <c r="JB40" s="296"/>
      <c r="JC40" s="298">
        <f>SUM(IY40:JB40)</f>
        <v>10.9</v>
      </c>
      <c r="JD40" s="32">
        <v>14.27</v>
      </c>
      <c r="JE40" s="43">
        <v>9.57</v>
      </c>
      <c r="JF40" s="33"/>
      <c r="JG40" s="296"/>
      <c r="JH40" s="298">
        <f>SUM(JD40:JG40)</f>
        <v>23.84</v>
      </c>
      <c r="JI40" s="32">
        <v>13.13</v>
      </c>
      <c r="JJ40" s="43">
        <v>6.48</v>
      </c>
      <c r="JK40" s="33"/>
      <c r="JL40" s="296"/>
      <c r="JM40" s="298">
        <f>SUM(JI40:JL40)</f>
        <v>19.61</v>
      </c>
      <c r="JN40" s="32">
        <v>20.61</v>
      </c>
      <c r="JO40" s="368"/>
      <c r="JP40" s="33"/>
      <c r="JQ40" s="296"/>
      <c r="JR40" s="298">
        <f>SUM(JN40:JQ40)</f>
        <v>20.61</v>
      </c>
      <c r="JS40" s="32">
        <v>16.12</v>
      </c>
      <c r="JT40" s="43">
        <v>8.6199999999999992</v>
      </c>
      <c r="JU40" s="33"/>
      <c r="JV40" s="296"/>
      <c r="JW40" s="298">
        <f>SUM(JS40:JV40)</f>
        <v>24.740000000000002</v>
      </c>
      <c r="JX40" s="32">
        <v>8.86</v>
      </c>
      <c r="JY40" s="43">
        <v>8.9499999999999993</v>
      </c>
      <c r="JZ40" s="33"/>
      <c r="KA40" s="296"/>
      <c r="KB40" s="298">
        <f>SUM(JX40:KA40)</f>
        <v>17.809999999999999</v>
      </c>
      <c r="KC40" s="32">
        <v>18.23</v>
      </c>
      <c r="KD40" s="43">
        <v>6.13</v>
      </c>
      <c r="KE40" s="33"/>
      <c r="KF40" s="296"/>
      <c r="KG40" s="298">
        <f t="shared" si="56"/>
        <v>24.36</v>
      </c>
      <c r="KH40" s="32">
        <v>25.71</v>
      </c>
      <c r="KI40" s="43">
        <v>2.5099999999999998</v>
      </c>
      <c r="KJ40" s="33">
        <v>0</v>
      </c>
      <c r="KK40" s="296">
        <v>0</v>
      </c>
      <c r="KL40" s="298">
        <f t="shared" si="57"/>
        <v>28.22</v>
      </c>
      <c r="KM40" s="32">
        <v>27.609999999999996</v>
      </c>
      <c r="KN40" s="43">
        <v>6.29</v>
      </c>
      <c r="KO40" s="33">
        <v>0</v>
      </c>
      <c r="KP40" s="296">
        <v>0</v>
      </c>
      <c r="KQ40" s="298">
        <f t="shared" si="58"/>
        <v>33.9</v>
      </c>
      <c r="KR40" s="32">
        <v>24.59</v>
      </c>
      <c r="KS40" s="43">
        <v>5.81</v>
      </c>
      <c r="KT40" s="33">
        <v>0</v>
      </c>
      <c r="KU40" s="296">
        <v>0</v>
      </c>
      <c r="KV40" s="298">
        <f t="shared" si="59"/>
        <v>30.4</v>
      </c>
      <c r="KW40" s="32">
        <v>10.02</v>
      </c>
      <c r="KX40" s="43">
        <v>18.229999999999997</v>
      </c>
      <c r="KY40" s="33">
        <v>0</v>
      </c>
      <c r="KZ40" s="296">
        <v>0</v>
      </c>
      <c r="LA40" s="298">
        <f t="shared" si="8"/>
        <v>28.249999999999996</v>
      </c>
      <c r="LB40" s="455">
        <f t="shared" si="60"/>
        <v>281.24</v>
      </c>
      <c r="LC40" s="32">
        <f t="shared" si="9"/>
        <v>14.24</v>
      </c>
      <c r="LD40" s="43">
        <f t="shared" si="10"/>
        <v>10.84</v>
      </c>
      <c r="LE40" s="33">
        <f t="shared" si="11"/>
        <v>0</v>
      </c>
      <c r="LF40" s="296">
        <f t="shared" si="12"/>
        <v>0</v>
      </c>
      <c r="LG40" s="298">
        <f t="shared" si="13"/>
        <v>25.08</v>
      </c>
      <c r="LH40" s="32"/>
      <c r="LI40" s="43"/>
      <c r="LJ40" s="33"/>
      <c r="LK40" s="296"/>
      <c r="LL40" s="298">
        <f>SUM(LH40:LK40)</f>
        <v>0</v>
      </c>
      <c r="LM40" s="32"/>
      <c r="LN40" s="43"/>
      <c r="LO40" s="33"/>
      <c r="LP40" s="296"/>
      <c r="LQ40" s="298">
        <f>SUM(LM40:LP40)</f>
        <v>0</v>
      </c>
      <c r="LR40" s="32"/>
      <c r="LS40" s="43"/>
      <c r="LT40" s="33"/>
      <c r="LU40" s="296"/>
      <c r="LV40" s="298">
        <f>SUM(LR40:LU40)</f>
        <v>0</v>
      </c>
      <c r="LW40" s="32"/>
      <c r="LX40" s="43"/>
      <c r="LY40" s="33"/>
      <c r="LZ40" s="296"/>
      <c r="MA40" s="298">
        <f>SUM(LW40:LZ40)</f>
        <v>0</v>
      </c>
      <c r="MB40" s="32"/>
      <c r="MC40" s="43"/>
      <c r="MD40" s="33"/>
      <c r="ME40" s="296"/>
      <c r="MF40" s="298">
        <f>SUM(MB40:ME40)</f>
        <v>0</v>
      </c>
      <c r="MG40" s="32"/>
      <c r="MH40" s="43"/>
      <c r="MI40" s="33"/>
      <c r="MJ40" s="296"/>
      <c r="MK40" s="298">
        <f>SUM(MG40:MJ40)</f>
        <v>0</v>
      </c>
      <c r="ML40" s="32"/>
      <c r="MM40" s="43"/>
      <c r="MN40" s="33"/>
      <c r="MO40" s="296"/>
      <c r="MP40" s="298">
        <f t="shared" si="67"/>
        <v>0</v>
      </c>
      <c r="MQ40" s="32"/>
      <c r="MR40" s="43"/>
      <c r="MS40" s="33"/>
      <c r="MT40" s="296"/>
      <c r="MU40" s="298">
        <f t="shared" si="68"/>
        <v>0</v>
      </c>
      <c r="MV40" s="32"/>
      <c r="MW40" s="43"/>
      <c r="MX40" s="33"/>
      <c r="MY40" s="296"/>
      <c r="MZ40" s="298">
        <f t="shared" si="69"/>
        <v>0</v>
      </c>
      <c r="NA40" s="32"/>
      <c r="NB40" s="43"/>
      <c r="NC40" s="33"/>
      <c r="ND40" s="296"/>
      <c r="NE40" s="298">
        <f t="shared" si="70"/>
        <v>0</v>
      </c>
      <c r="NF40" s="32"/>
      <c r="NG40" s="43"/>
      <c r="NH40" s="33"/>
      <c r="NI40" s="296"/>
      <c r="NJ40" s="298">
        <f t="shared" si="14"/>
        <v>0</v>
      </c>
      <c r="NK40" s="455">
        <f t="shared" si="71"/>
        <v>25.08</v>
      </c>
    </row>
    <row r="41" spans="1:375" ht="15.75" x14ac:dyDescent="0.25">
      <c r="A41" s="323"/>
      <c r="B41" s="282" t="s">
        <v>130</v>
      </c>
      <c r="C41" s="366"/>
      <c r="D41" s="326"/>
      <c r="E41" s="327"/>
      <c r="F41" s="328"/>
      <c r="G41" s="329"/>
      <c r="H41" s="357"/>
      <c r="I41" s="358"/>
      <c r="J41" s="186"/>
      <c r="K41" s="186"/>
      <c r="L41" s="359"/>
      <c r="M41" s="340"/>
      <c r="N41" s="358"/>
      <c r="O41" s="186"/>
      <c r="P41" s="186"/>
      <c r="Q41" s="359"/>
      <c r="R41" s="256"/>
      <c r="S41" s="358"/>
      <c r="T41" s="186"/>
      <c r="U41" s="186"/>
      <c r="V41" s="359"/>
      <c r="W41" s="256"/>
      <c r="X41" s="358"/>
      <c r="Y41" s="186"/>
      <c r="Z41" s="186"/>
      <c r="AA41" s="359"/>
      <c r="AB41" s="256"/>
      <c r="AC41" s="360"/>
      <c r="AD41" s="361"/>
      <c r="AE41" s="361"/>
      <c r="AF41" s="362"/>
      <c r="AG41" s="363"/>
      <c r="AH41" s="351"/>
      <c r="AI41" s="342"/>
      <c r="AJ41" s="342"/>
      <c r="AK41" s="364"/>
      <c r="AL41" s="352"/>
      <c r="AM41" s="345"/>
      <c r="AN41" s="346"/>
      <c r="AO41" s="346"/>
      <c r="AP41" s="265"/>
      <c r="AQ41" s="347"/>
      <c r="AR41" s="345"/>
      <c r="AS41" s="346"/>
      <c r="AT41" s="346"/>
      <c r="AU41" s="348"/>
      <c r="AV41" s="365"/>
      <c r="AW41" s="345"/>
      <c r="AX41" s="346"/>
      <c r="AY41" s="346"/>
      <c r="AZ41" s="348"/>
      <c r="BA41" s="365"/>
      <c r="BB41" s="345"/>
      <c r="BC41" s="346"/>
      <c r="BD41" s="346"/>
      <c r="BE41" s="348"/>
      <c r="BF41" s="365"/>
      <c r="BG41" s="32"/>
      <c r="BH41" s="33"/>
      <c r="BI41" s="33"/>
      <c r="BJ41" s="299"/>
      <c r="BK41" s="298">
        <f t="shared" si="84"/>
        <v>0</v>
      </c>
      <c r="BL41" s="32"/>
      <c r="BM41" s="33"/>
      <c r="BN41" s="33"/>
      <c r="BO41" s="299"/>
      <c r="BP41" s="297">
        <f t="shared" si="77"/>
        <v>0</v>
      </c>
      <c r="BQ41" s="455">
        <f t="shared" si="2"/>
        <v>0</v>
      </c>
      <c r="BR41" s="32"/>
      <c r="BS41" s="43"/>
      <c r="BT41" s="43"/>
      <c r="BU41" s="781"/>
      <c r="BV41" s="782">
        <f t="shared" si="19"/>
        <v>0</v>
      </c>
      <c r="BW41" s="783"/>
      <c r="BX41" s="43"/>
      <c r="BY41" s="43"/>
      <c r="BZ41" s="781"/>
      <c r="CA41" s="784">
        <f t="shared" si="20"/>
        <v>0</v>
      </c>
      <c r="CB41" s="785"/>
      <c r="CC41" s="786"/>
      <c r="CD41" s="786"/>
      <c r="CE41" s="787"/>
      <c r="CF41" s="788">
        <f t="shared" si="78"/>
        <v>0</v>
      </c>
      <c r="CG41" s="785"/>
      <c r="CH41" s="786"/>
      <c r="CI41" s="786"/>
      <c r="CJ41" s="787"/>
      <c r="CK41" s="788">
        <f t="shared" si="79"/>
        <v>0</v>
      </c>
      <c r="CL41" s="785"/>
      <c r="CM41" s="786"/>
      <c r="CN41" s="786"/>
      <c r="CO41" s="787"/>
      <c r="CP41" s="788">
        <f t="shared" si="80"/>
        <v>0</v>
      </c>
      <c r="CQ41" s="789"/>
      <c r="CR41" s="367"/>
      <c r="CS41" s="367"/>
      <c r="CT41" s="790"/>
      <c r="CU41" s="791"/>
      <c r="CV41" s="789"/>
      <c r="CW41" s="367"/>
      <c r="CX41" s="367"/>
      <c r="CY41" s="790"/>
      <c r="CZ41" s="791"/>
      <c r="DA41" s="789"/>
      <c r="DB41" s="367"/>
      <c r="DC41" s="367"/>
      <c r="DD41" s="790"/>
      <c r="DE41" s="791"/>
      <c r="DF41" s="789"/>
      <c r="DG41" s="367"/>
      <c r="DH41" s="367"/>
      <c r="DI41" s="790"/>
      <c r="DJ41" s="791"/>
      <c r="DK41" s="789"/>
      <c r="DL41" s="367"/>
      <c r="DM41" s="367"/>
      <c r="DN41" s="790"/>
      <c r="DO41" s="791"/>
      <c r="DP41" s="789"/>
      <c r="DQ41" s="367"/>
      <c r="DR41" s="367"/>
      <c r="DS41" s="790"/>
      <c r="DT41" s="791"/>
      <c r="DU41" s="789"/>
      <c r="DV41" s="367"/>
      <c r="DW41" s="367"/>
      <c r="DX41" s="790"/>
      <c r="DY41" s="791"/>
      <c r="DZ41" s="455">
        <f t="shared" si="6"/>
        <v>0</v>
      </c>
      <c r="EA41" s="789"/>
      <c r="EB41" s="367"/>
      <c r="EC41" s="367"/>
      <c r="ED41" s="790"/>
      <c r="EE41" s="791"/>
      <c r="EF41" s="789"/>
      <c r="EG41" s="367"/>
      <c r="EH41" s="367"/>
      <c r="EI41" s="790"/>
      <c r="EJ41" s="791"/>
      <c r="EK41" s="789"/>
      <c r="EL41" s="367"/>
      <c r="EM41" s="367"/>
      <c r="EN41" s="790"/>
      <c r="EO41" s="791"/>
      <c r="EP41" s="789"/>
      <c r="EQ41" s="367"/>
      <c r="ER41" s="367"/>
      <c r="ES41" s="790"/>
      <c r="ET41" s="791"/>
      <c r="EU41" s="789"/>
      <c r="EV41" s="367"/>
      <c r="EW41" s="367"/>
      <c r="EX41" s="790"/>
      <c r="EY41" s="791"/>
      <c r="EZ41" s="789"/>
      <c r="FA41" s="367"/>
      <c r="FB41" s="367"/>
      <c r="FC41" s="790"/>
      <c r="FD41" s="791"/>
      <c r="FE41" s="789"/>
      <c r="FF41" s="367"/>
      <c r="FG41" s="367"/>
      <c r="FH41" s="790"/>
      <c r="FI41" s="791"/>
      <c r="FJ41" s="789"/>
      <c r="FK41" s="367"/>
      <c r="FL41" s="367"/>
      <c r="FM41" s="790"/>
      <c r="FN41" s="791"/>
      <c r="FO41" s="789"/>
      <c r="FP41" s="367"/>
      <c r="FQ41" s="367"/>
      <c r="FR41" s="790"/>
      <c r="FS41" s="791"/>
      <c r="FT41" s="789"/>
      <c r="FU41" s="367"/>
      <c r="FV41" s="367"/>
      <c r="FW41" s="790"/>
      <c r="FX41" s="791"/>
      <c r="FY41" s="789"/>
      <c r="FZ41" s="367"/>
      <c r="GA41" s="367"/>
      <c r="GB41" s="790"/>
      <c r="GC41" s="791"/>
      <c r="GD41" s="789"/>
      <c r="GE41" s="367"/>
      <c r="GF41" s="367"/>
      <c r="GG41" s="790"/>
      <c r="GH41" s="791"/>
      <c r="GI41" s="455">
        <f t="shared" si="7"/>
        <v>0</v>
      </c>
      <c r="GJ41" s="302"/>
      <c r="GK41" s="303"/>
      <c r="GL41" s="303"/>
      <c r="GM41" s="304"/>
      <c r="GN41" s="305"/>
      <c r="GO41" s="302"/>
      <c r="GP41" s="303"/>
      <c r="GQ41" s="303"/>
      <c r="GR41" s="304"/>
      <c r="GS41" s="305"/>
      <c r="GT41" s="302"/>
      <c r="GU41" s="303"/>
      <c r="GV41" s="303"/>
      <c r="GW41" s="304"/>
      <c r="GX41" s="305"/>
      <c r="GY41" s="302"/>
      <c r="GZ41" s="303"/>
      <c r="HA41" s="303"/>
      <c r="HB41" s="304"/>
      <c r="HC41" s="305"/>
      <c r="HD41" s="302"/>
      <c r="HE41" s="303"/>
      <c r="HF41" s="303"/>
      <c r="HG41" s="304"/>
      <c r="HH41" s="305"/>
      <c r="HI41" s="302"/>
      <c r="HJ41" s="303"/>
      <c r="HK41" s="303"/>
      <c r="HL41" s="304"/>
      <c r="HM41" s="305"/>
      <c r="HN41" s="302"/>
      <c r="HO41" s="303"/>
      <c r="HP41" s="303"/>
      <c r="HQ41" s="304"/>
      <c r="HR41" s="305"/>
      <c r="HS41" s="302"/>
      <c r="HT41" s="303"/>
      <c r="HU41" s="303"/>
      <c r="HV41" s="304"/>
      <c r="HW41" s="305"/>
      <c r="HX41" s="302"/>
      <c r="HY41" s="303"/>
      <c r="HZ41" s="303"/>
      <c r="IA41" s="304"/>
      <c r="IB41" s="305"/>
      <c r="IC41" s="302"/>
      <c r="ID41" s="303"/>
      <c r="IE41" s="303"/>
      <c r="IF41" s="304"/>
      <c r="IG41" s="305"/>
      <c r="IH41" s="61"/>
      <c r="II41" s="62"/>
      <c r="IJ41" s="62"/>
      <c r="IK41" s="301"/>
      <c r="IL41" s="300"/>
      <c r="IM41" s="61"/>
      <c r="IN41" s="62"/>
      <c r="IO41" s="301"/>
      <c r="IP41" s="296"/>
      <c r="IQ41" s="442"/>
      <c r="IR41" s="442"/>
      <c r="IS41" s="455">
        <f t="shared" si="48"/>
        <v>0</v>
      </c>
      <c r="IT41" s="449"/>
      <c r="IU41" s="33"/>
      <c r="IV41" s="33"/>
      <c r="IW41" s="296"/>
      <c r="IX41" s="298"/>
      <c r="IY41" s="32"/>
      <c r="IZ41" s="33"/>
      <c r="JA41" s="33"/>
      <c r="JB41" s="296"/>
      <c r="JC41" s="298"/>
      <c r="JD41" s="32"/>
      <c r="JE41" s="33"/>
      <c r="JF41" s="33"/>
      <c r="JG41" s="296"/>
      <c r="JH41" s="298"/>
      <c r="JI41" s="32"/>
      <c r="JJ41" s="33"/>
      <c r="JK41" s="33"/>
      <c r="JL41" s="296"/>
      <c r="JM41" s="298"/>
      <c r="JN41" s="32"/>
      <c r="JO41" s="33"/>
      <c r="JP41" s="33"/>
      <c r="JQ41" s="296"/>
      <c r="JR41" s="298"/>
      <c r="JS41" s="32"/>
      <c r="JT41" s="33"/>
      <c r="JU41" s="33"/>
      <c r="JV41" s="296"/>
      <c r="JW41" s="298"/>
      <c r="JX41" s="32"/>
      <c r="JY41" s="33"/>
      <c r="JZ41" s="33"/>
      <c r="KA41" s="296"/>
      <c r="KB41" s="298"/>
      <c r="KC41" s="32"/>
      <c r="KD41" s="33"/>
      <c r="KE41" s="33"/>
      <c r="KF41" s="296"/>
      <c r="KG41" s="298">
        <f t="shared" si="56"/>
        <v>0</v>
      </c>
      <c r="KH41" s="32" t="s">
        <v>171</v>
      </c>
      <c r="KI41" s="33" t="s">
        <v>171</v>
      </c>
      <c r="KJ41" s="33" t="s">
        <v>171</v>
      </c>
      <c r="KK41" s="296" t="s">
        <v>171</v>
      </c>
      <c r="KL41" s="298">
        <f t="shared" si="57"/>
        <v>0</v>
      </c>
      <c r="KM41" s="32" t="s">
        <v>171</v>
      </c>
      <c r="KN41" s="33" t="s">
        <v>171</v>
      </c>
      <c r="KO41" s="33" t="s">
        <v>171</v>
      </c>
      <c r="KP41" s="296" t="s">
        <v>171</v>
      </c>
      <c r="KQ41" s="298">
        <f t="shared" si="58"/>
        <v>0</v>
      </c>
      <c r="KR41" s="32" t="s">
        <v>171</v>
      </c>
      <c r="KS41" s="33" t="s">
        <v>171</v>
      </c>
      <c r="KT41" s="33" t="s">
        <v>171</v>
      </c>
      <c r="KU41" s="296" t="s">
        <v>171</v>
      </c>
      <c r="KV41" s="298">
        <f t="shared" si="59"/>
        <v>0</v>
      </c>
      <c r="KW41" s="32" t="s">
        <v>171</v>
      </c>
      <c r="KX41" s="33" t="s">
        <v>171</v>
      </c>
      <c r="KY41" s="33" t="s">
        <v>171</v>
      </c>
      <c r="KZ41" s="296" t="s">
        <v>171</v>
      </c>
      <c r="LA41" s="298">
        <f t="shared" si="8"/>
        <v>0</v>
      </c>
      <c r="LB41" s="455">
        <f t="shared" si="60"/>
        <v>0</v>
      </c>
      <c r="LC41" s="32" t="str">
        <f t="shared" si="9"/>
        <v/>
      </c>
      <c r="LD41" s="33" t="str">
        <f t="shared" si="10"/>
        <v/>
      </c>
      <c r="LE41" s="33" t="str">
        <f t="shared" si="11"/>
        <v/>
      </c>
      <c r="LF41" s="296" t="str">
        <f t="shared" si="12"/>
        <v/>
      </c>
      <c r="LG41" s="298">
        <f t="shared" si="13"/>
        <v>0</v>
      </c>
      <c r="LH41" s="32"/>
      <c r="LI41" s="33"/>
      <c r="LJ41" s="33"/>
      <c r="LK41" s="296"/>
      <c r="LL41" s="298"/>
      <c r="LM41" s="32"/>
      <c r="LN41" s="33"/>
      <c r="LO41" s="33"/>
      <c r="LP41" s="296"/>
      <c r="LQ41" s="298"/>
      <c r="LR41" s="32"/>
      <c r="LS41" s="33"/>
      <c r="LT41" s="33"/>
      <c r="LU41" s="296"/>
      <c r="LV41" s="298"/>
      <c r="LW41" s="32"/>
      <c r="LX41" s="33"/>
      <c r="LY41" s="33"/>
      <c r="LZ41" s="296"/>
      <c r="MA41" s="298"/>
      <c r="MB41" s="32"/>
      <c r="MC41" s="33"/>
      <c r="MD41" s="33"/>
      <c r="ME41" s="296"/>
      <c r="MF41" s="298"/>
      <c r="MG41" s="32"/>
      <c r="MH41" s="33"/>
      <c r="MI41" s="33"/>
      <c r="MJ41" s="296"/>
      <c r="MK41" s="298"/>
      <c r="ML41" s="32"/>
      <c r="MM41" s="33"/>
      <c r="MN41" s="33"/>
      <c r="MO41" s="296"/>
      <c r="MP41" s="298">
        <f t="shared" si="67"/>
        <v>0</v>
      </c>
      <c r="MQ41" s="32"/>
      <c r="MR41" s="33"/>
      <c r="MS41" s="33"/>
      <c r="MT41" s="296"/>
      <c r="MU41" s="298">
        <f t="shared" si="68"/>
        <v>0</v>
      </c>
      <c r="MV41" s="32"/>
      <c r="MW41" s="33"/>
      <c r="MX41" s="33"/>
      <c r="MY41" s="296"/>
      <c r="MZ41" s="298">
        <f t="shared" si="69"/>
        <v>0</v>
      </c>
      <c r="NA41" s="32"/>
      <c r="NB41" s="33"/>
      <c r="NC41" s="33"/>
      <c r="ND41" s="296"/>
      <c r="NE41" s="298">
        <f t="shared" si="70"/>
        <v>0</v>
      </c>
      <c r="NF41" s="32"/>
      <c r="NG41" s="33"/>
      <c r="NH41" s="33"/>
      <c r="NI41" s="296"/>
      <c r="NJ41" s="298">
        <f t="shared" si="14"/>
        <v>0</v>
      </c>
      <c r="NK41" s="455">
        <f t="shared" si="71"/>
        <v>0</v>
      </c>
    </row>
    <row r="42" spans="1:375" ht="15.75" x14ac:dyDescent="0.25">
      <c r="A42" s="323"/>
      <c r="B42" s="282">
        <v>27</v>
      </c>
      <c r="C42" s="366">
        <v>18.64</v>
      </c>
      <c r="D42" s="326"/>
      <c r="E42" s="327"/>
      <c r="F42" s="328"/>
      <c r="G42" s="329"/>
      <c r="H42" s="357"/>
      <c r="I42" s="358"/>
      <c r="J42" s="186"/>
      <c r="K42" s="186"/>
      <c r="L42" s="359"/>
      <c r="M42" s="340"/>
      <c r="N42" s="358"/>
      <c r="O42" s="186"/>
      <c r="P42" s="186"/>
      <c r="Q42" s="359"/>
      <c r="R42" s="256"/>
      <c r="S42" s="358"/>
      <c r="T42" s="186"/>
      <c r="U42" s="186"/>
      <c r="V42" s="359"/>
      <c r="W42" s="256"/>
      <c r="X42" s="358"/>
      <c r="Y42" s="186"/>
      <c r="Z42" s="186"/>
      <c r="AA42" s="359"/>
      <c r="AB42" s="256"/>
      <c r="AC42" s="360"/>
      <c r="AD42" s="361"/>
      <c r="AE42" s="361"/>
      <c r="AF42" s="362"/>
      <c r="AG42" s="363"/>
      <c r="AH42" s="351"/>
      <c r="AI42" s="342"/>
      <c r="AJ42" s="342"/>
      <c r="AK42" s="364"/>
      <c r="AL42" s="352"/>
      <c r="AM42" s="345"/>
      <c r="AN42" s="346"/>
      <c r="AO42" s="346"/>
      <c r="AP42" s="265"/>
      <c r="AQ42" s="347"/>
      <c r="AR42" s="345"/>
      <c r="AS42" s="346"/>
      <c r="AT42" s="346"/>
      <c r="AU42" s="348"/>
      <c r="AV42" s="365"/>
      <c r="AW42" s="345"/>
      <c r="AX42" s="346"/>
      <c r="AY42" s="346"/>
      <c r="AZ42" s="348"/>
      <c r="BA42" s="365"/>
      <c r="BB42" s="345"/>
      <c r="BC42" s="346"/>
      <c r="BD42" s="346"/>
      <c r="BE42" s="348"/>
      <c r="BF42" s="365"/>
      <c r="BG42" s="32"/>
      <c r="BH42" s="33"/>
      <c r="BI42" s="33"/>
      <c r="BJ42" s="299"/>
      <c r="BK42" s="298">
        <f t="shared" si="84"/>
        <v>0</v>
      </c>
      <c r="BL42" s="32">
        <v>2.63</v>
      </c>
      <c r="BM42" s="33"/>
      <c r="BN42" s="33"/>
      <c r="BO42" s="299"/>
      <c r="BP42" s="297">
        <f t="shared" si="77"/>
        <v>2.63</v>
      </c>
      <c r="BQ42" s="455">
        <f t="shared" si="2"/>
        <v>2.63</v>
      </c>
      <c r="BR42" s="345">
        <v>0.3</v>
      </c>
      <c r="BS42" s="792">
        <v>0.3</v>
      </c>
      <c r="BT42" s="792"/>
      <c r="BU42" s="793"/>
      <c r="BV42" s="782">
        <f t="shared" si="19"/>
        <v>0.6</v>
      </c>
      <c r="BW42" s="794">
        <v>0.33</v>
      </c>
      <c r="BX42" s="792"/>
      <c r="BY42" s="792"/>
      <c r="BZ42" s="793"/>
      <c r="CA42" s="784">
        <f t="shared" si="20"/>
        <v>0.33</v>
      </c>
      <c r="CB42" s="785"/>
      <c r="CC42" s="786"/>
      <c r="CD42" s="786"/>
      <c r="CE42" s="787"/>
      <c r="CF42" s="788">
        <f t="shared" si="78"/>
        <v>0</v>
      </c>
      <c r="CG42" s="785"/>
      <c r="CH42" s="786"/>
      <c r="CI42" s="786"/>
      <c r="CJ42" s="787"/>
      <c r="CK42" s="788">
        <f t="shared" si="79"/>
        <v>0</v>
      </c>
      <c r="CL42" s="785">
        <v>1.17</v>
      </c>
      <c r="CM42" s="786">
        <v>0.31</v>
      </c>
      <c r="CN42" s="786"/>
      <c r="CO42" s="787"/>
      <c r="CP42" s="788">
        <f t="shared" si="80"/>
        <v>1.48</v>
      </c>
      <c r="CQ42" s="789">
        <v>0.3</v>
      </c>
      <c r="CR42" s="367">
        <v>0.3</v>
      </c>
      <c r="CS42" s="367"/>
      <c r="CT42" s="790"/>
      <c r="CU42" s="791">
        <v>0.6</v>
      </c>
      <c r="CV42" s="789">
        <v>0.42</v>
      </c>
      <c r="CW42" s="367">
        <v>0.36</v>
      </c>
      <c r="CX42" s="367"/>
      <c r="CY42" s="790"/>
      <c r="CZ42" s="791">
        <f>SUM(CV42:CY42)</f>
        <v>0.78</v>
      </c>
      <c r="DA42" s="789">
        <v>0.65</v>
      </c>
      <c r="DB42" s="367">
        <v>0.7</v>
      </c>
      <c r="DC42" s="367"/>
      <c r="DD42" s="790"/>
      <c r="DE42" s="791">
        <f>SUM(DA42:DD42)</f>
        <v>1.35</v>
      </c>
      <c r="DF42" s="789">
        <v>1</v>
      </c>
      <c r="DG42" s="367"/>
      <c r="DH42" s="367"/>
      <c r="DI42" s="790"/>
      <c r="DJ42" s="791">
        <f>SUM(DF42:DI42)</f>
        <v>1</v>
      </c>
      <c r="DK42" s="789">
        <v>0.9</v>
      </c>
      <c r="DL42" s="367"/>
      <c r="DM42" s="367"/>
      <c r="DN42" s="790"/>
      <c r="DO42" s="791">
        <f>SUM(DK42:DN42)</f>
        <v>0.9</v>
      </c>
      <c r="DP42" s="789">
        <v>1.21</v>
      </c>
      <c r="DQ42" s="367"/>
      <c r="DR42" s="367"/>
      <c r="DS42" s="790"/>
      <c r="DT42" s="791">
        <f>SUM(DP42:DS42)</f>
        <v>1.21</v>
      </c>
      <c r="DU42" s="789">
        <v>0.99</v>
      </c>
      <c r="DV42" s="367"/>
      <c r="DW42" s="367"/>
      <c r="DX42" s="790"/>
      <c r="DY42" s="791">
        <f>SUM(DU42:DX42)</f>
        <v>0.99</v>
      </c>
      <c r="DZ42" s="455">
        <f t="shared" si="6"/>
        <v>9.24</v>
      </c>
      <c r="EA42" s="789">
        <v>0.81</v>
      </c>
      <c r="EB42" s="367">
        <v>1</v>
      </c>
      <c r="EC42" s="367"/>
      <c r="ED42" s="790"/>
      <c r="EE42" s="791">
        <f>SUM(EA42:ED42)</f>
        <v>1.81</v>
      </c>
      <c r="EF42" s="789">
        <v>0.61</v>
      </c>
      <c r="EG42" s="367"/>
      <c r="EH42" s="367"/>
      <c r="EI42" s="790"/>
      <c r="EJ42" s="791">
        <f>SUM(EF42:EI42)</f>
        <v>0.61</v>
      </c>
      <c r="EK42" s="789">
        <v>3.33</v>
      </c>
      <c r="EL42" s="367"/>
      <c r="EM42" s="367"/>
      <c r="EN42" s="790"/>
      <c r="EO42" s="791">
        <f>SUM(EK42:EN42)</f>
        <v>3.33</v>
      </c>
      <c r="EP42" s="789">
        <v>1.27</v>
      </c>
      <c r="EQ42" s="367"/>
      <c r="ER42" s="367"/>
      <c r="ES42" s="790"/>
      <c r="ET42" s="791">
        <f>SUM(EP42:ES42)</f>
        <v>1.27</v>
      </c>
      <c r="EU42" s="789">
        <v>1.7</v>
      </c>
      <c r="EV42" s="367">
        <v>3.53</v>
      </c>
      <c r="EW42" s="367"/>
      <c r="EX42" s="790"/>
      <c r="EY42" s="791">
        <f>SUM(EU42:EX42)</f>
        <v>5.2299999999999995</v>
      </c>
      <c r="EZ42" s="789">
        <v>2.19</v>
      </c>
      <c r="FA42" s="367"/>
      <c r="FB42" s="367"/>
      <c r="FC42" s="790"/>
      <c r="FD42" s="791">
        <f>SUM(EZ42:FC42)</f>
        <v>2.19</v>
      </c>
      <c r="FE42" s="789">
        <v>3.9</v>
      </c>
      <c r="FF42" s="367">
        <v>4.21</v>
      </c>
      <c r="FG42" s="367"/>
      <c r="FH42" s="790"/>
      <c r="FI42" s="791">
        <f>SUM(FE42:FH42)</f>
        <v>8.11</v>
      </c>
      <c r="FJ42" s="789">
        <v>1.67</v>
      </c>
      <c r="FK42" s="367">
        <v>2.66</v>
      </c>
      <c r="FL42" s="367"/>
      <c r="FM42" s="790"/>
      <c r="FN42" s="791">
        <f>SUM(FJ42:FM42)</f>
        <v>4.33</v>
      </c>
      <c r="FO42" s="789">
        <v>2.41</v>
      </c>
      <c r="FP42" s="367"/>
      <c r="FQ42" s="367"/>
      <c r="FR42" s="790"/>
      <c r="FS42" s="791">
        <f>SUM(FO42:FR42)</f>
        <v>2.41</v>
      </c>
      <c r="FT42" s="789">
        <v>1.93</v>
      </c>
      <c r="FU42" s="367">
        <v>1.69</v>
      </c>
      <c r="FV42" s="367"/>
      <c r="FW42" s="790"/>
      <c r="FX42" s="791">
        <f>SUM(FT42:FW42)</f>
        <v>3.62</v>
      </c>
      <c r="FY42" s="789">
        <v>2.1</v>
      </c>
      <c r="FZ42" s="367">
        <v>1.38</v>
      </c>
      <c r="GA42" s="367"/>
      <c r="GB42" s="790"/>
      <c r="GC42" s="791">
        <f>SUM(FY42:GB42)</f>
        <v>3.48</v>
      </c>
      <c r="GD42" s="789">
        <v>1.19</v>
      </c>
      <c r="GE42" s="367">
        <v>0.88</v>
      </c>
      <c r="GF42" s="367"/>
      <c r="GG42" s="790"/>
      <c r="GH42" s="791">
        <f>SUM(GD42:GG42)</f>
        <v>2.0699999999999998</v>
      </c>
      <c r="GI42" s="455">
        <f t="shared" si="7"/>
        <v>38.459999999999994</v>
      </c>
      <c r="GJ42" s="302">
        <v>0.8</v>
      </c>
      <c r="GK42" s="303">
        <v>0.68</v>
      </c>
      <c r="GL42" s="303">
        <v>0.71</v>
      </c>
      <c r="GM42" s="304"/>
      <c r="GN42" s="305">
        <f>SUM(GJ42:GM42)</f>
        <v>2.19</v>
      </c>
      <c r="GO42" s="302">
        <v>0.95</v>
      </c>
      <c r="GP42" s="303">
        <v>1</v>
      </c>
      <c r="GQ42" s="303"/>
      <c r="GR42" s="304"/>
      <c r="GS42" s="305">
        <f>SUM(GO42:GR42)</f>
        <v>1.95</v>
      </c>
      <c r="GT42" s="302">
        <v>0.41</v>
      </c>
      <c r="GU42" s="303">
        <v>2.56</v>
      </c>
      <c r="GV42" s="303"/>
      <c r="GW42" s="304"/>
      <c r="GX42" s="305">
        <f>SUM(GT42:GW42)</f>
        <v>2.97</v>
      </c>
      <c r="GY42" s="302">
        <v>3.37</v>
      </c>
      <c r="GZ42" s="303">
        <v>4.09</v>
      </c>
      <c r="HA42" s="303"/>
      <c r="HB42" s="304"/>
      <c r="HC42" s="305">
        <f>SUM(GY42:HB42)</f>
        <v>7.46</v>
      </c>
      <c r="HD42" s="302">
        <v>4.37</v>
      </c>
      <c r="HE42" s="303">
        <v>6.83</v>
      </c>
      <c r="HF42" s="303"/>
      <c r="HG42" s="304"/>
      <c r="HH42" s="305">
        <f>SUM(HD42:HG42)</f>
        <v>11.2</v>
      </c>
      <c r="HI42" s="302">
        <v>5.05</v>
      </c>
      <c r="HJ42" s="303">
        <v>2.96</v>
      </c>
      <c r="HK42" s="303"/>
      <c r="HL42" s="304"/>
      <c r="HM42" s="305">
        <f>SUM(HI42:HL42)</f>
        <v>8.01</v>
      </c>
      <c r="HN42" s="302">
        <v>9.66</v>
      </c>
      <c r="HO42" s="303">
        <v>3.87</v>
      </c>
      <c r="HP42" s="303"/>
      <c r="HQ42" s="304"/>
      <c r="HR42" s="305">
        <f>SUM(HN42:HQ42)</f>
        <v>13.530000000000001</v>
      </c>
      <c r="HS42" s="302">
        <v>3.46</v>
      </c>
      <c r="HT42" s="303">
        <v>4.34</v>
      </c>
      <c r="HU42" s="303"/>
      <c r="HV42" s="304"/>
      <c r="HW42" s="305">
        <f>SUM(HS42:HV42)</f>
        <v>7.8</v>
      </c>
      <c r="HX42" s="302">
        <v>4.2</v>
      </c>
      <c r="HY42" s="303">
        <v>5.29</v>
      </c>
      <c r="HZ42" s="303"/>
      <c r="IA42" s="304"/>
      <c r="IB42" s="305">
        <f>SUM(HX42:IA42)</f>
        <v>9.49</v>
      </c>
      <c r="IC42" s="302">
        <v>9.64</v>
      </c>
      <c r="ID42" s="303">
        <v>5.83</v>
      </c>
      <c r="IE42" s="303"/>
      <c r="IF42" s="304"/>
      <c r="IG42" s="305">
        <f>SUM(IC42:IF42)</f>
        <v>15.47</v>
      </c>
      <c r="IH42" s="61">
        <v>8.5500000000000007</v>
      </c>
      <c r="II42" s="62">
        <v>6.76</v>
      </c>
      <c r="IJ42" s="62"/>
      <c r="IK42" s="301"/>
      <c r="IL42" s="300">
        <f>SUM(IH42:IK42)</f>
        <v>15.31</v>
      </c>
      <c r="IM42" s="61">
        <v>6.36</v>
      </c>
      <c r="IN42" s="62">
        <v>7.39</v>
      </c>
      <c r="IO42" s="301"/>
      <c r="IP42" s="296"/>
      <c r="IQ42" s="442">
        <f>SUM(IM42:IP42)</f>
        <v>13.75</v>
      </c>
      <c r="IR42" s="442"/>
      <c r="IS42" s="455">
        <f t="shared" si="48"/>
        <v>109.13</v>
      </c>
      <c r="IT42" s="449">
        <v>2.98</v>
      </c>
      <c r="IU42" s="309"/>
      <c r="IV42" s="33"/>
      <c r="IW42" s="296"/>
      <c r="IX42" s="298">
        <f>SUM(IT42:IW42)</f>
        <v>2.98</v>
      </c>
      <c r="IY42" s="32">
        <v>8.36</v>
      </c>
      <c r="IZ42" s="33">
        <v>3.6</v>
      </c>
      <c r="JA42" s="33"/>
      <c r="JB42" s="296"/>
      <c r="JC42" s="298">
        <f>SUM(IY42:JB42)</f>
        <v>11.959999999999999</v>
      </c>
      <c r="JD42" s="32">
        <v>5.41</v>
      </c>
      <c r="JE42" s="33">
        <v>3.84</v>
      </c>
      <c r="JF42" s="33"/>
      <c r="JG42" s="296"/>
      <c r="JH42" s="298">
        <f>SUM(JD42:JG42)</f>
        <v>9.25</v>
      </c>
      <c r="JI42" s="32">
        <v>9.08</v>
      </c>
      <c r="JJ42" s="33">
        <v>8.18</v>
      </c>
      <c r="JK42" s="33"/>
      <c r="JL42" s="296"/>
      <c r="JM42" s="298">
        <f>SUM(JI42:JL42)</f>
        <v>17.259999999999998</v>
      </c>
      <c r="JN42" s="32">
        <v>8.16</v>
      </c>
      <c r="JO42" s="33">
        <v>6.15</v>
      </c>
      <c r="JP42" s="33"/>
      <c r="JQ42" s="296"/>
      <c r="JR42" s="298">
        <f>SUM(JN42:JQ42)</f>
        <v>14.31</v>
      </c>
      <c r="JS42" s="32">
        <v>6.9</v>
      </c>
      <c r="JT42" s="33">
        <v>6.83</v>
      </c>
      <c r="JU42" s="33"/>
      <c r="JV42" s="296"/>
      <c r="JW42" s="298">
        <f>SUM(JS42:JV42)</f>
        <v>13.73</v>
      </c>
      <c r="JX42" s="32">
        <v>7.34</v>
      </c>
      <c r="JY42" s="33">
        <v>8.73</v>
      </c>
      <c r="JZ42" s="33"/>
      <c r="KA42" s="296"/>
      <c r="KB42" s="298">
        <f>SUM(JX42:KA42)</f>
        <v>16.07</v>
      </c>
      <c r="KC42" s="32">
        <v>7.79</v>
      </c>
      <c r="KD42" s="33">
        <v>7.52</v>
      </c>
      <c r="KE42" s="33">
        <v>9.9600000000000009</v>
      </c>
      <c r="KF42" s="296"/>
      <c r="KG42" s="298">
        <f t="shared" si="56"/>
        <v>25.27</v>
      </c>
      <c r="KH42" s="32">
        <v>9.42</v>
      </c>
      <c r="KI42" s="33">
        <v>7.53</v>
      </c>
      <c r="KJ42" s="33">
        <v>0</v>
      </c>
      <c r="KK42" s="296">
        <v>0</v>
      </c>
      <c r="KL42" s="298">
        <f t="shared" si="57"/>
        <v>16.95</v>
      </c>
      <c r="KM42" s="32">
        <v>3.37</v>
      </c>
      <c r="KN42" s="33">
        <v>17.25</v>
      </c>
      <c r="KO42" s="33">
        <v>0</v>
      </c>
      <c r="KP42" s="296">
        <v>0</v>
      </c>
      <c r="KQ42" s="298">
        <f t="shared" si="58"/>
        <v>20.62</v>
      </c>
      <c r="KR42" s="32">
        <v>4.34</v>
      </c>
      <c r="KS42" s="33">
        <v>19.899999999999999</v>
      </c>
      <c r="KT42" s="33">
        <v>0</v>
      </c>
      <c r="KU42" s="296">
        <v>0</v>
      </c>
      <c r="KV42" s="298">
        <f t="shared" si="59"/>
        <v>24.24</v>
      </c>
      <c r="KW42" s="32">
        <v>10</v>
      </c>
      <c r="KX42" s="33">
        <v>9</v>
      </c>
      <c r="KY42" s="33">
        <v>0</v>
      </c>
      <c r="KZ42" s="296">
        <v>0</v>
      </c>
      <c r="LA42" s="298">
        <f t="shared" si="8"/>
        <v>19</v>
      </c>
      <c r="LB42" s="455">
        <f t="shared" si="60"/>
        <v>191.64000000000001</v>
      </c>
      <c r="LC42" s="32">
        <f t="shared" si="9"/>
        <v>8.31</v>
      </c>
      <c r="LD42" s="33">
        <f t="shared" si="10"/>
        <v>8.74</v>
      </c>
      <c r="LE42" s="33">
        <f t="shared" si="11"/>
        <v>0</v>
      </c>
      <c r="LF42" s="296">
        <f t="shared" si="12"/>
        <v>0</v>
      </c>
      <c r="LG42" s="298">
        <f t="shared" si="13"/>
        <v>17.05</v>
      </c>
      <c r="LH42" s="32"/>
      <c r="LI42" s="33"/>
      <c r="LJ42" s="33"/>
      <c r="LK42" s="296"/>
      <c r="LL42" s="298">
        <f>SUM(LH42:LK42)</f>
        <v>0</v>
      </c>
      <c r="LM42" s="32"/>
      <c r="LN42" s="33"/>
      <c r="LO42" s="33"/>
      <c r="LP42" s="296"/>
      <c r="LQ42" s="298">
        <f>SUM(LM42:LP42)</f>
        <v>0</v>
      </c>
      <c r="LR42" s="32"/>
      <c r="LS42" s="33"/>
      <c r="LT42" s="33"/>
      <c r="LU42" s="296"/>
      <c r="LV42" s="298">
        <f>SUM(LR42:LU42)</f>
        <v>0</v>
      </c>
      <c r="LW42" s="32"/>
      <c r="LX42" s="33"/>
      <c r="LY42" s="33"/>
      <c r="LZ42" s="296"/>
      <c r="MA42" s="298">
        <f>SUM(LW42:LZ42)</f>
        <v>0</v>
      </c>
      <c r="MB42" s="32"/>
      <c r="MC42" s="33"/>
      <c r="MD42" s="33"/>
      <c r="ME42" s="296"/>
      <c r="MF42" s="298">
        <f>SUM(MB42:ME42)</f>
        <v>0</v>
      </c>
      <c r="MG42" s="32"/>
      <c r="MH42" s="33"/>
      <c r="MI42" s="33"/>
      <c r="MJ42" s="296"/>
      <c r="MK42" s="298">
        <f>SUM(MG42:MJ42)</f>
        <v>0</v>
      </c>
      <c r="ML42" s="32"/>
      <c r="MM42" s="33"/>
      <c r="MN42" s="33"/>
      <c r="MO42" s="296"/>
      <c r="MP42" s="298">
        <f t="shared" si="67"/>
        <v>0</v>
      </c>
      <c r="MQ42" s="32"/>
      <c r="MR42" s="33"/>
      <c r="MS42" s="33"/>
      <c r="MT42" s="296"/>
      <c r="MU42" s="298">
        <f t="shared" si="68"/>
        <v>0</v>
      </c>
      <c r="MV42" s="32"/>
      <c r="MW42" s="33"/>
      <c r="MX42" s="33"/>
      <c r="MY42" s="296"/>
      <c r="MZ42" s="298">
        <f t="shared" si="69"/>
        <v>0</v>
      </c>
      <c r="NA42" s="32"/>
      <c r="NB42" s="33"/>
      <c r="NC42" s="33"/>
      <c r="ND42" s="296"/>
      <c r="NE42" s="298">
        <f t="shared" si="70"/>
        <v>0</v>
      </c>
      <c r="NF42" s="32"/>
      <c r="NG42" s="33"/>
      <c r="NH42" s="33"/>
      <c r="NI42" s="296"/>
      <c r="NJ42" s="298">
        <f t="shared" si="14"/>
        <v>0</v>
      </c>
      <c r="NK42" s="455">
        <f t="shared" si="71"/>
        <v>17.05</v>
      </c>
    </row>
    <row r="43" spans="1:375" ht="15.75" x14ac:dyDescent="0.25">
      <c r="A43" s="323"/>
      <c r="B43" s="282">
        <v>28</v>
      </c>
      <c r="C43" s="366">
        <v>25.5</v>
      </c>
      <c r="D43" s="326"/>
      <c r="E43" s="327"/>
      <c r="F43" s="328"/>
      <c r="G43" s="329"/>
      <c r="H43" s="357"/>
      <c r="I43" s="358"/>
      <c r="J43" s="186"/>
      <c r="K43" s="186"/>
      <c r="L43" s="359"/>
      <c r="M43" s="340"/>
      <c r="N43" s="358"/>
      <c r="O43" s="186"/>
      <c r="P43" s="186"/>
      <c r="Q43" s="359"/>
      <c r="R43" s="256"/>
      <c r="S43" s="358"/>
      <c r="T43" s="186"/>
      <c r="U43" s="186"/>
      <c r="V43" s="359"/>
      <c r="W43" s="256"/>
      <c r="X43" s="358"/>
      <c r="Y43" s="186"/>
      <c r="Z43" s="186"/>
      <c r="AA43" s="359"/>
      <c r="AB43" s="256"/>
      <c r="AC43" s="360"/>
      <c r="AD43" s="361"/>
      <c r="AE43" s="361"/>
      <c r="AF43" s="362"/>
      <c r="AG43" s="363"/>
      <c r="AH43" s="351"/>
      <c r="AI43" s="342"/>
      <c r="AJ43" s="342"/>
      <c r="AK43" s="364"/>
      <c r="AL43" s="352"/>
      <c r="AM43" s="345"/>
      <c r="AN43" s="346"/>
      <c r="AO43" s="346"/>
      <c r="AP43" s="265"/>
      <c r="AQ43" s="347"/>
      <c r="AR43" s="345"/>
      <c r="AS43" s="346"/>
      <c r="AT43" s="346"/>
      <c r="AU43" s="348"/>
      <c r="AV43" s="365"/>
      <c r="AW43" s="345"/>
      <c r="AX43" s="346"/>
      <c r="AY43" s="346"/>
      <c r="AZ43" s="348"/>
      <c r="BA43" s="365"/>
      <c r="BB43" s="345"/>
      <c r="BC43" s="346"/>
      <c r="BD43" s="346"/>
      <c r="BE43" s="348"/>
      <c r="BF43" s="365"/>
      <c r="BG43" s="32">
        <v>3.88</v>
      </c>
      <c r="BH43" s="33"/>
      <c r="BI43" s="33"/>
      <c r="BJ43" s="299"/>
      <c r="BK43" s="298">
        <f t="shared" si="84"/>
        <v>3.88</v>
      </c>
      <c r="BL43" s="32">
        <v>6.56</v>
      </c>
      <c r="BM43" s="33">
        <v>2.04</v>
      </c>
      <c r="BN43" s="33"/>
      <c r="BO43" s="299"/>
      <c r="BP43" s="297">
        <f t="shared" si="77"/>
        <v>8.6</v>
      </c>
      <c r="BQ43" s="455">
        <f t="shared" si="2"/>
        <v>12.48</v>
      </c>
      <c r="BR43" s="32">
        <v>2.06</v>
      </c>
      <c r="BS43" s="43">
        <v>1.55</v>
      </c>
      <c r="BT43" s="43"/>
      <c r="BU43" s="781"/>
      <c r="BV43" s="782">
        <f t="shared" si="19"/>
        <v>3.6100000000000003</v>
      </c>
      <c r="BW43" s="783">
        <v>1.93</v>
      </c>
      <c r="BX43" s="43">
        <v>2.1</v>
      </c>
      <c r="BY43" s="43"/>
      <c r="BZ43" s="781"/>
      <c r="CA43" s="784">
        <f t="shared" si="20"/>
        <v>4.03</v>
      </c>
      <c r="CB43" s="785">
        <v>1.1299999999999999</v>
      </c>
      <c r="CC43" s="786"/>
      <c r="CD43" s="786"/>
      <c r="CE43" s="787"/>
      <c r="CF43" s="788">
        <f t="shared" si="78"/>
        <v>1.1299999999999999</v>
      </c>
      <c r="CG43" s="785">
        <v>5.29</v>
      </c>
      <c r="CH43" s="786"/>
      <c r="CI43" s="786"/>
      <c r="CJ43" s="787"/>
      <c r="CK43" s="788">
        <f t="shared" si="79"/>
        <v>5.29</v>
      </c>
      <c r="CL43" s="785">
        <v>3.9</v>
      </c>
      <c r="CM43" s="786">
        <v>6.64</v>
      </c>
      <c r="CN43" s="786"/>
      <c r="CO43" s="787"/>
      <c r="CP43" s="788">
        <f t="shared" si="80"/>
        <v>10.54</v>
      </c>
      <c r="CQ43" s="789">
        <v>6.46</v>
      </c>
      <c r="CR43" s="367">
        <v>8.81</v>
      </c>
      <c r="CS43" s="367"/>
      <c r="CT43" s="790"/>
      <c r="CU43" s="791">
        <v>15.27</v>
      </c>
      <c r="CV43" s="789">
        <v>7.27</v>
      </c>
      <c r="CW43" s="367">
        <v>8.18</v>
      </c>
      <c r="CX43" s="367"/>
      <c r="CY43" s="790"/>
      <c r="CZ43" s="791">
        <f>SUM(CV43:CY43)</f>
        <v>15.45</v>
      </c>
      <c r="DA43" s="789">
        <v>7.03</v>
      </c>
      <c r="DB43" s="367">
        <v>8.39</v>
      </c>
      <c r="DC43" s="367"/>
      <c r="DD43" s="790"/>
      <c r="DE43" s="791">
        <f>SUM(DA43:DD43)</f>
        <v>15.420000000000002</v>
      </c>
      <c r="DF43" s="789">
        <v>13.77</v>
      </c>
      <c r="DG43" s="367"/>
      <c r="DH43" s="367"/>
      <c r="DI43" s="790"/>
      <c r="DJ43" s="791">
        <f>SUM(DF43:DI43)</f>
        <v>13.77</v>
      </c>
      <c r="DK43" s="789">
        <v>18.03</v>
      </c>
      <c r="DL43" s="367"/>
      <c r="DM43" s="367"/>
      <c r="DN43" s="790"/>
      <c r="DO43" s="791">
        <f>SUM(DK43:DN43)</f>
        <v>18.03</v>
      </c>
      <c r="DP43" s="789">
        <v>12.02</v>
      </c>
      <c r="DQ43" s="367">
        <v>2.08</v>
      </c>
      <c r="DR43" s="367"/>
      <c r="DS43" s="790"/>
      <c r="DT43" s="791">
        <f>SUM(DP43:DS43)</f>
        <v>14.1</v>
      </c>
      <c r="DU43" s="789">
        <v>16.010000000000002</v>
      </c>
      <c r="DV43" s="367">
        <v>7.27</v>
      </c>
      <c r="DW43" s="367"/>
      <c r="DX43" s="790"/>
      <c r="DY43" s="791">
        <f>SUM(DU43:DX43)</f>
        <v>23.28</v>
      </c>
      <c r="DZ43" s="455">
        <f t="shared" si="6"/>
        <v>139.91999999999999</v>
      </c>
      <c r="EA43" s="789">
        <v>6.37</v>
      </c>
      <c r="EB43" s="367"/>
      <c r="EC43" s="367"/>
      <c r="ED43" s="790"/>
      <c r="EE43" s="791">
        <f>SUM(EA43:ED43)</f>
        <v>6.37</v>
      </c>
      <c r="EF43" s="789">
        <v>8.07</v>
      </c>
      <c r="EG43" s="367"/>
      <c r="EH43" s="367"/>
      <c r="EI43" s="790"/>
      <c r="EJ43" s="791">
        <f>SUM(EF43:EI43)</f>
        <v>8.07</v>
      </c>
      <c r="EK43" s="789">
        <v>11.76</v>
      </c>
      <c r="EL43" s="367"/>
      <c r="EM43" s="367"/>
      <c r="EN43" s="790"/>
      <c r="EO43" s="791">
        <f>SUM(EK43:EN43)</f>
        <v>11.76</v>
      </c>
      <c r="EP43" s="789">
        <v>10.65</v>
      </c>
      <c r="EQ43" s="367"/>
      <c r="ER43" s="367"/>
      <c r="ES43" s="790"/>
      <c r="ET43" s="791">
        <f>SUM(EP43:ES43)</f>
        <v>10.65</v>
      </c>
      <c r="EU43" s="789">
        <v>10.37</v>
      </c>
      <c r="EV43" s="367">
        <v>6.61</v>
      </c>
      <c r="EW43" s="367"/>
      <c r="EX43" s="790"/>
      <c r="EY43" s="791">
        <f>SUM(EU43:EX43)</f>
        <v>16.98</v>
      </c>
      <c r="EZ43" s="789">
        <v>6.85</v>
      </c>
      <c r="FA43" s="367">
        <v>3.78</v>
      </c>
      <c r="FB43" s="367"/>
      <c r="FC43" s="790"/>
      <c r="FD43" s="791">
        <f>SUM(EZ43:FC43)</f>
        <v>10.629999999999999</v>
      </c>
      <c r="FE43" s="789">
        <v>4.72</v>
      </c>
      <c r="FF43" s="367">
        <v>8.06</v>
      </c>
      <c r="FG43" s="367"/>
      <c r="FH43" s="790"/>
      <c r="FI43" s="791">
        <f>SUM(FE43:FH43)</f>
        <v>12.780000000000001</v>
      </c>
      <c r="FJ43" s="789">
        <v>9.11</v>
      </c>
      <c r="FK43" s="367">
        <v>6.78</v>
      </c>
      <c r="FL43" s="367"/>
      <c r="FM43" s="790"/>
      <c r="FN43" s="791">
        <f>SUM(FJ43:FM43)</f>
        <v>15.89</v>
      </c>
      <c r="FO43" s="789">
        <v>11.23</v>
      </c>
      <c r="FP43" s="367">
        <v>10.17</v>
      </c>
      <c r="FQ43" s="367"/>
      <c r="FR43" s="790"/>
      <c r="FS43" s="791">
        <f>SUM(FO43:FR43)</f>
        <v>21.4</v>
      </c>
      <c r="FT43" s="789">
        <v>10.55</v>
      </c>
      <c r="FU43" s="367">
        <v>12.33</v>
      </c>
      <c r="FV43" s="367"/>
      <c r="FW43" s="790"/>
      <c r="FX43" s="791">
        <f>SUM(FT43:FW43)</f>
        <v>22.880000000000003</v>
      </c>
      <c r="FY43" s="789">
        <v>17.14</v>
      </c>
      <c r="FZ43" s="810"/>
      <c r="GA43" s="367"/>
      <c r="GB43" s="790"/>
      <c r="GC43" s="791">
        <f>SUM(FY43:GB43)</f>
        <v>17.14</v>
      </c>
      <c r="GD43" s="789">
        <v>7.48</v>
      </c>
      <c r="GE43" s="367">
        <v>8.67</v>
      </c>
      <c r="GF43" s="367"/>
      <c r="GG43" s="790"/>
      <c r="GH43" s="791">
        <f>SUM(GD43:GG43)</f>
        <v>16.149999999999999</v>
      </c>
      <c r="GI43" s="455">
        <f t="shared" si="7"/>
        <v>170.70000000000002</v>
      </c>
      <c r="GJ43" s="302">
        <v>11.54</v>
      </c>
      <c r="GK43" s="303">
        <v>6.35</v>
      </c>
      <c r="GL43" s="303"/>
      <c r="GM43" s="304"/>
      <c r="GN43" s="305">
        <f>SUM(GJ43:GM43)</f>
        <v>17.89</v>
      </c>
      <c r="GO43" s="302">
        <v>7.38</v>
      </c>
      <c r="GP43" s="303">
        <v>8.43</v>
      </c>
      <c r="GQ43" s="303"/>
      <c r="GR43" s="304"/>
      <c r="GS43" s="305">
        <f>SUM(GO43:GR43)</f>
        <v>15.809999999999999</v>
      </c>
      <c r="GT43" s="302">
        <v>10.14</v>
      </c>
      <c r="GU43" s="303">
        <v>8.74</v>
      </c>
      <c r="GV43" s="303"/>
      <c r="GW43" s="304"/>
      <c r="GX43" s="305">
        <f>SUM(GT43:GW43)</f>
        <v>18.880000000000003</v>
      </c>
      <c r="GY43" s="302">
        <v>6.83</v>
      </c>
      <c r="GZ43" s="303">
        <v>13.91</v>
      </c>
      <c r="HA43" s="303"/>
      <c r="HB43" s="304"/>
      <c r="HC43" s="305">
        <f>SUM(GY43:HB43)</f>
        <v>20.740000000000002</v>
      </c>
      <c r="HD43" s="302">
        <v>10.68</v>
      </c>
      <c r="HE43" s="303">
        <v>9.7899999999999991</v>
      </c>
      <c r="HF43" s="303"/>
      <c r="HG43" s="304"/>
      <c r="HH43" s="305">
        <f>SUM(HD43:HG43)</f>
        <v>20.47</v>
      </c>
      <c r="HI43" s="302">
        <v>9.1999999999999993</v>
      </c>
      <c r="HJ43" s="303">
        <v>14.41</v>
      </c>
      <c r="HK43" s="303"/>
      <c r="HL43" s="304"/>
      <c r="HM43" s="305">
        <f>SUM(HI43:HL43)</f>
        <v>23.61</v>
      </c>
      <c r="HN43" s="302">
        <v>8.6</v>
      </c>
      <c r="HO43" s="303">
        <v>8.6199999999999992</v>
      </c>
      <c r="HP43" s="303"/>
      <c r="HQ43" s="304"/>
      <c r="HR43" s="305">
        <f>SUM(HN43:HQ43)</f>
        <v>17.22</v>
      </c>
      <c r="HS43" s="302">
        <v>10.84</v>
      </c>
      <c r="HT43" s="303">
        <v>13.11</v>
      </c>
      <c r="HU43" s="303"/>
      <c r="HV43" s="304"/>
      <c r="HW43" s="305">
        <f>SUM(HS43:HV43)</f>
        <v>23.95</v>
      </c>
      <c r="HX43" s="302">
        <v>11.38</v>
      </c>
      <c r="HY43" s="303">
        <v>12.32</v>
      </c>
      <c r="HZ43" s="303"/>
      <c r="IA43" s="304"/>
      <c r="IB43" s="305">
        <f>SUM(HX43:IA43)</f>
        <v>23.700000000000003</v>
      </c>
      <c r="IC43" s="302">
        <v>16.940000000000001</v>
      </c>
      <c r="ID43" s="303">
        <v>7.76</v>
      </c>
      <c r="IE43" s="303"/>
      <c r="IF43" s="304"/>
      <c r="IG43" s="305">
        <f>SUM(IC43:IF43)</f>
        <v>24.700000000000003</v>
      </c>
      <c r="IH43" s="61">
        <v>22.85</v>
      </c>
      <c r="II43" s="311"/>
      <c r="IJ43" s="62"/>
      <c r="IK43" s="301"/>
      <c r="IL43" s="300">
        <f>SUM(IH43:IK43)</f>
        <v>22.85</v>
      </c>
      <c r="IM43" s="61">
        <v>8.5399999999999991</v>
      </c>
      <c r="IN43" s="62">
        <v>11.07</v>
      </c>
      <c r="IO43" s="301"/>
      <c r="IP43" s="296"/>
      <c r="IQ43" s="442">
        <f>SUM(IM43:IP43)</f>
        <v>19.61</v>
      </c>
      <c r="IR43" s="442"/>
      <c r="IS43" s="455">
        <f t="shared" si="48"/>
        <v>249.42999999999995</v>
      </c>
      <c r="IT43" s="449">
        <v>13.12</v>
      </c>
      <c r="IU43" s="33">
        <v>13.67</v>
      </c>
      <c r="IV43" s="33"/>
      <c r="IW43" s="296"/>
      <c r="IX43" s="298">
        <f>SUM(IT43:IW43)</f>
        <v>26.79</v>
      </c>
      <c r="IY43" s="32">
        <v>13.81</v>
      </c>
      <c r="IZ43" s="33">
        <v>2.56</v>
      </c>
      <c r="JA43" s="33"/>
      <c r="JB43" s="296"/>
      <c r="JC43" s="298">
        <f>SUM(IY43:JB43)</f>
        <v>16.37</v>
      </c>
      <c r="JD43" s="32">
        <v>14.53</v>
      </c>
      <c r="JE43" s="33">
        <v>12.85</v>
      </c>
      <c r="JF43" s="33"/>
      <c r="JG43" s="296"/>
      <c r="JH43" s="298">
        <f>SUM(JD43:JG43)</f>
        <v>27.38</v>
      </c>
      <c r="JI43" s="32">
        <v>19</v>
      </c>
      <c r="JJ43" s="33">
        <v>7.42</v>
      </c>
      <c r="JK43" s="33"/>
      <c r="JL43" s="296"/>
      <c r="JM43" s="298">
        <f>SUM(JI43:JL43)</f>
        <v>26.42</v>
      </c>
      <c r="JN43" s="32">
        <v>23.19</v>
      </c>
      <c r="JO43" s="309"/>
      <c r="JP43" s="33"/>
      <c r="JQ43" s="296"/>
      <c r="JR43" s="298">
        <f>SUM(JN43:JQ43)</f>
        <v>23.19</v>
      </c>
      <c r="JS43" s="32">
        <v>21.95</v>
      </c>
      <c r="JT43" s="33">
        <v>15.82</v>
      </c>
      <c r="JU43" s="33"/>
      <c r="JV43" s="296"/>
      <c r="JW43" s="298">
        <f>SUM(JS43:JV43)</f>
        <v>37.769999999999996</v>
      </c>
      <c r="JX43" s="32">
        <v>15.71</v>
      </c>
      <c r="JY43" s="33">
        <v>11.26</v>
      </c>
      <c r="JZ43" s="33"/>
      <c r="KA43" s="296"/>
      <c r="KB43" s="298">
        <f>SUM(JX43:KA43)</f>
        <v>26.97</v>
      </c>
      <c r="KC43" s="32">
        <v>17.920000000000002</v>
      </c>
      <c r="KD43" s="33">
        <v>4.12</v>
      </c>
      <c r="KE43" s="33"/>
      <c r="KF43" s="296"/>
      <c r="KG43" s="298">
        <f t="shared" si="56"/>
        <v>22.040000000000003</v>
      </c>
      <c r="KH43" s="32">
        <v>24.71</v>
      </c>
      <c r="KI43" s="33">
        <v>5.59</v>
      </c>
      <c r="KJ43" s="33">
        <v>0</v>
      </c>
      <c r="KK43" s="296">
        <v>0</v>
      </c>
      <c r="KL43" s="298">
        <f t="shared" si="57"/>
        <v>30.3</v>
      </c>
      <c r="KM43" s="32">
        <v>22.75</v>
      </c>
      <c r="KN43" s="33">
        <v>10.870000000000001</v>
      </c>
      <c r="KO43" s="33">
        <v>0</v>
      </c>
      <c r="KP43" s="296">
        <v>0</v>
      </c>
      <c r="KQ43" s="298">
        <f t="shared" si="58"/>
        <v>33.620000000000005</v>
      </c>
      <c r="KR43" s="32">
        <v>23.27</v>
      </c>
      <c r="KS43" s="33">
        <v>13.7</v>
      </c>
      <c r="KT43" s="33">
        <v>0</v>
      </c>
      <c r="KU43" s="296">
        <v>0</v>
      </c>
      <c r="KV43" s="298">
        <f t="shared" si="59"/>
        <v>36.97</v>
      </c>
      <c r="KW43" s="32">
        <v>23.75</v>
      </c>
      <c r="KX43" s="33">
        <v>0</v>
      </c>
      <c r="KY43" s="33">
        <v>0</v>
      </c>
      <c r="KZ43" s="296">
        <v>0</v>
      </c>
      <c r="LA43" s="298">
        <f t="shared" si="8"/>
        <v>23.75</v>
      </c>
      <c r="LB43" s="455">
        <f t="shared" si="60"/>
        <v>331.57000000000005</v>
      </c>
      <c r="LC43" s="32">
        <f t="shared" si="9"/>
        <v>16.89</v>
      </c>
      <c r="LD43" s="33">
        <f t="shared" si="10"/>
        <v>12.379999999999999</v>
      </c>
      <c r="LE43" s="33">
        <f t="shared" si="11"/>
        <v>0</v>
      </c>
      <c r="LF43" s="296">
        <f t="shared" si="12"/>
        <v>0</v>
      </c>
      <c r="LG43" s="298">
        <f t="shared" si="13"/>
        <v>29.27</v>
      </c>
      <c r="LH43" s="32"/>
      <c r="LI43" s="33"/>
      <c r="LJ43" s="33"/>
      <c r="LK43" s="296"/>
      <c r="LL43" s="298">
        <f>SUM(LH43:LK43)</f>
        <v>0</v>
      </c>
      <c r="LM43" s="32"/>
      <c r="LN43" s="33"/>
      <c r="LO43" s="33"/>
      <c r="LP43" s="296"/>
      <c r="LQ43" s="298">
        <f>SUM(LM43:LP43)</f>
        <v>0</v>
      </c>
      <c r="LR43" s="32"/>
      <c r="LS43" s="33"/>
      <c r="LT43" s="33"/>
      <c r="LU43" s="296"/>
      <c r="LV43" s="298">
        <f>SUM(LR43:LU43)</f>
        <v>0</v>
      </c>
      <c r="LW43" s="32"/>
      <c r="LX43" s="33"/>
      <c r="LY43" s="33"/>
      <c r="LZ43" s="296"/>
      <c r="MA43" s="298">
        <f>SUM(LW43:LZ43)</f>
        <v>0</v>
      </c>
      <c r="MB43" s="32"/>
      <c r="MC43" s="33"/>
      <c r="MD43" s="33"/>
      <c r="ME43" s="296"/>
      <c r="MF43" s="298">
        <f>SUM(MB43:ME43)</f>
        <v>0</v>
      </c>
      <c r="MG43" s="32"/>
      <c r="MH43" s="33"/>
      <c r="MI43" s="33"/>
      <c r="MJ43" s="296"/>
      <c r="MK43" s="298">
        <f>SUM(MG43:MJ43)</f>
        <v>0</v>
      </c>
      <c r="ML43" s="32"/>
      <c r="MM43" s="33"/>
      <c r="MN43" s="33"/>
      <c r="MO43" s="296"/>
      <c r="MP43" s="298">
        <f t="shared" si="67"/>
        <v>0</v>
      </c>
      <c r="MQ43" s="32"/>
      <c r="MR43" s="33"/>
      <c r="MS43" s="33"/>
      <c r="MT43" s="296"/>
      <c r="MU43" s="298">
        <f t="shared" si="68"/>
        <v>0</v>
      </c>
      <c r="MV43" s="32"/>
      <c r="MW43" s="33"/>
      <c r="MX43" s="33"/>
      <c r="MY43" s="296"/>
      <c r="MZ43" s="298">
        <f t="shared" si="69"/>
        <v>0</v>
      </c>
      <c r="NA43" s="32"/>
      <c r="NB43" s="33"/>
      <c r="NC43" s="33"/>
      <c r="ND43" s="296"/>
      <c r="NE43" s="298">
        <f t="shared" si="70"/>
        <v>0</v>
      </c>
      <c r="NF43" s="32"/>
      <c r="NG43" s="33"/>
      <c r="NH43" s="33"/>
      <c r="NI43" s="296"/>
      <c r="NJ43" s="298">
        <f t="shared" si="14"/>
        <v>0</v>
      </c>
      <c r="NK43" s="455">
        <f t="shared" si="71"/>
        <v>29.27</v>
      </c>
    </row>
    <row r="44" spans="1:375" ht="15.75" x14ac:dyDescent="0.25">
      <c r="A44" s="323"/>
      <c r="B44" s="282">
        <v>29</v>
      </c>
      <c r="C44" s="366">
        <v>11.38</v>
      </c>
      <c r="D44" s="326"/>
      <c r="E44" s="327"/>
      <c r="F44" s="328"/>
      <c r="G44" s="329"/>
      <c r="H44" s="357"/>
      <c r="I44" s="358"/>
      <c r="J44" s="186"/>
      <c r="K44" s="186"/>
      <c r="L44" s="359"/>
      <c r="M44" s="340"/>
      <c r="N44" s="358"/>
      <c r="O44" s="186"/>
      <c r="P44" s="186"/>
      <c r="Q44" s="359"/>
      <c r="R44" s="256"/>
      <c r="S44" s="358"/>
      <c r="T44" s="186"/>
      <c r="U44" s="186"/>
      <c r="V44" s="359"/>
      <c r="W44" s="256"/>
      <c r="X44" s="358"/>
      <c r="Y44" s="186"/>
      <c r="Z44" s="186"/>
      <c r="AA44" s="359"/>
      <c r="AB44" s="256"/>
      <c r="AC44" s="360"/>
      <c r="AD44" s="361"/>
      <c r="AE44" s="361"/>
      <c r="AF44" s="362"/>
      <c r="AG44" s="363"/>
      <c r="AH44" s="351"/>
      <c r="AI44" s="342"/>
      <c r="AJ44" s="342"/>
      <c r="AK44" s="364"/>
      <c r="AL44" s="352"/>
      <c r="AM44" s="345"/>
      <c r="AN44" s="346"/>
      <c r="AO44" s="346"/>
      <c r="AP44" s="265"/>
      <c r="AQ44" s="347"/>
      <c r="AR44" s="345"/>
      <c r="AS44" s="346"/>
      <c r="AT44" s="346"/>
      <c r="AU44" s="348"/>
      <c r="AV44" s="365"/>
      <c r="AW44" s="345"/>
      <c r="AX44" s="346"/>
      <c r="AY44" s="346"/>
      <c r="AZ44" s="348"/>
      <c r="BA44" s="365"/>
      <c r="BB44" s="345"/>
      <c r="BC44" s="346"/>
      <c r="BD44" s="346"/>
      <c r="BE44" s="348"/>
      <c r="BF44" s="365"/>
      <c r="BG44" s="32"/>
      <c r="BH44" s="33"/>
      <c r="BI44" s="33"/>
      <c r="BJ44" s="299"/>
      <c r="BK44" s="298">
        <f t="shared" si="84"/>
        <v>0</v>
      </c>
      <c r="BL44" s="32"/>
      <c r="BM44" s="33"/>
      <c r="BN44" s="33"/>
      <c r="BO44" s="299"/>
      <c r="BP44" s="297">
        <f t="shared" si="77"/>
        <v>0</v>
      </c>
      <c r="BQ44" s="455">
        <f t="shared" si="2"/>
        <v>0</v>
      </c>
      <c r="BR44" s="32"/>
      <c r="BS44" s="43"/>
      <c r="BT44" s="43"/>
      <c r="BU44" s="781"/>
      <c r="BV44" s="782">
        <f t="shared" si="19"/>
        <v>0</v>
      </c>
      <c r="BW44" s="783"/>
      <c r="BX44" s="43"/>
      <c r="BY44" s="43"/>
      <c r="BZ44" s="781"/>
      <c r="CA44" s="784">
        <f t="shared" si="20"/>
        <v>0</v>
      </c>
      <c r="CB44" s="785"/>
      <c r="CC44" s="786"/>
      <c r="CD44" s="786"/>
      <c r="CE44" s="787"/>
      <c r="CF44" s="788">
        <f t="shared" si="78"/>
        <v>0</v>
      </c>
      <c r="CG44" s="785"/>
      <c r="CH44" s="786"/>
      <c r="CI44" s="786"/>
      <c r="CJ44" s="787"/>
      <c r="CK44" s="788">
        <f t="shared" si="79"/>
        <v>0</v>
      </c>
      <c r="CL44" s="785"/>
      <c r="CM44" s="786"/>
      <c r="CN44" s="786"/>
      <c r="CO44" s="787"/>
      <c r="CP44" s="791">
        <f t="shared" si="80"/>
        <v>0</v>
      </c>
      <c r="CQ44" s="789"/>
      <c r="CR44" s="367"/>
      <c r="CS44" s="367"/>
      <c r="CT44" s="790"/>
      <c r="CU44" s="791">
        <v>0</v>
      </c>
      <c r="CV44" s="789"/>
      <c r="CW44" s="367"/>
      <c r="CX44" s="367"/>
      <c r="CY44" s="790"/>
      <c r="CZ44" s="791">
        <v>0</v>
      </c>
      <c r="DA44" s="789"/>
      <c r="DB44" s="367"/>
      <c r="DC44" s="367"/>
      <c r="DD44" s="790"/>
      <c r="DE44" s="791">
        <v>0</v>
      </c>
      <c r="DF44" s="789"/>
      <c r="DG44" s="367"/>
      <c r="DH44" s="367"/>
      <c r="DI44" s="790"/>
      <c r="DJ44" s="791">
        <v>0</v>
      </c>
      <c r="DK44" s="789"/>
      <c r="DL44" s="367"/>
      <c r="DM44" s="367"/>
      <c r="DN44" s="790"/>
      <c r="DO44" s="791">
        <v>0</v>
      </c>
      <c r="DP44" s="789"/>
      <c r="DQ44" s="367"/>
      <c r="DR44" s="367"/>
      <c r="DS44" s="790"/>
      <c r="DT44" s="791">
        <v>0</v>
      </c>
      <c r="DU44" s="789"/>
      <c r="DV44" s="367"/>
      <c r="DW44" s="367"/>
      <c r="DX44" s="790"/>
      <c r="DY44" s="791">
        <v>0</v>
      </c>
      <c r="DZ44" s="455">
        <f t="shared" si="6"/>
        <v>0</v>
      </c>
      <c r="EA44" s="789"/>
      <c r="EB44" s="367"/>
      <c r="EC44" s="367"/>
      <c r="ED44" s="790"/>
      <c r="EE44" s="791">
        <v>0</v>
      </c>
      <c r="EF44" s="789"/>
      <c r="EG44" s="367"/>
      <c r="EH44" s="367"/>
      <c r="EI44" s="790"/>
      <c r="EJ44" s="791">
        <v>0</v>
      </c>
      <c r="EK44" s="789"/>
      <c r="EL44" s="367"/>
      <c r="EM44" s="367"/>
      <c r="EN44" s="790"/>
      <c r="EO44" s="791">
        <v>0</v>
      </c>
      <c r="EP44" s="789"/>
      <c r="EQ44" s="367"/>
      <c r="ER44" s="367"/>
      <c r="ES44" s="790"/>
      <c r="ET44" s="791">
        <v>0</v>
      </c>
      <c r="EU44" s="789"/>
      <c r="EV44" s="367"/>
      <c r="EW44" s="367"/>
      <c r="EX44" s="790"/>
      <c r="EY44" s="791">
        <v>0</v>
      </c>
      <c r="EZ44" s="789"/>
      <c r="FA44" s="367"/>
      <c r="FB44" s="367"/>
      <c r="FC44" s="790"/>
      <c r="FD44" s="791">
        <v>0</v>
      </c>
      <c r="FE44" s="789"/>
      <c r="FF44" s="367"/>
      <c r="FG44" s="367"/>
      <c r="FH44" s="790"/>
      <c r="FI44" s="791">
        <v>0</v>
      </c>
      <c r="FJ44" s="789"/>
      <c r="FK44" s="367"/>
      <c r="FL44" s="367"/>
      <c r="FM44" s="790"/>
      <c r="FN44" s="791">
        <v>0</v>
      </c>
      <c r="FO44" s="789"/>
      <c r="FP44" s="367"/>
      <c r="FQ44" s="367"/>
      <c r="FR44" s="790"/>
      <c r="FS44" s="791">
        <v>0</v>
      </c>
      <c r="FT44" s="789"/>
      <c r="FU44" s="367"/>
      <c r="FV44" s="367"/>
      <c r="FW44" s="790"/>
      <c r="FX44" s="791">
        <v>0</v>
      </c>
      <c r="FY44" s="789"/>
      <c r="FZ44" s="367"/>
      <c r="GA44" s="367"/>
      <c r="GB44" s="790"/>
      <c r="GC44" s="791">
        <v>0</v>
      </c>
      <c r="GD44" s="789"/>
      <c r="GE44" s="367"/>
      <c r="GF44" s="367"/>
      <c r="GG44" s="790"/>
      <c r="GH44" s="791">
        <v>0</v>
      </c>
      <c r="GI44" s="455">
        <f t="shared" si="7"/>
        <v>0</v>
      </c>
      <c r="GJ44" s="302"/>
      <c r="GK44" s="303"/>
      <c r="GL44" s="303"/>
      <c r="GM44" s="304"/>
      <c r="GN44" s="305">
        <v>0</v>
      </c>
      <c r="GO44" s="302"/>
      <c r="GP44" s="303"/>
      <c r="GQ44" s="303"/>
      <c r="GR44" s="304"/>
      <c r="GS44" s="305">
        <v>0</v>
      </c>
      <c r="GT44" s="302"/>
      <c r="GU44" s="303"/>
      <c r="GV44" s="303"/>
      <c r="GW44" s="304"/>
      <c r="GX44" s="305">
        <v>0</v>
      </c>
      <c r="GY44" s="302"/>
      <c r="GZ44" s="303"/>
      <c r="HA44" s="303"/>
      <c r="HB44" s="304"/>
      <c r="HC44" s="305">
        <v>0</v>
      </c>
      <c r="HD44" s="302"/>
      <c r="HE44" s="303"/>
      <c r="HF44" s="303"/>
      <c r="HG44" s="304"/>
      <c r="HH44" s="305">
        <v>0</v>
      </c>
      <c r="HI44" s="302">
        <v>1.99</v>
      </c>
      <c r="HJ44" s="303">
        <v>0.54</v>
      </c>
      <c r="HK44" s="303"/>
      <c r="HL44" s="304"/>
      <c r="HM44" s="305">
        <f>SUM(HI44:HL44)</f>
        <v>2.5300000000000002</v>
      </c>
      <c r="HN44" s="302">
        <v>0.52</v>
      </c>
      <c r="HO44" s="303">
        <v>1.32</v>
      </c>
      <c r="HP44" s="303"/>
      <c r="HQ44" s="304"/>
      <c r="HR44" s="305">
        <f>SUM(HN44:HQ44)</f>
        <v>1.84</v>
      </c>
      <c r="HS44" s="302">
        <v>0.94</v>
      </c>
      <c r="HT44" s="303">
        <v>1.57</v>
      </c>
      <c r="HU44" s="303"/>
      <c r="HV44" s="304"/>
      <c r="HW44" s="305">
        <f>SUM(HS44:HV44)</f>
        <v>2.5099999999999998</v>
      </c>
      <c r="HX44" s="302">
        <v>0.9</v>
      </c>
      <c r="HY44" s="308"/>
      <c r="HZ44" s="303"/>
      <c r="IA44" s="304"/>
      <c r="IB44" s="305">
        <f>SUM(HX44:IA44)</f>
        <v>0.9</v>
      </c>
      <c r="IC44" s="302">
        <v>0.83</v>
      </c>
      <c r="ID44" s="303">
        <v>1</v>
      </c>
      <c r="IE44" s="303"/>
      <c r="IF44" s="304"/>
      <c r="IG44" s="305">
        <f>SUM(IC44:IF44)</f>
        <v>1.83</v>
      </c>
      <c r="IH44" s="61">
        <v>1.04</v>
      </c>
      <c r="II44" s="62">
        <v>3.27</v>
      </c>
      <c r="IJ44" s="62"/>
      <c r="IK44" s="301"/>
      <c r="IL44" s="300">
        <f>SUM(IH44:IK44)</f>
        <v>4.3100000000000005</v>
      </c>
      <c r="IM44" s="61">
        <v>1.3</v>
      </c>
      <c r="IN44" s="62">
        <v>1.4</v>
      </c>
      <c r="IO44" s="301"/>
      <c r="IP44" s="296"/>
      <c r="IQ44" s="442">
        <f>SUM(IM44:IP44)</f>
        <v>2.7</v>
      </c>
      <c r="IR44" s="442"/>
      <c r="IS44" s="455">
        <f t="shared" si="48"/>
        <v>16.62</v>
      </c>
      <c r="IT44" s="449">
        <v>1.81</v>
      </c>
      <c r="IU44" s="309"/>
      <c r="IV44" s="33"/>
      <c r="IW44" s="296"/>
      <c r="IX44" s="298">
        <f>SUM(IT44:IW44)</f>
        <v>1.81</v>
      </c>
      <c r="IY44" s="32">
        <v>1.02</v>
      </c>
      <c r="IZ44" s="33">
        <v>0.5</v>
      </c>
      <c r="JA44" s="33"/>
      <c r="JB44" s="296"/>
      <c r="JC44" s="298">
        <f>SUM(IY44:JB44)</f>
        <v>1.52</v>
      </c>
      <c r="JD44" s="32">
        <v>0.65</v>
      </c>
      <c r="JE44" s="33">
        <v>0.99</v>
      </c>
      <c r="JF44" s="33">
        <v>1</v>
      </c>
      <c r="JG44" s="296"/>
      <c r="JH44" s="298">
        <f>SUM(JD44:JG44)</f>
        <v>2.64</v>
      </c>
      <c r="JI44" s="32">
        <v>1.41</v>
      </c>
      <c r="JJ44" s="33">
        <v>2.23</v>
      </c>
      <c r="JK44" s="33"/>
      <c r="JL44" s="296"/>
      <c r="JM44" s="298">
        <f>SUM(JI44:JL44)</f>
        <v>3.6399999999999997</v>
      </c>
      <c r="JN44" s="32">
        <v>5.3</v>
      </c>
      <c r="JO44" s="309"/>
      <c r="JP44" s="33"/>
      <c r="JQ44" s="296"/>
      <c r="JR44" s="298">
        <f>SUM(JN44:JQ44)</f>
        <v>5.3</v>
      </c>
      <c r="JS44" s="32">
        <v>3.5</v>
      </c>
      <c r="JT44" s="33">
        <v>5.73</v>
      </c>
      <c r="JU44" s="33"/>
      <c r="JV44" s="296"/>
      <c r="JW44" s="298">
        <f>SUM(JS44:JV44)</f>
        <v>9.23</v>
      </c>
      <c r="JX44" s="32">
        <v>2.19</v>
      </c>
      <c r="JY44" s="33">
        <v>3.53</v>
      </c>
      <c r="JZ44" s="33"/>
      <c r="KA44" s="296"/>
      <c r="KB44" s="298">
        <f>SUM(JX44:KA44)</f>
        <v>5.72</v>
      </c>
      <c r="KC44" s="32">
        <v>8.4700000000000006</v>
      </c>
      <c r="KD44" s="33">
        <v>4.1900000000000004</v>
      </c>
      <c r="KE44" s="33"/>
      <c r="KF44" s="296"/>
      <c r="KG44" s="298">
        <f t="shared" si="56"/>
        <v>12.66</v>
      </c>
      <c r="KH44" s="32">
        <v>5.51</v>
      </c>
      <c r="KI44" s="33">
        <v>6.58</v>
      </c>
      <c r="KJ44" s="33">
        <v>0</v>
      </c>
      <c r="KK44" s="296">
        <v>0</v>
      </c>
      <c r="KL44" s="298">
        <f t="shared" si="57"/>
        <v>12.09</v>
      </c>
      <c r="KM44" s="32">
        <v>8.0299999999999994</v>
      </c>
      <c r="KN44" s="33">
        <v>7.78</v>
      </c>
      <c r="KO44" s="33">
        <v>0</v>
      </c>
      <c r="KP44" s="296">
        <v>0</v>
      </c>
      <c r="KQ44" s="298">
        <f t="shared" si="58"/>
        <v>15.809999999999999</v>
      </c>
      <c r="KR44" s="32">
        <v>12</v>
      </c>
      <c r="KS44" s="33">
        <v>0</v>
      </c>
      <c r="KT44" s="33">
        <v>0</v>
      </c>
      <c r="KU44" s="296">
        <v>0</v>
      </c>
      <c r="KV44" s="298">
        <f t="shared" si="59"/>
        <v>12</v>
      </c>
      <c r="KW44" s="32">
        <v>4.74</v>
      </c>
      <c r="KX44" s="33">
        <v>10.379999999999999</v>
      </c>
      <c r="KY44" s="33">
        <v>0</v>
      </c>
      <c r="KZ44" s="296">
        <v>0</v>
      </c>
      <c r="LA44" s="298">
        <f t="shared" si="8"/>
        <v>15.12</v>
      </c>
      <c r="LB44" s="455">
        <f t="shared" si="60"/>
        <v>97.54</v>
      </c>
      <c r="LC44" s="32">
        <f t="shared" si="9"/>
        <v>6.17</v>
      </c>
      <c r="LD44" s="33">
        <f t="shared" si="10"/>
        <v>3.58</v>
      </c>
      <c r="LE44" s="33">
        <f t="shared" si="11"/>
        <v>0</v>
      </c>
      <c r="LF44" s="296">
        <f t="shared" si="12"/>
        <v>0</v>
      </c>
      <c r="LG44" s="298">
        <f t="shared" si="13"/>
        <v>9.75</v>
      </c>
      <c r="LH44" s="32"/>
      <c r="LI44" s="33"/>
      <c r="LJ44" s="33"/>
      <c r="LK44" s="296"/>
      <c r="LL44" s="298">
        <f>SUM(LH44:LK44)</f>
        <v>0</v>
      </c>
      <c r="LM44" s="32"/>
      <c r="LN44" s="33"/>
      <c r="LO44" s="33"/>
      <c r="LP44" s="296"/>
      <c r="LQ44" s="298">
        <f>SUM(LM44:LP44)</f>
        <v>0</v>
      </c>
      <c r="LR44" s="32"/>
      <c r="LS44" s="33"/>
      <c r="LT44" s="33"/>
      <c r="LU44" s="296"/>
      <c r="LV44" s="298">
        <f>SUM(LR44:LU44)</f>
        <v>0</v>
      </c>
      <c r="LW44" s="32"/>
      <c r="LX44" s="33"/>
      <c r="LY44" s="33"/>
      <c r="LZ44" s="296"/>
      <c r="MA44" s="298">
        <f>SUM(LW44:LZ44)</f>
        <v>0</v>
      </c>
      <c r="MB44" s="32"/>
      <c r="MC44" s="33"/>
      <c r="MD44" s="33"/>
      <c r="ME44" s="296"/>
      <c r="MF44" s="298">
        <f>SUM(MB44:ME44)</f>
        <v>0</v>
      </c>
      <c r="MG44" s="32"/>
      <c r="MH44" s="33"/>
      <c r="MI44" s="33"/>
      <c r="MJ44" s="296"/>
      <c r="MK44" s="298">
        <f>SUM(MG44:MJ44)</f>
        <v>0</v>
      </c>
      <c r="ML44" s="32"/>
      <c r="MM44" s="33"/>
      <c r="MN44" s="33"/>
      <c r="MO44" s="296"/>
      <c r="MP44" s="298">
        <f t="shared" si="67"/>
        <v>0</v>
      </c>
      <c r="MQ44" s="32"/>
      <c r="MR44" s="33"/>
      <c r="MS44" s="33"/>
      <c r="MT44" s="296"/>
      <c r="MU44" s="298">
        <f t="shared" si="68"/>
        <v>0</v>
      </c>
      <c r="MV44" s="32"/>
      <c r="MW44" s="33"/>
      <c r="MX44" s="33"/>
      <c r="MY44" s="296"/>
      <c r="MZ44" s="298">
        <f t="shared" si="69"/>
        <v>0</v>
      </c>
      <c r="NA44" s="32"/>
      <c r="NB44" s="33"/>
      <c r="NC44" s="33"/>
      <c r="ND44" s="296"/>
      <c r="NE44" s="298">
        <f t="shared" si="70"/>
        <v>0</v>
      </c>
      <c r="NF44" s="32"/>
      <c r="NG44" s="33"/>
      <c r="NH44" s="33"/>
      <c r="NI44" s="296"/>
      <c r="NJ44" s="298">
        <f t="shared" si="14"/>
        <v>0</v>
      </c>
      <c r="NK44" s="455">
        <f t="shared" si="71"/>
        <v>9.75</v>
      </c>
    </row>
    <row r="45" spans="1:375" ht="15.75" collapsed="1" x14ac:dyDescent="0.25">
      <c r="A45" s="323"/>
      <c r="B45" s="282">
        <v>30</v>
      </c>
      <c r="C45" s="366">
        <v>24.35</v>
      </c>
      <c r="D45" s="326"/>
      <c r="E45" s="327"/>
      <c r="F45" s="328"/>
      <c r="G45" s="329"/>
      <c r="H45" s="357"/>
      <c r="I45" s="358"/>
      <c r="J45" s="186"/>
      <c r="K45" s="186"/>
      <c r="L45" s="359"/>
      <c r="M45" s="340"/>
      <c r="N45" s="358"/>
      <c r="O45" s="186"/>
      <c r="P45" s="186"/>
      <c r="Q45" s="359"/>
      <c r="R45" s="256"/>
      <c r="S45" s="358"/>
      <c r="T45" s="186"/>
      <c r="U45" s="186"/>
      <c r="V45" s="359"/>
      <c r="W45" s="256"/>
      <c r="X45" s="358"/>
      <c r="Y45" s="186"/>
      <c r="Z45" s="186"/>
      <c r="AA45" s="359"/>
      <c r="AB45" s="256"/>
      <c r="AC45" s="360"/>
      <c r="AD45" s="361"/>
      <c r="AE45" s="361"/>
      <c r="AF45" s="362"/>
      <c r="AG45" s="363"/>
      <c r="AH45" s="351"/>
      <c r="AI45" s="342"/>
      <c r="AJ45" s="342"/>
      <c r="AK45" s="364"/>
      <c r="AL45" s="352"/>
      <c r="AM45" s="345"/>
      <c r="AN45" s="346"/>
      <c r="AO45" s="346"/>
      <c r="AP45" s="265"/>
      <c r="AQ45" s="347"/>
      <c r="AR45" s="345"/>
      <c r="AS45" s="346"/>
      <c r="AT45" s="346"/>
      <c r="AU45" s="348"/>
      <c r="AV45" s="365"/>
      <c r="AW45" s="345"/>
      <c r="AX45" s="346"/>
      <c r="AY45" s="346"/>
      <c r="AZ45" s="348"/>
      <c r="BA45" s="365"/>
      <c r="BB45" s="345"/>
      <c r="BC45" s="346"/>
      <c r="BD45" s="346"/>
      <c r="BE45" s="348"/>
      <c r="BF45" s="365"/>
      <c r="BG45" s="32"/>
      <c r="BH45" s="33"/>
      <c r="BI45" s="33"/>
      <c r="BJ45" s="299"/>
      <c r="BK45" s="298">
        <f t="shared" si="84"/>
        <v>0</v>
      </c>
      <c r="BL45" s="32"/>
      <c r="BM45" s="33"/>
      <c r="BN45" s="33"/>
      <c r="BO45" s="299"/>
      <c r="BP45" s="297">
        <f t="shared" si="77"/>
        <v>0</v>
      </c>
      <c r="BQ45" s="455">
        <f t="shared" si="2"/>
        <v>0</v>
      </c>
      <c r="BR45" s="32"/>
      <c r="BS45" s="43"/>
      <c r="BT45" s="43"/>
      <c r="BU45" s="781"/>
      <c r="BV45" s="782">
        <f t="shared" si="19"/>
        <v>0</v>
      </c>
      <c r="BW45" s="783"/>
      <c r="BX45" s="43"/>
      <c r="BY45" s="43"/>
      <c r="BZ45" s="781"/>
      <c r="CA45" s="784">
        <f t="shared" si="20"/>
        <v>0</v>
      </c>
      <c r="CB45" s="785"/>
      <c r="CC45" s="786"/>
      <c r="CD45" s="786"/>
      <c r="CE45" s="787"/>
      <c r="CF45" s="788">
        <f t="shared" si="78"/>
        <v>0</v>
      </c>
      <c r="CG45" s="785"/>
      <c r="CH45" s="786"/>
      <c r="CI45" s="786"/>
      <c r="CJ45" s="787"/>
      <c r="CK45" s="788">
        <f t="shared" si="79"/>
        <v>0</v>
      </c>
      <c r="CL45" s="785"/>
      <c r="CM45" s="786"/>
      <c r="CN45" s="786"/>
      <c r="CO45" s="787"/>
      <c r="CP45" s="791">
        <f t="shared" si="80"/>
        <v>0</v>
      </c>
      <c r="CQ45" s="789"/>
      <c r="CR45" s="367"/>
      <c r="CS45" s="367"/>
      <c r="CT45" s="790"/>
      <c r="CU45" s="791">
        <v>0</v>
      </c>
      <c r="CV45" s="789"/>
      <c r="CW45" s="367"/>
      <c r="CX45" s="367"/>
      <c r="CY45" s="790"/>
      <c r="CZ45" s="791">
        <v>0</v>
      </c>
      <c r="DA45" s="789"/>
      <c r="DB45" s="367"/>
      <c r="DC45" s="367"/>
      <c r="DD45" s="790"/>
      <c r="DE45" s="791">
        <v>0</v>
      </c>
      <c r="DF45" s="789"/>
      <c r="DG45" s="367"/>
      <c r="DH45" s="367"/>
      <c r="DI45" s="790"/>
      <c r="DJ45" s="791">
        <v>0</v>
      </c>
      <c r="DK45" s="789"/>
      <c r="DL45" s="367"/>
      <c r="DM45" s="367"/>
      <c r="DN45" s="790"/>
      <c r="DO45" s="791">
        <v>0</v>
      </c>
      <c r="DP45" s="789"/>
      <c r="DQ45" s="367"/>
      <c r="DR45" s="367"/>
      <c r="DS45" s="790"/>
      <c r="DT45" s="791">
        <v>0</v>
      </c>
      <c r="DU45" s="789"/>
      <c r="DV45" s="367"/>
      <c r="DW45" s="367"/>
      <c r="DX45" s="790"/>
      <c r="DY45" s="791">
        <v>0</v>
      </c>
      <c r="DZ45" s="455">
        <f t="shared" si="6"/>
        <v>0</v>
      </c>
      <c r="EA45" s="789"/>
      <c r="EB45" s="367"/>
      <c r="EC45" s="367"/>
      <c r="ED45" s="790"/>
      <c r="EE45" s="791">
        <v>0</v>
      </c>
      <c r="EF45" s="789"/>
      <c r="EG45" s="367"/>
      <c r="EH45" s="367"/>
      <c r="EI45" s="790"/>
      <c r="EJ45" s="791">
        <v>0</v>
      </c>
      <c r="EK45" s="789"/>
      <c r="EL45" s="367"/>
      <c r="EM45" s="367"/>
      <c r="EN45" s="790"/>
      <c r="EO45" s="791">
        <v>0</v>
      </c>
      <c r="EP45" s="789"/>
      <c r="EQ45" s="367"/>
      <c r="ER45" s="367"/>
      <c r="ES45" s="790"/>
      <c r="ET45" s="791">
        <v>0</v>
      </c>
      <c r="EU45" s="789"/>
      <c r="EV45" s="367"/>
      <c r="EW45" s="367"/>
      <c r="EX45" s="790"/>
      <c r="EY45" s="791">
        <v>0</v>
      </c>
      <c r="EZ45" s="789"/>
      <c r="FA45" s="367"/>
      <c r="FB45" s="367"/>
      <c r="FC45" s="790"/>
      <c r="FD45" s="791">
        <v>0</v>
      </c>
      <c r="FE45" s="789"/>
      <c r="FF45" s="367"/>
      <c r="FG45" s="367"/>
      <c r="FH45" s="790"/>
      <c r="FI45" s="791">
        <v>0</v>
      </c>
      <c r="FJ45" s="789"/>
      <c r="FK45" s="367"/>
      <c r="FL45" s="367"/>
      <c r="FM45" s="790"/>
      <c r="FN45" s="791">
        <v>0</v>
      </c>
      <c r="FO45" s="789"/>
      <c r="FP45" s="367"/>
      <c r="FQ45" s="367"/>
      <c r="FR45" s="790"/>
      <c r="FS45" s="791">
        <v>0</v>
      </c>
      <c r="FT45" s="789"/>
      <c r="FU45" s="367"/>
      <c r="FV45" s="367"/>
      <c r="FW45" s="790"/>
      <c r="FX45" s="791">
        <v>0</v>
      </c>
      <c r="FY45" s="789"/>
      <c r="FZ45" s="367"/>
      <c r="GA45" s="367"/>
      <c r="GB45" s="790"/>
      <c r="GC45" s="791">
        <v>0</v>
      </c>
      <c r="GD45" s="789"/>
      <c r="GE45" s="367"/>
      <c r="GF45" s="367"/>
      <c r="GG45" s="790"/>
      <c r="GH45" s="791">
        <v>0</v>
      </c>
      <c r="GI45" s="455">
        <f t="shared" si="7"/>
        <v>0</v>
      </c>
      <c r="GJ45" s="353"/>
      <c r="GK45" s="354"/>
      <c r="GL45" s="303"/>
      <c r="GM45" s="304"/>
      <c r="GN45" s="305">
        <v>0</v>
      </c>
      <c r="GO45" s="302">
        <v>1.6</v>
      </c>
      <c r="GP45" s="303">
        <v>0.84</v>
      </c>
      <c r="GQ45" s="303"/>
      <c r="GR45" s="304"/>
      <c r="GS45" s="305">
        <f>SUM(GO45:GR45)</f>
        <v>2.44</v>
      </c>
      <c r="GT45" s="302">
        <v>0.87</v>
      </c>
      <c r="GU45" s="303">
        <v>0.95</v>
      </c>
      <c r="GV45" s="303"/>
      <c r="GW45" s="304"/>
      <c r="GX45" s="305">
        <f>SUM(GT45:GW45)</f>
        <v>1.8199999999999998</v>
      </c>
      <c r="GY45" s="302">
        <v>1.02</v>
      </c>
      <c r="GZ45" s="310"/>
      <c r="HA45" s="303"/>
      <c r="HB45" s="304"/>
      <c r="HC45" s="305">
        <f>SUM(GY45:HB45)</f>
        <v>1.02</v>
      </c>
      <c r="HD45" s="302">
        <v>1.26</v>
      </c>
      <c r="HE45" s="303">
        <v>1.33</v>
      </c>
      <c r="HF45" s="303"/>
      <c r="HG45" s="304"/>
      <c r="HH45" s="305">
        <f>SUM(HD45:HG45)</f>
        <v>2.59</v>
      </c>
      <c r="HI45" s="302">
        <v>1.67</v>
      </c>
      <c r="HJ45" s="303">
        <v>1.23</v>
      </c>
      <c r="HK45" s="303"/>
      <c r="HL45" s="304"/>
      <c r="HM45" s="305">
        <f>SUM(HI45:HL45)</f>
        <v>2.9</v>
      </c>
      <c r="HN45" s="302">
        <v>0.94</v>
      </c>
      <c r="HO45" s="303">
        <v>0.67</v>
      </c>
      <c r="HP45" s="303"/>
      <c r="HQ45" s="304"/>
      <c r="HR45" s="305">
        <f>SUM(HN45:HQ45)</f>
        <v>1.6099999999999999</v>
      </c>
      <c r="HS45" s="302">
        <v>2.96</v>
      </c>
      <c r="HT45" s="303">
        <v>2.4900000000000002</v>
      </c>
      <c r="HU45" s="303"/>
      <c r="HV45" s="304"/>
      <c r="HW45" s="305">
        <f>SUM(HS45:HV45)</f>
        <v>5.45</v>
      </c>
      <c r="HX45" s="302">
        <v>1.97</v>
      </c>
      <c r="HY45" s="303">
        <v>2.2000000000000002</v>
      </c>
      <c r="HZ45" s="303"/>
      <c r="IA45" s="304"/>
      <c r="IB45" s="305">
        <f>SUM(HX45:IA45)</f>
        <v>4.17</v>
      </c>
      <c r="IC45" s="302">
        <v>4.0999999999999996</v>
      </c>
      <c r="ID45" s="308"/>
      <c r="IE45" s="303"/>
      <c r="IF45" s="304"/>
      <c r="IG45" s="305">
        <f>SUM(IC45:IF45)</f>
        <v>4.0999999999999996</v>
      </c>
      <c r="IH45" s="61">
        <v>12.16</v>
      </c>
      <c r="II45" s="62">
        <v>3.38</v>
      </c>
      <c r="IJ45" s="62"/>
      <c r="IK45" s="301"/>
      <c r="IL45" s="300">
        <f>SUM(IH45:IK45)</f>
        <v>15.54</v>
      </c>
      <c r="IM45" s="61">
        <v>2.2400000000000002</v>
      </c>
      <c r="IN45" s="311"/>
      <c r="IO45" s="301"/>
      <c r="IP45" s="296"/>
      <c r="IQ45" s="442">
        <f>SUM(IM45:IP45)</f>
        <v>2.2400000000000002</v>
      </c>
      <c r="IR45" s="442"/>
      <c r="IS45" s="455">
        <f t="shared" si="48"/>
        <v>43.88</v>
      </c>
      <c r="IT45" s="449">
        <v>9.26</v>
      </c>
      <c r="IU45" s="33">
        <v>11.92</v>
      </c>
      <c r="IV45" s="33"/>
      <c r="IW45" s="296"/>
      <c r="IX45" s="298">
        <f>SUM(IT45:IW45)</f>
        <v>21.18</v>
      </c>
      <c r="IY45" s="32">
        <v>9.9</v>
      </c>
      <c r="IZ45" s="33">
        <v>1.97</v>
      </c>
      <c r="JA45" s="33"/>
      <c r="JB45" s="296"/>
      <c r="JC45" s="298">
        <f>SUM(IY45:JB45)</f>
        <v>11.870000000000001</v>
      </c>
      <c r="JD45" s="32">
        <v>10.64</v>
      </c>
      <c r="JE45" s="33">
        <v>3.38</v>
      </c>
      <c r="JF45" s="33"/>
      <c r="JG45" s="296"/>
      <c r="JH45" s="298">
        <f>SUM(JD45:JG45)</f>
        <v>14.02</v>
      </c>
      <c r="JI45" s="32">
        <v>17.32</v>
      </c>
      <c r="JJ45" s="33">
        <v>4.7</v>
      </c>
      <c r="JK45" s="33"/>
      <c r="JL45" s="296"/>
      <c r="JM45" s="298">
        <f>SUM(JI45:JL45)</f>
        <v>22.02</v>
      </c>
      <c r="JN45" s="32">
        <v>17.350000000000001</v>
      </c>
      <c r="JO45" s="33">
        <v>7.63</v>
      </c>
      <c r="JP45" s="33"/>
      <c r="JQ45" s="296"/>
      <c r="JR45" s="298">
        <f>SUM(JN45:JQ45)</f>
        <v>24.98</v>
      </c>
      <c r="JS45" s="32">
        <v>10.75</v>
      </c>
      <c r="JT45" s="33">
        <v>9.1199999999999992</v>
      </c>
      <c r="JU45" s="33"/>
      <c r="JV45" s="296"/>
      <c r="JW45" s="298">
        <f>SUM(JS45:JV45)</f>
        <v>19.869999999999997</v>
      </c>
      <c r="JX45" s="32">
        <v>8.91</v>
      </c>
      <c r="JY45" s="33">
        <v>6.22</v>
      </c>
      <c r="JZ45" s="33"/>
      <c r="KA45" s="296"/>
      <c r="KB45" s="298">
        <f>SUM(JX45:KA45)</f>
        <v>15.129999999999999</v>
      </c>
      <c r="KC45" s="32">
        <v>13.22</v>
      </c>
      <c r="KD45" s="33">
        <v>2.65</v>
      </c>
      <c r="KE45" s="33"/>
      <c r="KF45" s="296"/>
      <c r="KG45" s="298">
        <f t="shared" si="56"/>
        <v>15.870000000000001</v>
      </c>
      <c r="KH45" s="32">
        <v>14.44</v>
      </c>
      <c r="KI45" s="33">
        <v>3.64</v>
      </c>
      <c r="KJ45" s="33">
        <v>0</v>
      </c>
      <c r="KK45" s="296">
        <v>0</v>
      </c>
      <c r="KL45" s="298">
        <f t="shared" si="57"/>
        <v>18.079999999999998</v>
      </c>
      <c r="KM45" s="32">
        <v>14.520000000000001</v>
      </c>
      <c r="KN45" s="33">
        <v>7.91</v>
      </c>
      <c r="KO45" s="33">
        <v>0</v>
      </c>
      <c r="KP45" s="296">
        <v>0</v>
      </c>
      <c r="KQ45" s="298">
        <f t="shared" si="58"/>
        <v>22.43</v>
      </c>
      <c r="KR45" s="32">
        <v>15.26</v>
      </c>
      <c r="KS45" s="33">
        <v>9.77</v>
      </c>
      <c r="KT45" s="33">
        <v>0</v>
      </c>
      <c r="KU45" s="296">
        <v>0</v>
      </c>
      <c r="KV45" s="298">
        <f t="shared" si="59"/>
        <v>25.03</v>
      </c>
      <c r="KW45" s="32">
        <v>12.309999999999999</v>
      </c>
      <c r="KX45" s="33">
        <v>0</v>
      </c>
      <c r="KY45" s="33">
        <v>0</v>
      </c>
      <c r="KZ45" s="296">
        <v>0</v>
      </c>
      <c r="LA45" s="298">
        <f t="shared" si="8"/>
        <v>12.309999999999999</v>
      </c>
      <c r="LB45" s="455">
        <f t="shared" si="60"/>
        <v>222.79</v>
      </c>
      <c r="LC45" s="32">
        <f t="shared" si="9"/>
        <v>11.82</v>
      </c>
      <c r="LD45" s="33">
        <f t="shared" si="10"/>
        <v>9.1300000000000008</v>
      </c>
      <c r="LE45" s="33">
        <f t="shared" si="11"/>
        <v>0</v>
      </c>
      <c r="LF45" s="296">
        <f t="shared" si="12"/>
        <v>0</v>
      </c>
      <c r="LG45" s="298">
        <f t="shared" si="13"/>
        <v>20.950000000000003</v>
      </c>
      <c r="LH45" s="32"/>
      <c r="LI45" s="33"/>
      <c r="LJ45" s="33"/>
      <c r="LK45" s="296"/>
      <c r="LL45" s="298">
        <f>SUM(LH45:LK45)</f>
        <v>0</v>
      </c>
      <c r="LM45" s="32"/>
      <c r="LN45" s="33"/>
      <c r="LO45" s="33"/>
      <c r="LP45" s="296"/>
      <c r="LQ45" s="298">
        <f>SUM(LM45:LP45)</f>
        <v>0</v>
      </c>
      <c r="LR45" s="32"/>
      <c r="LS45" s="33"/>
      <c r="LT45" s="33"/>
      <c r="LU45" s="296"/>
      <c r="LV45" s="298">
        <f>SUM(LR45:LU45)</f>
        <v>0</v>
      </c>
      <c r="LW45" s="32"/>
      <c r="LX45" s="33"/>
      <c r="LY45" s="33"/>
      <c r="LZ45" s="296"/>
      <c r="MA45" s="298">
        <f>SUM(LW45:LZ45)</f>
        <v>0</v>
      </c>
      <c r="MB45" s="32"/>
      <c r="MC45" s="33"/>
      <c r="MD45" s="33"/>
      <c r="ME45" s="296"/>
      <c r="MF45" s="298">
        <f>SUM(MB45:ME45)</f>
        <v>0</v>
      </c>
      <c r="MG45" s="32"/>
      <c r="MH45" s="33"/>
      <c r="MI45" s="33"/>
      <c r="MJ45" s="296"/>
      <c r="MK45" s="298">
        <f>SUM(MG45:MJ45)</f>
        <v>0</v>
      </c>
      <c r="ML45" s="32"/>
      <c r="MM45" s="33"/>
      <c r="MN45" s="33"/>
      <c r="MO45" s="296"/>
      <c r="MP45" s="298">
        <f t="shared" si="67"/>
        <v>0</v>
      </c>
      <c r="MQ45" s="32"/>
      <c r="MR45" s="33"/>
      <c r="MS45" s="33"/>
      <c r="MT45" s="296"/>
      <c r="MU45" s="298">
        <f t="shared" si="68"/>
        <v>0</v>
      </c>
      <c r="MV45" s="32"/>
      <c r="MW45" s="33"/>
      <c r="MX45" s="33"/>
      <c r="MY45" s="296"/>
      <c r="MZ45" s="298">
        <f t="shared" si="69"/>
        <v>0</v>
      </c>
      <c r="NA45" s="32"/>
      <c r="NB45" s="33"/>
      <c r="NC45" s="33"/>
      <c r="ND45" s="296"/>
      <c r="NE45" s="298">
        <f t="shared" si="70"/>
        <v>0</v>
      </c>
      <c r="NF45" s="32"/>
      <c r="NG45" s="33"/>
      <c r="NH45" s="33"/>
      <c r="NI45" s="296"/>
      <c r="NJ45" s="298">
        <f t="shared" si="14"/>
        <v>0</v>
      </c>
      <c r="NK45" s="455">
        <f t="shared" si="71"/>
        <v>20.950000000000003</v>
      </c>
    </row>
    <row r="46" spans="1:375" ht="15.75" x14ac:dyDescent="0.25">
      <c r="A46" s="323"/>
      <c r="B46" s="282">
        <v>31</v>
      </c>
      <c r="C46" s="366">
        <v>34.08</v>
      </c>
      <c r="D46" s="326"/>
      <c r="E46" s="327"/>
      <c r="F46" s="328"/>
      <c r="G46" s="329"/>
      <c r="H46" s="357"/>
      <c r="I46" s="358"/>
      <c r="J46" s="186"/>
      <c r="K46" s="186"/>
      <c r="L46" s="359"/>
      <c r="M46" s="340"/>
      <c r="N46" s="358"/>
      <c r="O46" s="186"/>
      <c r="P46" s="186"/>
      <c r="Q46" s="359"/>
      <c r="R46" s="256"/>
      <c r="S46" s="358"/>
      <c r="T46" s="186"/>
      <c r="U46" s="186"/>
      <c r="V46" s="359"/>
      <c r="W46" s="256"/>
      <c r="X46" s="358"/>
      <c r="Y46" s="186"/>
      <c r="Z46" s="186"/>
      <c r="AA46" s="359"/>
      <c r="AB46" s="256"/>
      <c r="AC46" s="360"/>
      <c r="AD46" s="361"/>
      <c r="AE46" s="361"/>
      <c r="AF46" s="362"/>
      <c r="AG46" s="363"/>
      <c r="AH46" s="351"/>
      <c r="AI46" s="342"/>
      <c r="AJ46" s="342"/>
      <c r="AK46" s="364"/>
      <c r="AL46" s="352"/>
      <c r="AM46" s="345"/>
      <c r="AN46" s="346"/>
      <c r="AO46" s="346"/>
      <c r="AP46" s="265"/>
      <c r="AQ46" s="347"/>
      <c r="AR46" s="345"/>
      <c r="AS46" s="346"/>
      <c r="AT46" s="346"/>
      <c r="AU46" s="348"/>
      <c r="AV46" s="365"/>
      <c r="AW46" s="345"/>
      <c r="AX46" s="346"/>
      <c r="AY46" s="346"/>
      <c r="AZ46" s="348"/>
      <c r="BA46" s="365"/>
      <c r="BB46" s="345"/>
      <c r="BC46" s="346"/>
      <c r="BD46" s="346"/>
      <c r="BE46" s="348"/>
      <c r="BF46" s="365"/>
      <c r="BG46" s="32"/>
      <c r="BH46" s="33"/>
      <c r="BI46" s="33"/>
      <c r="BJ46" s="299"/>
      <c r="BK46" s="298">
        <f t="shared" si="84"/>
        <v>0</v>
      </c>
      <c r="BL46" s="32"/>
      <c r="BM46" s="33"/>
      <c r="BN46" s="33"/>
      <c r="BO46" s="299"/>
      <c r="BP46" s="297">
        <f t="shared" si="77"/>
        <v>0</v>
      </c>
      <c r="BQ46" s="455">
        <f t="shared" si="2"/>
        <v>0</v>
      </c>
      <c r="BR46" s="32"/>
      <c r="BS46" s="43"/>
      <c r="BT46" s="43"/>
      <c r="BU46" s="781"/>
      <c r="BV46" s="782">
        <f t="shared" si="19"/>
        <v>0</v>
      </c>
      <c r="BW46" s="783"/>
      <c r="BX46" s="43"/>
      <c r="BY46" s="43"/>
      <c r="BZ46" s="781"/>
      <c r="CA46" s="784">
        <f t="shared" si="20"/>
        <v>0</v>
      </c>
      <c r="CB46" s="785"/>
      <c r="CC46" s="786"/>
      <c r="CD46" s="786"/>
      <c r="CE46" s="787"/>
      <c r="CF46" s="788">
        <f t="shared" si="78"/>
        <v>0</v>
      </c>
      <c r="CG46" s="785"/>
      <c r="CH46" s="786"/>
      <c r="CI46" s="786"/>
      <c r="CJ46" s="787"/>
      <c r="CK46" s="788">
        <f t="shared" si="79"/>
        <v>0</v>
      </c>
      <c r="CL46" s="785"/>
      <c r="CM46" s="786"/>
      <c r="CN46" s="786"/>
      <c r="CO46" s="787"/>
      <c r="CP46" s="791">
        <f t="shared" si="80"/>
        <v>0</v>
      </c>
      <c r="CQ46" s="789"/>
      <c r="CR46" s="367"/>
      <c r="CS46" s="367"/>
      <c r="CT46" s="790"/>
      <c r="CU46" s="791">
        <v>0</v>
      </c>
      <c r="CV46" s="789"/>
      <c r="CW46" s="367"/>
      <c r="CX46" s="367"/>
      <c r="CY46" s="790"/>
      <c r="CZ46" s="791">
        <v>0</v>
      </c>
      <c r="DA46" s="789"/>
      <c r="DB46" s="367"/>
      <c r="DC46" s="367"/>
      <c r="DD46" s="790"/>
      <c r="DE46" s="791">
        <v>0</v>
      </c>
      <c r="DF46" s="789"/>
      <c r="DG46" s="367"/>
      <c r="DH46" s="367"/>
      <c r="DI46" s="790"/>
      <c r="DJ46" s="791">
        <v>0</v>
      </c>
      <c r="DK46" s="789"/>
      <c r="DL46" s="367"/>
      <c r="DM46" s="367"/>
      <c r="DN46" s="790"/>
      <c r="DO46" s="791">
        <v>0</v>
      </c>
      <c r="DP46" s="789"/>
      <c r="DQ46" s="367"/>
      <c r="DR46" s="367"/>
      <c r="DS46" s="790"/>
      <c r="DT46" s="791">
        <v>0</v>
      </c>
      <c r="DU46" s="789"/>
      <c r="DV46" s="367"/>
      <c r="DW46" s="367"/>
      <c r="DX46" s="790"/>
      <c r="DY46" s="791">
        <v>0</v>
      </c>
      <c r="DZ46" s="455">
        <f t="shared" si="6"/>
        <v>0</v>
      </c>
      <c r="EA46" s="789"/>
      <c r="EB46" s="367"/>
      <c r="EC46" s="367"/>
      <c r="ED46" s="790"/>
      <c r="EE46" s="791">
        <v>0</v>
      </c>
      <c r="EF46" s="789"/>
      <c r="EG46" s="367"/>
      <c r="EH46" s="367"/>
      <c r="EI46" s="790"/>
      <c r="EJ46" s="791">
        <v>0</v>
      </c>
      <c r="EK46" s="789"/>
      <c r="EL46" s="367"/>
      <c r="EM46" s="367"/>
      <c r="EN46" s="790"/>
      <c r="EO46" s="791">
        <v>0</v>
      </c>
      <c r="EP46" s="789"/>
      <c r="EQ46" s="367"/>
      <c r="ER46" s="367"/>
      <c r="ES46" s="790"/>
      <c r="ET46" s="791">
        <v>0</v>
      </c>
      <c r="EU46" s="789"/>
      <c r="EV46" s="367"/>
      <c r="EW46" s="367"/>
      <c r="EX46" s="790"/>
      <c r="EY46" s="791">
        <v>0</v>
      </c>
      <c r="EZ46" s="789"/>
      <c r="FA46" s="367"/>
      <c r="FB46" s="367"/>
      <c r="FC46" s="790"/>
      <c r="FD46" s="791">
        <v>0</v>
      </c>
      <c r="FE46" s="789"/>
      <c r="FF46" s="367"/>
      <c r="FG46" s="367"/>
      <c r="FH46" s="790"/>
      <c r="FI46" s="791">
        <v>0</v>
      </c>
      <c r="FJ46" s="789"/>
      <c r="FK46" s="367"/>
      <c r="FL46" s="367"/>
      <c r="FM46" s="790"/>
      <c r="FN46" s="791">
        <v>0</v>
      </c>
      <c r="FO46" s="789"/>
      <c r="FP46" s="367"/>
      <c r="FQ46" s="367"/>
      <c r="FR46" s="790"/>
      <c r="FS46" s="791">
        <v>0</v>
      </c>
      <c r="FT46" s="789"/>
      <c r="FU46" s="367"/>
      <c r="FV46" s="367"/>
      <c r="FW46" s="790"/>
      <c r="FX46" s="791">
        <v>0</v>
      </c>
      <c r="FY46" s="789"/>
      <c r="FZ46" s="367"/>
      <c r="GA46" s="367"/>
      <c r="GB46" s="790"/>
      <c r="GC46" s="791">
        <v>0</v>
      </c>
      <c r="GD46" s="789"/>
      <c r="GE46" s="367"/>
      <c r="GF46" s="367"/>
      <c r="GG46" s="790"/>
      <c r="GH46" s="791">
        <v>0</v>
      </c>
      <c r="GI46" s="455">
        <f t="shared" si="7"/>
        <v>0</v>
      </c>
      <c r="GJ46" s="353"/>
      <c r="GK46" s="354"/>
      <c r="GL46" s="303"/>
      <c r="GM46" s="304"/>
      <c r="GN46" s="305">
        <v>0</v>
      </c>
      <c r="GO46" s="302">
        <v>0.95</v>
      </c>
      <c r="GP46" s="310"/>
      <c r="GQ46" s="303"/>
      <c r="GR46" s="304"/>
      <c r="GS46" s="305">
        <f>SUM(GO46:GR46)</f>
        <v>0.95</v>
      </c>
      <c r="GT46" s="302">
        <v>0.81</v>
      </c>
      <c r="GU46" s="303">
        <v>0.81</v>
      </c>
      <c r="GV46" s="303"/>
      <c r="GW46" s="304"/>
      <c r="GX46" s="305">
        <f>SUM(GT46:GW46)</f>
        <v>1.62</v>
      </c>
      <c r="GY46" s="302">
        <v>1.5329999999999999</v>
      </c>
      <c r="GZ46" s="310"/>
      <c r="HA46" s="303"/>
      <c r="HB46" s="304"/>
      <c r="HC46" s="305">
        <f>SUM(GY46:HB46)</f>
        <v>1.5329999999999999</v>
      </c>
      <c r="HD46" s="302">
        <v>1.1499999999999999</v>
      </c>
      <c r="HE46" s="303">
        <v>1.56</v>
      </c>
      <c r="HF46" s="303"/>
      <c r="HG46" s="304"/>
      <c r="HH46" s="305">
        <f>SUM(HD46:HG46)</f>
        <v>2.71</v>
      </c>
      <c r="HI46" s="302">
        <v>1.04</v>
      </c>
      <c r="HJ46" s="303">
        <v>0.84</v>
      </c>
      <c r="HK46" s="303"/>
      <c r="HL46" s="304"/>
      <c r="HM46" s="305">
        <f>SUM(HI46:HL46)</f>
        <v>1.88</v>
      </c>
      <c r="HN46" s="302">
        <v>1.3</v>
      </c>
      <c r="HO46" s="303">
        <v>1.47</v>
      </c>
      <c r="HP46" s="303"/>
      <c r="HQ46" s="304"/>
      <c r="HR46" s="305">
        <f>SUM(HN46:HQ46)</f>
        <v>2.77</v>
      </c>
      <c r="HS46" s="302">
        <v>3.75</v>
      </c>
      <c r="HT46" s="303">
        <v>4.79</v>
      </c>
      <c r="HU46" s="303"/>
      <c r="HV46" s="304"/>
      <c r="HW46" s="305">
        <f>SUM(HS46:HV46)</f>
        <v>8.5399999999999991</v>
      </c>
      <c r="HX46" s="302">
        <v>3.55</v>
      </c>
      <c r="HY46" s="303">
        <v>2.21</v>
      </c>
      <c r="HZ46" s="303"/>
      <c r="IA46" s="304"/>
      <c r="IB46" s="305">
        <f>SUM(HX46:IA46)</f>
        <v>5.76</v>
      </c>
      <c r="IC46" s="302">
        <v>6.39</v>
      </c>
      <c r="ID46" s="303">
        <v>1.33</v>
      </c>
      <c r="IE46" s="303"/>
      <c r="IF46" s="304"/>
      <c r="IG46" s="305">
        <f>SUM(IC46:IF46)</f>
        <v>7.72</v>
      </c>
      <c r="IH46" s="61">
        <v>11.64</v>
      </c>
      <c r="II46" s="62">
        <v>2.88</v>
      </c>
      <c r="IJ46" s="62"/>
      <c r="IK46" s="301"/>
      <c r="IL46" s="300">
        <f>SUM(IH46:IK46)</f>
        <v>14.52</v>
      </c>
      <c r="IM46" s="61">
        <v>3.33</v>
      </c>
      <c r="IN46" s="311"/>
      <c r="IO46" s="301"/>
      <c r="IP46" s="296"/>
      <c r="IQ46" s="442">
        <f>SUM(IM46:IP46)</f>
        <v>3.33</v>
      </c>
      <c r="IR46" s="442"/>
      <c r="IS46" s="455">
        <f t="shared" si="48"/>
        <v>51.332999999999998</v>
      </c>
      <c r="IT46" s="449">
        <v>5.51</v>
      </c>
      <c r="IU46" s="33">
        <v>12.38</v>
      </c>
      <c r="IV46" s="33"/>
      <c r="IW46" s="296"/>
      <c r="IX46" s="298">
        <f>SUM(IT46:IW46)</f>
        <v>17.89</v>
      </c>
      <c r="IY46" s="32">
        <v>9.5299999999999994</v>
      </c>
      <c r="IZ46" s="33">
        <v>3.62</v>
      </c>
      <c r="JA46" s="33"/>
      <c r="JB46" s="296"/>
      <c r="JC46" s="298">
        <f>SUM(IY46:JB46)</f>
        <v>13.149999999999999</v>
      </c>
      <c r="JD46" s="32">
        <v>8.58</v>
      </c>
      <c r="JE46" s="33">
        <v>5.07</v>
      </c>
      <c r="JF46" s="33"/>
      <c r="JG46" s="296"/>
      <c r="JH46" s="298">
        <f>SUM(JD46:JG46)</f>
        <v>13.65</v>
      </c>
      <c r="JI46" s="32">
        <v>14.69</v>
      </c>
      <c r="JJ46" s="33">
        <v>4.5999999999999996</v>
      </c>
      <c r="JK46" s="33"/>
      <c r="JL46" s="296"/>
      <c r="JM46" s="298">
        <f>SUM(JI46:JL46)</f>
        <v>19.29</v>
      </c>
      <c r="JN46" s="32">
        <v>16.850000000000001</v>
      </c>
      <c r="JO46" s="33">
        <v>12.91</v>
      </c>
      <c r="JP46" s="33"/>
      <c r="JQ46" s="296"/>
      <c r="JR46" s="298">
        <f>SUM(JN46:JQ46)</f>
        <v>29.76</v>
      </c>
      <c r="JS46" s="32">
        <v>6.55</v>
      </c>
      <c r="JT46" s="33">
        <v>10.39</v>
      </c>
      <c r="JU46" s="33"/>
      <c r="JV46" s="296"/>
      <c r="JW46" s="298">
        <f>SUM(JS46:JV46)</f>
        <v>16.940000000000001</v>
      </c>
      <c r="JX46" s="32">
        <v>9.49</v>
      </c>
      <c r="JY46" s="33">
        <v>6.75</v>
      </c>
      <c r="JZ46" s="33"/>
      <c r="KA46" s="296"/>
      <c r="KB46" s="298">
        <f>SUM(JX46:KA46)</f>
        <v>16.240000000000002</v>
      </c>
      <c r="KC46" s="32">
        <v>13.52</v>
      </c>
      <c r="KD46" s="33">
        <v>3.68</v>
      </c>
      <c r="KE46" s="33"/>
      <c r="KF46" s="296"/>
      <c r="KG46" s="298">
        <f t="shared" si="56"/>
        <v>17.2</v>
      </c>
      <c r="KH46" s="32">
        <v>20.21</v>
      </c>
      <c r="KI46" s="33">
        <v>5.08</v>
      </c>
      <c r="KJ46" s="33">
        <v>0</v>
      </c>
      <c r="KK46" s="296">
        <v>0</v>
      </c>
      <c r="KL46" s="298">
        <f t="shared" si="57"/>
        <v>25.29</v>
      </c>
      <c r="KM46" s="32">
        <v>20.309999999999999</v>
      </c>
      <c r="KN46" s="33">
        <v>8.25</v>
      </c>
      <c r="KO46" s="33">
        <v>0</v>
      </c>
      <c r="KP46" s="296">
        <v>0</v>
      </c>
      <c r="KQ46" s="298">
        <f t="shared" si="58"/>
        <v>28.56</v>
      </c>
      <c r="KR46" s="32">
        <v>11.84</v>
      </c>
      <c r="KS46" s="33">
        <v>9.36</v>
      </c>
      <c r="KT46" s="33">
        <v>0</v>
      </c>
      <c r="KU46" s="296">
        <v>0</v>
      </c>
      <c r="KV46" s="298">
        <f t="shared" si="59"/>
        <v>21.2</v>
      </c>
      <c r="KW46" s="32">
        <v>14.02</v>
      </c>
      <c r="KX46" s="33">
        <v>0</v>
      </c>
      <c r="KY46" s="33">
        <v>0</v>
      </c>
      <c r="KZ46" s="296">
        <v>0</v>
      </c>
      <c r="LA46" s="298">
        <f t="shared" si="8"/>
        <v>14.02</v>
      </c>
      <c r="LB46" s="455">
        <f t="shared" si="60"/>
        <v>233.18999999999997</v>
      </c>
      <c r="LC46" s="32">
        <f t="shared" si="9"/>
        <v>10.940000000000001</v>
      </c>
      <c r="LD46" s="33">
        <f t="shared" si="10"/>
        <v>6.92</v>
      </c>
      <c r="LE46" s="33">
        <f t="shared" si="11"/>
        <v>3.15</v>
      </c>
      <c r="LF46" s="296">
        <f t="shared" si="12"/>
        <v>0</v>
      </c>
      <c r="LG46" s="298">
        <f t="shared" si="13"/>
        <v>21.009999999999998</v>
      </c>
      <c r="LH46" s="32"/>
      <c r="LI46" s="33"/>
      <c r="LJ46" s="33"/>
      <c r="LK46" s="296"/>
      <c r="LL46" s="298">
        <f>SUM(LH46:LK46)</f>
        <v>0</v>
      </c>
      <c r="LM46" s="32"/>
      <c r="LN46" s="33"/>
      <c r="LO46" s="33"/>
      <c r="LP46" s="296"/>
      <c r="LQ46" s="298">
        <f>SUM(LM46:LP46)</f>
        <v>0</v>
      </c>
      <c r="LR46" s="32"/>
      <c r="LS46" s="33"/>
      <c r="LT46" s="33"/>
      <c r="LU46" s="296"/>
      <c r="LV46" s="298">
        <f>SUM(LR46:LU46)</f>
        <v>0</v>
      </c>
      <c r="LW46" s="32"/>
      <c r="LX46" s="33"/>
      <c r="LY46" s="33"/>
      <c r="LZ46" s="296"/>
      <c r="MA46" s="298">
        <f>SUM(LW46:LZ46)</f>
        <v>0</v>
      </c>
      <c r="MB46" s="32"/>
      <c r="MC46" s="33"/>
      <c r="MD46" s="33"/>
      <c r="ME46" s="296"/>
      <c r="MF46" s="298">
        <f>SUM(MB46:ME46)</f>
        <v>0</v>
      </c>
      <c r="MG46" s="32"/>
      <c r="MH46" s="33"/>
      <c r="MI46" s="33"/>
      <c r="MJ46" s="296"/>
      <c r="MK46" s="298">
        <f>SUM(MG46:MJ46)</f>
        <v>0</v>
      </c>
      <c r="ML46" s="32"/>
      <c r="MM46" s="33"/>
      <c r="MN46" s="33"/>
      <c r="MO46" s="296"/>
      <c r="MP46" s="298">
        <f t="shared" si="67"/>
        <v>0</v>
      </c>
      <c r="MQ46" s="32"/>
      <c r="MR46" s="33"/>
      <c r="MS46" s="33"/>
      <c r="MT46" s="296"/>
      <c r="MU46" s="298">
        <f t="shared" si="68"/>
        <v>0</v>
      </c>
      <c r="MV46" s="32"/>
      <c r="MW46" s="33"/>
      <c r="MX46" s="33"/>
      <c r="MY46" s="296"/>
      <c r="MZ46" s="298">
        <f t="shared" si="69"/>
        <v>0</v>
      </c>
      <c r="NA46" s="32"/>
      <c r="NB46" s="33"/>
      <c r="NC46" s="33"/>
      <c r="ND46" s="296"/>
      <c r="NE46" s="298">
        <f t="shared" si="70"/>
        <v>0</v>
      </c>
      <c r="NF46" s="32"/>
      <c r="NG46" s="33"/>
      <c r="NH46" s="33"/>
      <c r="NI46" s="296"/>
      <c r="NJ46" s="298">
        <f t="shared" si="14"/>
        <v>0</v>
      </c>
      <c r="NK46" s="455">
        <f t="shared" si="71"/>
        <v>21.009999999999998</v>
      </c>
    </row>
    <row r="47" spans="1:375" ht="16.5" thickBot="1" x14ac:dyDescent="0.3">
      <c r="A47" s="324"/>
      <c r="B47" s="336">
        <v>32</v>
      </c>
      <c r="C47" s="372">
        <v>0</v>
      </c>
      <c r="D47" s="326"/>
      <c r="E47" s="327"/>
      <c r="F47" s="328"/>
      <c r="G47" s="329"/>
      <c r="H47" s="357"/>
      <c r="I47" s="358"/>
      <c r="J47" s="186"/>
      <c r="K47" s="186"/>
      <c r="L47" s="359"/>
      <c r="M47" s="340"/>
      <c r="N47" s="358"/>
      <c r="O47" s="186"/>
      <c r="P47" s="186"/>
      <c r="Q47" s="359"/>
      <c r="R47" s="256"/>
      <c r="S47" s="358"/>
      <c r="T47" s="186"/>
      <c r="U47" s="186"/>
      <c r="V47" s="359"/>
      <c r="W47" s="256"/>
      <c r="X47" s="358"/>
      <c r="Y47" s="186"/>
      <c r="Z47" s="186"/>
      <c r="AA47" s="359"/>
      <c r="AB47" s="256"/>
      <c r="AC47" s="360"/>
      <c r="AD47" s="361"/>
      <c r="AE47" s="361"/>
      <c r="AF47" s="362"/>
      <c r="AG47" s="363"/>
      <c r="AH47" s="351"/>
      <c r="AI47" s="342"/>
      <c r="AJ47" s="342"/>
      <c r="AK47" s="364"/>
      <c r="AL47" s="352"/>
      <c r="AM47" s="345"/>
      <c r="AN47" s="346"/>
      <c r="AO47" s="346"/>
      <c r="AP47" s="265"/>
      <c r="AQ47" s="347"/>
      <c r="AR47" s="345"/>
      <c r="AS47" s="346"/>
      <c r="AT47" s="346"/>
      <c r="AU47" s="348"/>
      <c r="AV47" s="365"/>
      <c r="AW47" s="345"/>
      <c r="AX47" s="346"/>
      <c r="AY47" s="346"/>
      <c r="AZ47" s="348"/>
      <c r="BA47" s="365"/>
      <c r="BB47" s="345"/>
      <c r="BC47" s="346"/>
      <c r="BD47" s="346"/>
      <c r="BE47" s="348"/>
      <c r="BF47" s="365"/>
      <c r="BG47" s="32"/>
      <c r="BH47" s="33"/>
      <c r="BI47" s="33"/>
      <c r="BJ47" s="299"/>
      <c r="BK47" s="298">
        <f t="shared" si="84"/>
        <v>0</v>
      </c>
      <c r="BL47" s="32"/>
      <c r="BM47" s="33"/>
      <c r="BN47" s="33"/>
      <c r="BO47" s="299"/>
      <c r="BP47" s="297">
        <f t="shared" si="77"/>
        <v>0</v>
      </c>
      <c r="BQ47" s="455">
        <f t="shared" si="2"/>
        <v>0</v>
      </c>
      <c r="BR47" s="32"/>
      <c r="BS47" s="43"/>
      <c r="BT47" s="43"/>
      <c r="BU47" s="781"/>
      <c r="BV47" s="782">
        <f t="shared" si="19"/>
        <v>0</v>
      </c>
      <c r="BW47" s="783"/>
      <c r="BX47" s="43"/>
      <c r="BY47" s="43"/>
      <c r="BZ47" s="781"/>
      <c r="CA47" s="784">
        <f t="shared" si="20"/>
        <v>0</v>
      </c>
      <c r="CB47" s="785"/>
      <c r="CC47" s="786"/>
      <c r="CD47" s="786"/>
      <c r="CE47" s="787"/>
      <c r="CF47" s="788">
        <f t="shared" si="78"/>
        <v>0</v>
      </c>
      <c r="CG47" s="785"/>
      <c r="CH47" s="786"/>
      <c r="CI47" s="786"/>
      <c r="CJ47" s="787"/>
      <c r="CK47" s="788">
        <f t="shared" si="79"/>
        <v>0</v>
      </c>
      <c r="CL47" s="785"/>
      <c r="CM47" s="786"/>
      <c r="CN47" s="786"/>
      <c r="CO47" s="787"/>
      <c r="CP47" s="791">
        <f t="shared" si="80"/>
        <v>0</v>
      </c>
      <c r="CQ47" s="789"/>
      <c r="CR47" s="367"/>
      <c r="CS47" s="367"/>
      <c r="CT47" s="790"/>
      <c r="CU47" s="791">
        <v>0</v>
      </c>
      <c r="CV47" s="789"/>
      <c r="CW47" s="367"/>
      <c r="CX47" s="367"/>
      <c r="CY47" s="790"/>
      <c r="CZ47" s="791">
        <v>0</v>
      </c>
      <c r="DA47" s="789"/>
      <c r="DB47" s="367"/>
      <c r="DC47" s="367"/>
      <c r="DD47" s="790"/>
      <c r="DE47" s="791">
        <v>0</v>
      </c>
      <c r="DF47" s="789"/>
      <c r="DG47" s="367"/>
      <c r="DH47" s="367"/>
      <c r="DI47" s="790"/>
      <c r="DJ47" s="791">
        <v>0</v>
      </c>
      <c r="DK47" s="789"/>
      <c r="DL47" s="367"/>
      <c r="DM47" s="367"/>
      <c r="DN47" s="790"/>
      <c r="DO47" s="791">
        <v>0</v>
      </c>
      <c r="DP47" s="789"/>
      <c r="DQ47" s="367"/>
      <c r="DR47" s="367"/>
      <c r="DS47" s="790"/>
      <c r="DT47" s="791">
        <v>0</v>
      </c>
      <c r="DU47" s="789"/>
      <c r="DV47" s="367"/>
      <c r="DW47" s="367"/>
      <c r="DX47" s="790"/>
      <c r="DY47" s="791">
        <v>0</v>
      </c>
      <c r="DZ47" s="455">
        <f t="shared" si="6"/>
        <v>0</v>
      </c>
      <c r="EA47" s="789"/>
      <c r="EB47" s="367"/>
      <c r="EC47" s="367"/>
      <c r="ED47" s="790"/>
      <c r="EE47" s="791">
        <v>0</v>
      </c>
      <c r="EF47" s="789"/>
      <c r="EG47" s="367"/>
      <c r="EH47" s="367"/>
      <c r="EI47" s="790"/>
      <c r="EJ47" s="791">
        <v>0</v>
      </c>
      <c r="EK47" s="789"/>
      <c r="EL47" s="367"/>
      <c r="EM47" s="367"/>
      <c r="EN47" s="790"/>
      <c r="EO47" s="791">
        <v>0</v>
      </c>
      <c r="EP47" s="789"/>
      <c r="EQ47" s="367"/>
      <c r="ER47" s="367"/>
      <c r="ES47" s="790"/>
      <c r="ET47" s="791">
        <v>0</v>
      </c>
      <c r="EU47" s="789"/>
      <c r="EV47" s="367"/>
      <c r="EW47" s="367"/>
      <c r="EX47" s="790"/>
      <c r="EY47" s="791">
        <v>0</v>
      </c>
      <c r="EZ47" s="789"/>
      <c r="FA47" s="367"/>
      <c r="FB47" s="367"/>
      <c r="FC47" s="790"/>
      <c r="FD47" s="791">
        <v>0</v>
      </c>
      <c r="FE47" s="789"/>
      <c r="FF47" s="367"/>
      <c r="FG47" s="367"/>
      <c r="FH47" s="790"/>
      <c r="FI47" s="791">
        <v>0</v>
      </c>
      <c r="FJ47" s="789"/>
      <c r="FK47" s="367"/>
      <c r="FL47" s="367"/>
      <c r="FM47" s="790"/>
      <c r="FN47" s="791">
        <v>0</v>
      </c>
      <c r="FO47" s="789"/>
      <c r="FP47" s="367"/>
      <c r="FQ47" s="367"/>
      <c r="FR47" s="790"/>
      <c r="FS47" s="791">
        <v>0</v>
      </c>
      <c r="FT47" s="789"/>
      <c r="FU47" s="367"/>
      <c r="FV47" s="367"/>
      <c r="FW47" s="790"/>
      <c r="FX47" s="791">
        <v>0</v>
      </c>
      <c r="FY47" s="789"/>
      <c r="FZ47" s="367"/>
      <c r="GA47" s="367"/>
      <c r="GB47" s="790"/>
      <c r="GC47" s="791">
        <v>0</v>
      </c>
      <c r="GD47" s="789"/>
      <c r="GE47" s="367"/>
      <c r="GF47" s="367"/>
      <c r="GG47" s="790"/>
      <c r="GH47" s="791">
        <v>0</v>
      </c>
      <c r="GI47" s="455">
        <f t="shared" si="7"/>
        <v>0</v>
      </c>
      <c r="GJ47" s="302"/>
      <c r="GK47" s="303"/>
      <c r="GL47" s="303"/>
      <c r="GM47" s="304"/>
      <c r="GN47" s="305">
        <v>0</v>
      </c>
      <c r="GO47" s="302"/>
      <c r="GP47" s="303"/>
      <c r="GQ47" s="303"/>
      <c r="GR47" s="304"/>
      <c r="GS47" s="305">
        <v>0</v>
      </c>
      <c r="GT47" s="302"/>
      <c r="GU47" s="303"/>
      <c r="GV47" s="303"/>
      <c r="GW47" s="304"/>
      <c r="GX47" s="305">
        <v>0</v>
      </c>
      <c r="GY47" s="302"/>
      <c r="GZ47" s="303"/>
      <c r="HA47" s="303"/>
      <c r="HB47" s="304"/>
      <c r="HC47" s="305">
        <v>0</v>
      </c>
      <c r="HD47" s="302"/>
      <c r="HE47" s="303"/>
      <c r="HF47" s="303"/>
      <c r="HG47" s="304"/>
      <c r="HH47" s="305">
        <v>0</v>
      </c>
      <c r="HI47" s="302"/>
      <c r="HJ47" s="303"/>
      <c r="HK47" s="303"/>
      <c r="HL47" s="304"/>
      <c r="HM47" s="305">
        <v>0</v>
      </c>
      <c r="HN47" s="302"/>
      <c r="HO47" s="303"/>
      <c r="HP47" s="303"/>
      <c r="HQ47" s="304"/>
      <c r="HR47" s="305">
        <v>0</v>
      </c>
      <c r="HS47" s="302"/>
      <c r="HT47" s="303"/>
      <c r="HU47" s="303"/>
      <c r="HV47" s="304"/>
      <c r="HW47" s="305">
        <v>0</v>
      </c>
      <c r="HX47" s="302"/>
      <c r="HY47" s="303"/>
      <c r="HZ47" s="303"/>
      <c r="IA47" s="304"/>
      <c r="IB47" s="305">
        <v>0</v>
      </c>
      <c r="IC47" s="302"/>
      <c r="ID47" s="303"/>
      <c r="IE47" s="303"/>
      <c r="IF47" s="304"/>
      <c r="IG47" s="305">
        <v>0</v>
      </c>
      <c r="IH47" s="61"/>
      <c r="II47" s="62"/>
      <c r="IJ47" s="62"/>
      <c r="IK47" s="301"/>
      <c r="IL47" s="300">
        <v>0</v>
      </c>
      <c r="IM47" s="61"/>
      <c r="IN47" s="62"/>
      <c r="IO47" s="301"/>
      <c r="IP47" s="296"/>
      <c r="IQ47" s="442">
        <v>0</v>
      </c>
      <c r="IR47" s="442"/>
      <c r="IS47" s="455">
        <f t="shared" si="48"/>
        <v>0</v>
      </c>
      <c r="IT47" s="449"/>
      <c r="IU47" s="33"/>
      <c r="IV47" s="33"/>
      <c r="IW47" s="296"/>
      <c r="IX47" s="298">
        <v>0</v>
      </c>
      <c r="IY47" s="32"/>
      <c r="IZ47" s="33"/>
      <c r="JA47" s="33"/>
      <c r="JB47" s="296"/>
      <c r="JC47" s="298">
        <v>0</v>
      </c>
      <c r="JD47" s="32"/>
      <c r="JE47" s="33"/>
      <c r="JF47" s="33"/>
      <c r="JG47" s="296"/>
      <c r="JH47" s="298">
        <v>0</v>
      </c>
      <c r="JI47" s="32"/>
      <c r="JJ47" s="33"/>
      <c r="JK47" s="33"/>
      <c r="JL47" s="296"/>
      <c r="JM47" s="298">
        <v>0</v>
      </c>
      <c r="JN47" s="32"/>
      <c r="JO47" s="33"/>
      <c r="JP47" s="33"/>
      <c r="JQ47" s="296"/>
      <c r="JR47" s="298">
        <v>0</v>
      </c>
      <c r="JS47" s="32"/>
      <c r="JT47" s="33"/>
      <c r="JU47" s="33"/>
      <c r="JV47" s="296"/>
      <c r="JW47" s="298">
        <v>0</v>
      </c>
      <c r="JX47" s="32"/>
      <c r="JY47" s="33"/>
      <c r="JZ47" s="33"/>
      <c r="KA47" s="296"/>
      <c r="KB47" s="298">
        <v>0</v>
      </c>
      <c r="KC47" s="32"/>
      <c r="KD47" s="33"/>
      <c r="KE47" s="33"/>
      <c r="KF47" s="296"/>
      <c r="KG47" s="298">
        <f t="shared" si="56"/>
        <v>0</v>
      </c>
      <c r="KH47" s="32" t="s">
        <v>171</v>
      </c>
      <c r="KI47" s="33" t="s">
        <v>171</v>
      </c>
      <c r="KJ47" s="33" t="s">
        <v>171</v>
      </c>
      <c r="KK47" s="296" t="s">
        <v>171</v>
      </c>
      <c r="KL47" s="298">
        <f t="shared" si="57"/>
        <v>0</v>
      </c>
      <c r="KM47" s="32" t="s">
        <v>171</v>
      </c>
      <c r="KN47" s="33" t="s">
        <v>171</v>
      </c>
      <c r="KO47" s="33" t="s">
        <v>171</v>
      </c>
      <c r="KP47" s="296" t="s">
        <v>171</v>
      </c>
      <c r="KQ47" s="298">
        <f t="shared" si="58"/>
        <v>0</v>
      </c>
      <c r="KR47" s="32" t="s">
        <v>171</v>
      </c>
      <c r="KS47" s="33" t="s">
        <v>171</v>
      </c>
      <c r="KT47" s="33" t="s">
        <v>171</v>
      </c>
      <c r="KU47" s="296" t="s">
        <v>171</v>
      </c>
      <c r="KV47" s="298">
        <f t="shared" si="59"/>
        <v>0</v>
      </c>
      <c r="KW47" s="32" t="s">
        <v>171</v>
      </c>
      <c r="KX47" s="33" t="s">
        <v>171</v>
      </c>
      <c r="KY47" s="33" t="s">
        <v>171</v>
      </c>
      <c r="KZ47" s="296" t="s">
        <v>171</v>
      </c>
      <c r="LA47" s="298">
        <f t="shared" si="8"/>
        <v>0</v>
      </c>
      <c r="LB47" s="455">
        <f t="shared" si="60"/>
        <v>0</v>
      </c>
      <c r="LC47" s="32" t="str">
        <f t="shared" si="9"/>
        <v/>
      </c>
      <c r="LD47" s="33" t="str">
        <f t="shared" si="10"/>
        <v/>
      </c>
      <c r="LE47" s="33" t="str">
        <f t="shared" si="11"/>
        <v/>
      </c>
      <c r="LF47" s="296" t="str">
        <f t="shared" si="12"/>
        <v/>
      </c>
      <c r="LG47" s="298">
        <f t="shared" si="13"/>
        <v>0</v>
      </c>
      <c r="LH47" s="32"/>
      <c r="LI47" s="33"/>
      <c r="LJ47" s="33"/>
      <c r="LK47" s="296"/>
      <c r="LL47" s="298">
        <v>0</v>
      </c>
      <c r="LM47" s="32"/>
      <c r="LN47" s="33"/>
      <c r="LO47" s="33"/>
      <c r="LP47" s="296"/>
      <c r="LQ47" s="298">
        <v>0</v>
      </c>
      <c r="LR47" s="32"/>
      <c r="LS47" s="33"/>
      <c r="LT47" s="33"/>
      <c r="LU47" s="296"/>
      <c r="LV47" s="298">
        <v>0</v>
      </c>
      <c r="LW47" s="32"/>
      <c r="LX47" s="33"/>
      <c r="LY47" s="33"/>
      <c r="LZ47" s="296"/>
      <c r="MA47" s="298">
        <v>0</v>
      </c>
      <c r="MB47" s="32"/>
      <c r="MC47" s="33"/>
      <c r="MD47" s="33"/>
      <c r="ME47" s="296"/>
      <c r="MF47" s="298">
        <v>0</v>
      </c>
      <c r="MG47" s="32"/>
      <c r="MH47" s="33"/>
      <c r="MI47" s="33"/>
      <c r="MJ47" s="296"/>
      <c r="MK47" s="298">
        <v>0</v>
      </c>
      <c r="ML47" s="32"/>
      <c r="MM47" s="33"/>
      <c r="MN47" s="33"/>
      <c r="MO47" s="296"/>
      <c r="MP47" s="298">
        <f t="shared" si="67"/>
        <v>0</v>
      </c>
      <c r="MQ47" s="32"/>
      <c r="MR47" s="33"/>
      <c r="MS47" s="33"/>
      <c r="MT47" s="296"/>
      <c r="MU47" s="298">
        <f t="shared" si="68"/>
        <v>0</v>
      </c>
      <c r="MV47" s="32"/>
      <c r="MW47" s="33"/>
      <c r="MX47" s="33"/>
      <c r="MY47" s="296"/>
      <c r="MZ47" s="298">
        <f t="shared" si="69"/>
        <v>0</v>
      </c>
      <c r="NA47" s="32"/>
      <c r="NB47" s="33"/>
      <c r="NC47" s="33"/>
      <c r="ND47" s="296"/>
      <c r="NE47" s="298">
        <f t="shared" si="70"/>
        <v>0</v>
      </c>
      <c r="NF47" s="32"/>
      <c r="NG47" s="33"/>
      <c r="NH47" s="33"/>
      <c r="NI47" s="296"/>
      <c r="NJ47" s="298">
        <f t="shared" si="14"/>
        <v>0</v>
      </c>
      <c r="NK47" s="455">
        <f t="shared" si="71"/>
        <v>0</v>
      </c>
    </row>
    <row r="48" spans="1:375" ht="15.75" collapsed="1" x14ac:dyDescent="0.25">
      <c r="A48" s="322" t="s">
        <v>51</v>
      </c>
      <c r="B48" s="247">
        <v>33</v>
      </c>
      <c r="C48" s="248">
        <v>28.72</v>
      </c>
      <c r="D48" s="373"/>
      <c r="E48" s="374"/>
      <c r="F48" s="375"/>
      <c r="G48" s="376"/>
      <c r="H48" s="288"/>
      <c r="I48" s="306"/>
      <c r="J48" s="290"/>
      <c r="K48" s="290"/>
      <c r="L48" s="291"/>
      <c r="M48" s="377"/>
      <c r="N48" s="306"/>
      <c r="O48" s="290"/>
      <c r="P48" s="290"/>
      <c r="Q48" s="291"/>
      <c r="R48" s="377"/>
      <c r="S48" s="306"/>
      <c r="T48" s="290"/>
      <c r="U48" s="290"/>
      <c r="V48" s="291"/>
      <c r="W48" s="377"/>
      <c r="X48" s="306"/>
      <c r="Y48" s="290"/>
      <c r="Z48" s="290"/>
      <c r="AA48" s="291"/>
      <c r="AB48" s="377"/>
      <c r="AC48" s="330"/>
      <c r="AD48" s="293"/>
      <c r="AE48" s="293"/>
      <c r="AF48" s="378"/>
      <c r="AG48" s="378"/>
      <c r="AH48" s="379"/>
      <c r="AI48" s="294"/>
      <c r="AJ48" s="294"/>
      <c r="AK48" s="380"/>
      <c r="AL48" s="381">
        <f>SUM(AH48:AK48)</f>
        <v>0</v>
      </c>
      <c r="AM48" s="382"/>
      <c r="AN48" s="296"/>
      <c r="AO48" s="296"/>
      <c r="AP48" s="34"/>
      <c r="AQ48" s="298">
        <f>SUM(AM48:AP48)</f>
        <v>0</v>
      </c>
      <c r="AR48" s="382">
        <v>3.95</v>
      </c>
      <c r="AS48" s="296">
        <v>5.3</v>
      </c>
      <c r="AT48" s="296"/>
      <c r="AU48" s="34"/>
      <c r="AV48" s="298">
        <f>SUM(AR48:AU48)</f>
        <v>9.25</v>
      </c>
      <c r="AW48" s="382">
        <v>4.4800000000000004</v>
      </c>
      <c r="AX48" s="296">
        <v>2.92</v>
      </c>
      <c r="AY48" s="296"/>
      <c r="AZ48" s="34"/>
      <c r="BA48" s="298">
        <f>SUM(AW48:AZ48)</f>
        <v>7.4</v>
      </c>
      <c r="BB48" s="382">
        <v>4.83</v>
      </c>
      <c r="BC48" s="296"/>
      <c r="BD48" s="296"/>
      <c r="BE48" s="34"/>
      <c r="BF48" s="298">
        <f>SUM(BB48:BE48)</f>
        <v>4.83</v>
      </c>
      <c r="BG48" s="32">
        <v>4.24</v>
      </c>
      <c r="BH48" s="33">
        <v>3.78</v>
      </c>
      <c r="BI48" s="33"/>
      <c r="BJ48" s="299"/>
      <c r="BK48" s="298">
        <f t="shared" si="76"/>
        <v>8.02</v>
      </c>
      <c r="BL48" s="32">
        <v>1.78</v>
      </c>
      <c r="BM48" s="33">
        <v>1.84</v>
      </c>
      <c r="BN48" s="33">
        <v>0.85</v>
      </c>
      <c r="BO48" s="299"/>
      <c r="BP48" s="297">
        <f t="shared" si="77"/>
        <v>4.47</v>
      </c>
      <c r="BQ48" s="455">
        <f t="shared" si="2"/>
        <v>33.97</v>
      </c>
      <c r="BR48" s="32">
        <v>4.18</v>
      </c>
      <c r="BS48" s="43">
        <v>0.22</v>
      </c>
      <c r="BT48" s="43"/>
      <c r="BU48" s="781"/>
      <c r="BV48" s="782">
        <f>SUM(BR48:BU48)</f>
        <v>4.3999999999999995</v>
      </c>
      <c r="BW48" s="783">
        <v>5.31</v>
      </c>
      <c r="BX48" s="43"/>
      <c r="BY48" s="43"/>
      <c r="BZ48" s="781"/>
      <c r="CA48" s="784">
        <f>SUM(BW48:BZ48)</f>
        <v>5.31</v>
      </c>
      <c r="CB48" s="785">
        <v>7.9</v>
      </c>
      <c r="CC48" s="786"/>
      <c r="CD48" s="786"/>
      <c r="CE48" s="787"/>
      <c r="CF48" s="788">
        <f t="shared" si="78"/>
        <v>7.9</v>
      </c>
      <c r="CG48" s="785">
        <v>3.74</v>
      </c>
      <c r="CH48" s="786"/>
      <c r="CI48" s="786"/>
      <c r="CJ48" s="787"/>
      <c r="CK48" s="788">
        <f t="shared" si="79"/>
        <v>3.74</v>
      </c>
      <c r="CL48" s="785">
        <v>14.8</v>
      </c>
      <c r="CM48" s="786">
        <v>1.38</v>
      </c>
      <c r="CN48" s="786"/>
      <c r="CO48" s="787"/>
      <c r="CP48" s="788">
        <f t="shared" si="80"/>
        <v>16.18</v>
      </c>
      <c r="CQ48" s="789">
        <v>21.09</v>
      </c>
      <c r="CR48" s="367">
        <v>1.61</v>
      </c>
      <c r="CS48" s="367"/>
      <c r="CT48" s="790"/>
      <c r="CU48" s="791">
        <v>22.7</v>
      </c>
      <c r="CV48" s="789">
        <v>13.99</v>
      </c>
      <c r="CW48" s="367">
        <v>4.5</v>
      </c>
      <c r="CX48" s="367"/>
      <c r="CY48" s="790"/>
      <c r="CZ48" s="791">
        <f>SUM(CV48:CY48)</f>
        <v>18.490000000000002</v>
      </c>
      <c r="DA48" s="789">
        <v>17.68</v>
      </c>
      <c r="DB48" s="367"/>
      <c r="DC48" s="367"/>
      <c r="DD48" s="790"/>
      <c r="DE48" s="791">
        <f>SUM(DA48:DD48)</f>
        <v>17.68</v>
      </c>
      <c r="DF48" s="789">
        <v>13.52</v>
      </c>
      <c r="DG48" s="367">
        <v>8.17</v>
      </c>
      <c r="DH48" s="367"/>
      <c r="DI48" s="790"/>
      <c r="DJ48" s="791">
        <f>SUM(DF48:DI48)</f>
        <v>21.689999999999998</v>
      </c>
      <c r="DK48" s="789">
        <v>11.3</v>
      </c>
      <c r="DL48" s="367">
        <v>21.89</v>
      </c>
      <c r="DM48" s="367"/>
      <c r="DN48" s="790"/>
      <c r="DO48" s="791">
        <f>SUM(DK48:DN48)</f>
        <v>33.19</v>
      </c>
      <c r="DP48" s="789">
        <v>20.69</v>
      </c>
      <c r="DQ48" s="367"/>
      <c r="DR48" s="367"/>
      <c r="DS48" s="790"/>
      <c r="DT48" s="791">
        <f>SUM(DP48:DS48)</f>
        <v>20.69</v>
      </c>
      <c r="DU48" s="789">
        <v>20.84</v>
      </c>
      <c r="DV48" s="367"/>
      <c r="DW48" s="367"/>
      <c r="DX48" s="790"/>
      <c r="DY48" s="791">
        <f>SUM(DU48:DX48)</f>
        <v>20.84</v>
      </c>
      <c r="DZ48" s="455">
        <f t="shared" si="6"/>
        <v>192.81</v>
      </c>
      <c r="EA48" s="789">
        <v>15.65</v>
      </c>
      <c r="EB48" s="367">
        <v>3.9</v>
      </c>
      <c r="EC48" s="367"/>
      <c r="ED48" s="790"/>
      <c r="EE48" s="791">
        <f>SUM(EA48:ED48)</f>
        <v>19.55</v>
      </c>
      <c r="EF48" s="789">
        <v>7.99</v>
      </c>
      <c r="EG48" s="367">
        <v>11.48</v>
      </c>
      <c r="EH48" s="367"/>
      <c r="EI48" s="790"/>
      <c r="EJ48" s="791">
        <f>SUM(EF48:EI48)</f>
        <v>19.47</v>
      </c>
      <c r="EK48" s="789">
        <v>3.09</v>
      </c>
      <c r="EL48" s="367">
        <v>8.85</v>
      </c>
      <c r="EM48" s="367"/>
      <c r="EN48" s="790"/>
      <c r="EO48" s="791">
        <f>SUM(EK48:EN48)</f>
        <v>11.94</v>
      </c>
      <c r="EP48" s="789">
        <v>14.39</v>
      </c>
      <c r="EQ48" s="367">
        <v>17.36</v>
      </c>
      <c r="ER48" s="367"/>
      <c r="ES48" s="790"/>
      <c r="ET48" s="791">
        <f>SUM(EP48:ES48)</f>
        <v>31.75</v>
      </c>
      <c r="EU48" s="789">
        <v>19.45</v>
      </c>
      <c r="EV48" s="367"/>
      <c r="EW48" s="367"/>
      <c r="EX48" s="790"/>
      <c r="EY48" s="791">
        <f>SUM(EU48:EX48)</f>
        <v>19.45</v>
      </c>
      <c r="EZ48" s="789">
        <v>16.739999999999998</v>
      </c>
      <c r="FA48" s="367">
        <v>17.72</v>
      </c>
      <c r="FB48" s="367"/>
      <c r="FC48" s="790"/>
      <c r="FD48" s="791">
        <f>SUM(EZ48:FC48)</f>
        <v>34.459999999999994</v>
      </c>
      <c r="FE48" s="789">
        <v>4.2300000000000004</v>
      </c>
      <c r="FF48" s="367">
        <v>17.59</v>
      </c>
      <c r="FG48" s="367"/>
      <c r="FH48" s="790"/>
      <c r="FI48" s="791">
        <f>SUM(FE48:FH48)</f>
        <v>21.82</v>
      </c>
      <c r="FJ48" s="789">
        <v>19.89</v>
      </c>
      <c r="FK48" s="367">
        <v>16.329999999999998</v>
      </c>
      <c r="FL48" s="367"/>
      <c r="FM48" s="790"/>
      <c r="FN48" s="791">
        <f>SUM(FJ48:FM48)</f>
        <v>36.22</v>
      </c>
      <c r="FO48" s="789">
        <v>12.46</v>
      </c>
      <c r="FP48" s="367">
        <v>14.33</v>
      </c>
      <c r="FQ48" s="367"/>
      <c r="FR48" s="790"/>
      <c r="FS48" s="791">
        <f>SUM(FO48:FR48)</f>
        <v>26.79</v>
      </c>
      <c r="FT48" s="789">
        <v>15.27</v>
      </c>
      <c r="FU48" s="367">
        <v>18.04</v>
      </c>
      <c r="FV48" s="367"/>
      <c r="FW48" s="790"/>
      <c r="FX48" s="791">
        <f>SUM(FT48:FW48)</f>
        <v>33.31</v>
      </c>
      <c r="FY48" s="789">
        <v>21.06</v>
      </c>
      <c r="FZ48" s="367">
        <v>14.28</v>
      </c>
      <c r="GA48" s="367"/>
      <c r="GB48" s="790"/>
      <c r="GC48" s="791">
        <f>SUM(FY48:GB48)</f>
        <v>35.339999999999996</v>
      </c>
      <c r="GD48" s="789">
        <v>14.06</v>
      </c>
      <c r="GE48" s="367">
        <v>11.13</v>
      </c>
      <c r="GF48" s="367"/>
      <c r="GG48" s="790"/>
      <c r="GH48" s="791">
        <f>SUM(GD48:GG48)</f>
        <v>25.19</v>
      </c>
      <c r="GI48" s="455">
        <f t="shared" si="7"/>
        <v>315.28999999999996</v>
      </c>
      <c r="GJ48" s="302">
        <v>11.13</v>
      </c>
      <c r="GK48" s="303">
        <v>9.5299999999999994</v>
      </c>
      <c r="GL48" s="303"/>
      <c r="GM48" s="304"/>
      <c r="GN48" s="305">
        <f>SUM(GJ48:GM48)</f>
        <v>20.66</v>
      </c>
      <c r="GO48" s="302">
        <v>8.89</v>
      </c>
      <c r="GP48" s="303">
        <v>6.29</v>
      </c>
      <c r="GQ48" s="303"/>
      <c r="GR48" s="304"/>
      <c r="GS48" s="305">
        <f>SUM(GO48:GR48)</f>
        <v>15.18</v>
      </c>
      <c r="GT48" s="302">
        <v>9.2100000000000009</v>
      </c>
      <c r="GU48" s="303">
        <v>4.18</v>
      </c>
      <c r="GV48" s="303"/>
      <c r="GW48" s="304"/>
      <c r="GX48" s="305">
        <f>SUM(GT48:GW48)</f>
        <v>13.39</v>
      </c>
      <c r="GY48" s="302">
        <v>12.96</v>
      </c>
      <c r="GZ48" s="303">
        <v>10.77</v>
      </c>
      <c r="HA48" s="303"/>
      <c r="HB48" s="304"/>
      <c r="HC48" s="305">
        <f>SUM(GY48:HB48)</f>
        <v>23.73</v>
      </c>
      <c r="HD48" s="302">
        <v>16.489999999999998</v>
      </c>
      <c r="HE48" s="303">
        <v>9.48</v>
      </c>
      <c r="HF48" s="303"/>
      <c r="HG48" s="304"/>
      <c r="HH48" s="305">
        <f>SUM(HD48:HG48)</f>
        <v>25.97</v>
      </c>
      <c r="HI48" s="302">
        <v>21.71</v>
      </c>
      <c r="HJ48" s="303">
        <v>8.4600000000000009</v>
      </c>
      <c r="HK48" s="303"/>
      <c r="HL48" s="304"/>
      <c r="HM48" s="305">
        <f>SUM(HI48:HL48)</f>
        <v>30.17</v>
      </c>
      <c r="HN48" s="302">
        <v>4.7300000000000004</v>
      </c>
      <c r="HO48" s="303">
        <v>14.86</v>
      </c>
      <c r="HP48" s="303">
        <v>4.1900000000000004</v>
      </c>
      <c r="HQ48" s="304"/>
      <c r="HR48" s="305">
        <f>SUM(HN48:HQ48)</f>
        <v>23.78</v>
      </c>
      <c r="HS48" s="302">
        <v>14.31</v>
      </c>
      <c r="HT48" s="303">
        <v>23.55</v>
      </c>
      <c r="HU48" s="303"/>
      <c r="HV48" s="304"/>
      <c r="HW48" s="305">
        <f>SUM(HS48:HV48)</f>
        <v>37.86</v>
      </c>
      <c r="HX48" s="302">
        <v>21.87</v>
      </c>
      <c r="HY48" s="303">
        <v>23.98</v>
      </c>
      <c r="HZ48" s="303"/>
      <c r="IA48" s="304"/>
      <c r="IB48" s="305">
        <f>SUM(HX48:IA48)</f>
        <v>45.85</v>
      </c>
      <c r="IC48" s="302">
        <v>29.02</v>
      </c>
      <c r="ID48" s="303">
        <v>18.73</v>
      </c>
      <c r="IE48" s="303"/>
      <c r="IF48" s="304"/>
      <c r="IG48" s="305">
        <f>SUM(IC48:IF48)</f>
        <v>47.75</v>
      </c>
      <c r="IH48" s="61">
        <v>26.46</v>
      </c>
      <c r="II48" s="62">
        <v>17.61</v>
      </c>
      <c r="IJ48" s="62"/>
      <c r="IK48" s="301"/>
      <c r="IL48" s="300">
        <f>SUM(IH48:IK48)</f>
        <v>44.07</v>
      </c>
      <c r="IM48" s="61">
        <v>20.59</v>
      </c>
      <c r="IN48" s="62">
        <v>10.199999999999999</v>
      </c>
      <c r="IO48" s="301"/>
      <c r="IP48" s="296"/>
      <c r="IQ48" s="442">
        <f>SUM(IM48:IP48)</f>
        <v>30.79</v>
      </c>
      <c r="IR48" s="442"/>
      <c r="IS48" s="455">
        <f t="shared" si="48"/>
        <v>359.20000000000005</v>
      </c>
      <c r="IT48" s="449">
        <v>9.4600000000000009</v>
      </c>
      <c r="IU48" s="33">
        <v>21.96</v>
      </c>
      <c r="IV48" s="33"/>
      <c r="IW48" s="296"/>
      <c r="IX48" s="298">
        <f>SUM(IT48:IW48)</f>
        <v>31.42</v>
      </c>
      <c r="IY48" s="32">
        <v>23.3</v>
      </c>
      <c r="IZ48" s="33">
        <v>5.86</v>
      </c>
      <c r="JA48" s="33"/>
      <c r="JB48" s="296"/>
      <c r="JC48" s="298">
        <f>SUM(IY48:JB48)</f>
        <v>29.16</v>
      </c>
      <c r="JD48" s="32">
        <v>20.6</v>
      </c>
      <c r="JE48" s="33">
        <v>16.95</v>
      </c>
      <c r="JF48" s="33"/>
      <c r="JG48" s="296"/>
      <c r="JH48" s="298">
        <f>SUM(JD48:JG48)</f>
        <v>37.549999999999997</v>
      </c>
      <c r="JI48" s="32">
        <v>19.89</v>
      </c>
      <c r="JJ48" s="33">
        <v>13.65</v>
      </c>
      <c r="JK48" s="33"/>
      <c r="JL48" s="296"/>
      <c r="JM48" s="298">
        <f>SUM(JI48:JL48)</f>
        <v>33.54</v>
      </c>
      <c r="JN48" s="32">
        <v>23.47</v>
      </c>
      <c r="JO48" s="33">
        <v>26.73</v>
      </c>
      <c r="JP48" s="33"/>
      <c r="JQ48" s="296"/>
      <c r="JR48" s="298">
        <f>SUM(JN48:JQ48)</f>
        <v>50.2</v>
      </c>
      <c r="JS48" s="32">
        <v>4.6399999999999997</v>
      </c>
      <c r="JT48" s="33">
        <v>22.49</v>
      </c>
      <c r="JU48" s="33"/>
      <c r="JV48" s="296"/>
      <c r="JW48" s="298">
        <f>SUM(JS48:JV48)</f>
        <v>27.13</v>
      </c>
      <c r="JX48" s="32">
        <v>17.079999999999998</v>
      </c>
      <c r="JY48" s="33">
        <v>17.260000000000002</v>
      </c>
      <c r="JZ48" s="33"/>
      <c r="KA48" s="296"/>
      <c r="KB48" s="298">
        <f>SUM(JX48:KA48)</f>
        <v>34.340000000000003</v>
      </c>
      <c r="KC48" s="32">
        <v>23.57</v>
      </c>
      <c r="KD48" s="33">
        <v>9.56</v>
      </c>
      <c r="KE48" s="33"/>
      <c r="KF48" s="296"/>
      <c r="KG48" s="298">
        <f t="shared" si="56"/>
        <v>33.130000000000003</v>
      </c>
      <c r="KH48" s="32">
        <v>27.339999999999996</v>
      </c>
      <c r="KI48" s="33">
        <v>13.600000000000001</v>
      </c>
      <c r="KJ48" s="33">
        <v>0</v>
      </c>
      <c r="KK48" s="296">
        <v>0</v>
      </c>
      <c r="KL48" s="298">
        <f t="shared" si="57"/>
        <v>40.94</v>
      </c>
      <c r="KM48" s="32">
        <v>30.77</v>
      </c>
      <c r="KN48" s="33">
        <v>23.62</v>
      </c>
      <c r="KO48" s="33">
        <v>0</v>
      </c>
      <c r="KP48" s="296">
        <v>0</v>
      </c>
      <c r="KQ48" s="298">
        <f t="shared" si="58"/>
        <v>54.39</v>
      </c>
      <c r="KR48" s="32">
        <v>27.73</v>
      </c>
      <c r="KS48" s="33">
        <v>28.55</v>
      </c>
      <c r="KT48" s="33">
        <v>0</v>
      </c>
      <c r="KU48" s="296">
        <v>0</v>
      </c>
      <c r="KV48" s="298">
        <f t="shared" si="59"/>
        <v>56.28</v>
      </c>
      <c r="KW48" s="32">
        <v>24.580000000000002</v>
      </c>
      <c r="KX48" s="33">
        <v>25.439999999999998</v>
      </c>
      <c r="KY48" s="33">
        <v>0</v>
      </c>
      <c r="KZ48" s="296">
        <v>0</v>
      </c>
      <c r="LA48" s="298">
        <f t="shared" si="8"/>
        <v>50.019999999999996</v>
      </c>
      <c r="LB48" s="455">
        <f t="shared" si="60"/>
        <v>478.1</v>
      </c>
      <c r="LC48" s="32">
        <f t="shared" si="9"/>
        <v>19.080000000000002</v>
      </c>
      <c r="LD48" s="33">
        <f t="shared" si="10"/>
        <v>6.49</v>
      </c>
      <c r="LE48" s="33">
        <f t="shared" si="11"/>
        <v>0</v>
      </c>
      <c r="LF48" s="296">
        <f t="shared" si="12"/>
        <v>0</v>
      </c>
      <c r="LG48" s="298">
        <f t="shared" si="13"/>
        <v>25.57</v>
      </c>
      <c r="LH48" s="32"/>
      <c r="LI48" s="33"/>
      <c r="LJ48" s="33"/>
      <c r="LK48" s="296"/>
      <c r="LL48" s="298">
        <f>SUM(LH48:LK48)</f>
        <v>0</v>
      </c>
      <c r="LM48" s="32"/>
      <c r="LN48" s="33"/>
      <c r="LO48" s="33"/>
      <c r="LP48" s="296"/>
      <c r="LQ48" s="298">
        <f>SUM(LM48:LP48)</f>
        <v>0</v>
      </c>
      <c r="LR48" s="32"/>
      <c r="LS48" s="33"/>
      <c r="LT48" s="33"/>
      <c r="LU48" s="296"/>
      <c r="LV48" s="298">
        <f>SUM(LR48:LU48)</f>
        <v>0</v>
      </c>
      <c r="LW48" s="32"/>
      <c r="LX48" s="33"/>
      <c r="LY48" s="33"/>
      <c r="LZ48" s="296"/>
      <c r="MA48" s="298">
        <f>SUM(LW48:LZ48)</f>
        <v>0</v>
      </c>
      <c r="MB48" s="32"/>
      <c r="MC48" s="33"/>
      <c r="MD48" s="33"/>
      <c r="ME48" s="296"/>
      <c r="MF48" s="298">
        <f>SUM(MB48:ME48)</f>
        <v>0</v>
      </c>
      <c r="MG48" s="32"/>
      <c r="MH48" s="33"/>
      <c r="MI48" s="33"/>
      <c r="MJ48" s="296"/>
      <c r="MK48" s="298">
        <f>SUM(MG48:MJ48)</f>
        <v>0</v>
      </c>
      <c r="ML48" s="32"/>
      <c r="MM48" s="33"/>
      <c r="MN48" s="33"/>
      <c r="MO48" s="296"/>
      <c r="MP48" s="298">
        <f t="shared" si="67"/>
        <v>0</v>
      </c>
      <c r="MQ48" s="32"/>
      <c r="MR48" s="33"/>
      <c r="MS48" s="33"/>
      <c r="MT48" s="296"/>
      <c r="MU48" s="298">
        <f t="shared" si="68"/>
        <v>0</v>
      </c>
      <c r="MV48" s="32"/>
      <c r="MW48" s="33"/>
      <c r="MX48" s="33"/>
      <c r="MY48" s="296"/>
      <c r="MZ48" s="298">
        <f t="shared" si="69"/>
        <v>0</v>
      </c>
      <c r="NA48" s="32"/>
      <c r="NB48" s="33"/>
      <c r="NC48" s="33"/>
      <c r="ND48" s="296"/>
      <c r="NE48" s="298">
        <f t="shared" si="70"/>
        <v>0</v>
      </c>
      <c r="NF48" s="32"/>
      <c r="NG48" s="33"/>
      <c r="NH48" s="33"/>
      <c r="NI48" s="296"/>
      <c r="NJ48" s="298">
        <f t="shared" si="14"/>
        <v>0</v>
      </c>
      <c r="NK48" s="455">
        <f t="shared" si="71"/>
        <v>25.57</v>
      </c>
    </row>
    <row r="49" spans="1:375" ht="16.5" thickBot="1" x14ac:dyDescent="0.3">
      <c r="A49" s="324"/>
      <c r="B49" s="336">
        <v>39</v>
      </c>
      <c r="C49" s="325">
        <v>4.5</v>
      </c>
      <c r="D49" s="326"/>
      <c r="E49" s="327"/>
      <c r="F49" s="328"/>
      <c r="G49" s="329"/>
      <c r="H49" s="357"/>
      <c r="I49" s="358"/>
      <c r="J49" s="186"/>
      <c r="K49" s="186"/>
      <c r="L49" s="359"/>
      <c r="M49" s="340"/>
      <c r="N49" s="358"/>
      <c r="O49" s="186"/>
      <c r="P49" s="186"/>
      <c r="Q49" s="359"/>
      <c r="R49" s="340"/>
      <c r="S49" s="358"/>
      <c r="T49" s="186"/>
      <c r="U49" s="186"/>
      <c r="V49" s="359"/>
      <c r="W49" s="340"/>
      <c r="X49" s="358"/>
      <c r="Y49" s="186"/>
      <c r="Z49" s="186"/>
      <c r="AA49" s="359"/>
      <c r="AB49" s="340"/>
      <c r="AC49" s="360"/>
      <c r="AD49" s="361"/>
      <c r="AE49" s="361"/>
      <c r="AF49" s="362"/>
      <c r="AG49" s="383"/>
      <c r="AH49" s="360"/>
      <c r="AI49" s="361"/>
      <c r="AJ49" s="361"/>
      <c r="AK49" s="362"/>
      <c r="AL49" s="384">
        <f>SUM(AH49:AK49)</f>
        <v>0</v>
      </c>
      <c r="AM49" s="385"/>
      <c r="AN49" s="386"/>
      <c r="AO49" s="386"/>
      <c r="AP49" s="265"/>
      <c r="AQ49" s="347">
        <f>SUM(AM49:AP49)</f>
        <v>0</v>
      </c>
      <c r="AR49" s="385">
        <v>1.71</v>
      </c>
      <c r="AS49" s="386"/>
      <c r="AT49" s="386"/>
      <c r="AU49" s="387"/>
      <c r="AV49" s="388">
        <f>SUM(AR49:AU49)</f>
        <v>1.71</v>
      </c>
      <c r="AW49" s="385">
        <v>1.37</v>
      </c>
      <c r="AX49" s="386"/>
      <c r="AY49" s="386"/>
      <c r="AZ49" s="387"/>
      <c r="BA49" s="388">
        <f>SUM(AW49:AZ49)</f>
        <v>1.37</v>
      </c>
      <c r="BB49" s="385">
        <v>1.29</v>
      </c>
      <c r="BC49" s="386"/>
      <c r="BD49" s="386"/>
      <c r="BE49" s="387"/>
      <c r="BF49" s="388">
        <f>SUM(BB49:BE49)</f>
        <v>1.29</v>
      </c>
      <c r="BG49" s="385">
        <v>1.67</v>
      </c>
      <c r="BH49" s="386"/>
      <c r="BI49" s="386"/>
      <c r="BJ49" s="389"/>
      <c r="BK49" s="389">
        <f>SUM(BG49:BJ49)</f>
        <v>1.67</v>
      </c>
      <c r="BL49" s="385">
        <v>1.2</v>
      </c>
      <c r="BM49" s="386"/>
      <c r="BN49" s="386"/>
      <c r="BO49" s="389"/>
      <c r="BP49" s="265">
        <f>SUM(BL49:BO49)</f>
        <v>1.2</v>
      </c>
      <c r="BQ49" s="455">
        <f t="shared" si="2"/>
        <v>7.24</v>
      </c>
      <c r="BR49" s="32">
        <v>1.17</v>
      </c>
      <c r="BS49" s="43">
        <v>1.02</v>
      </c>
      <c r="BT49" s="43"/>
      <c r="BU49" s="781"/>
      <c r="BV49" s="782">
        <f>SUM(BR49:BU49)</f>
        <v>2.19</v>
      </c>
      <c r="BW49" s="783">
        <v>0.74</v>
      </c>
      <c r="BX49" s="43"/>
      <c r="BY49" s="43"/>
      <c r="BZ49" s="781"/>
      <c r="CA49" s="784">
        <f>SUM(BW49:BZ49)</f>
        <v>0.74</v>
      </c>
      <c r="CB49" s="795"/>
      <c r="CC49" s="796"/>
      <c r="CD49" s="796"/>
      <c r="CE49" s="797"/>
      <c r="CF49" s="798">
        <f t="shared" si="78"/>
        <v>0</v>
      </c>
      <c r="CG49" s="795"/>
      <c r="CH49" s="796"/>
      <c r="CI49" s="796"/>
      <c r="CJ49" s="797"/>
      <c r="CK49" s="798">
        <f t="shared" si="79"/>
        <v>0</v>
      </c>
      <c r="CL49" s="795">
        <v>1.65</v>
      </c>
      <c r="CM49" s="796">
        <v>0.6</v>
      </c>
      <c r="CN49" s="796"/>
      <c r="CO49" s="797"/>
      <c r="CP49" s="798">
        <f t="shared" si="80"/>
        <v>2.25</v>
      </c>
      <c r="CQ49" s="799">
        <v>0.7</v>
      </c>
      <c r="CR49" s="800">
        <v>0.7</v>
      </c>
      <c r="CS49" s="800"/>
      <c r="CT49" s="801"/>
      <c r="CU49" s="802">
        <v>1.4</v>
      </c>
      <c r="CV49" s="799">
        <v>0.62</v>
      </c>
      <c r="CW49" s="800">
        <v>0.87</v>
      </c>
      <c r="CX49" s="800"/>
      <c r="CY49" s="801"/>
      <c r="CZ49" s="802">
        <f>SUM(CV49:CY49)</f>
        <v>1.49</v>
      </c>
      <c r="DA49" s="799">
        <v>0.45</v>
      </c>
      <c r="DB49" s="800">
        <v>1.34</v>
      </c>
      <c r="DC49" s="800"/>
      <c r="DD49" s="801"/>
      <c r="DE49" s="802">
        <f>SUM(DA49:DD49)</f>
        <v>1.79</v>
      </c>
      <c r="DF49" s="799"/>
      <c r="DG49" s="800"/>
      <c r="DH49" s="800"/>
      <c r="DI49" s="801"/>
      <c r="DJ49" s="802">
        <f>SUM(DF49:DI49)</f>
        <v>0</v>
      </c>
      <c r="DK49" s="799">
        <v>1.5</v>
      </c>
      <c r="DL49" s="800"/>
      <c r="DM49" s="800"/>
      <c r="DN49" s="801"/>
      <c r="DO49" s="802">
        <f>SUM(DK49:DN49)</f>
        <v>1.5</v>
      </c>
      <c r="DP49" s="799">
        <v>1.6</v>
      </c>
      <c r="DQ49" s="800">
        <v>0.96</v>
      </c>
      <c r="DR49" s="800"/>
      <c r="DS49" s="801"/>
      <c r="DT49" s="802">
        <f>SUM(DP49:DS49)</f>
        <v>2.56</v>
      </c>
      <c r="DU49" s="799"/>
      <c r="DV49" s="800"/>
      <c r="DW49" s="800"/>
      <c r="DX49" s="801"/>
      <c r="DY49" s="802">
        <f>SUM(DU49:DX49)</f>
        <v>0</v>
      </c>
      <c r="DZ49" s="455">
        <f t="shared" si="6"/>
        <v>13.92</v>
      </c>
      <c r="EA49" s="799">
        <v>2.0499999999999998</v>
      </c>
      <c r="EB49" s="800"/>
      <c r="EC49" s="800"/>
      <c r="ED49" s="801"/>
      <c r="EE49" s="802">
        <f>SUM(EA49:ED49)</f>
        <v>2.0499999999999998</v>
      </c>
      <c r="EF49" s="799"/>
      <c r="EG49" s="800"/>
      <c r="EH49" s="800"/>
      <c r="EI49" s="801"/>
      <c r="EJ49" s="802">
        <f>SUM(EF49:EI49)</f>
        <v>0</v>
      </c>
      <c r="EK49" s="799"/>
      <c r="EL49" s="800"/>
      <c r="EM49" s="800"/>
      <c r="EN49" s="801"/>
      <c r="EO49" s="802">
        <f>SUM(EK49:EN49)</f>
        <v>0</v>
      </c>
      <c r="EP49" s="799">
        <v>0.98</v>
      </c>
      <c r="EQ49" s="800"/>
      <c r="ER49" s="800"/>
      <c r="ES49" s="801"/>
      <c r="ET49" s="802">
        <f>SUM(EP49:ES49)</f>
        <v>0.98</v>
      </c>
      <c r="EU49" s="799">
        <v>0.6</v>
      </c>
      <c r="EV49" s="800">
        <v>0.6</v>
      </c>
      <c r="EW49" s="800"/>
      <c r="EX49" s="801"/>
      <c r="EY49" s="802">
        <f>SUM(EU49:EX49)</f>
        <v>1.2</v>
      </c>
      <c r="EZ49" s="799">
        <v>0.7</v>
      </c>
      <c r="FA49" s="800"/>
      <c r="FB49" s="800"/>
      <c r="FC49" s="801"/>
      <c r="FD49" s="802">
        <f>SUM(EZ49:FC49)</f>
        <v>0.7</v>
      </c>
      <c r="FE49" s="799">
        <v>0.8</v>
      </c>
      <c r="FF49" s="800">
        <v>0.7</v>
      </c>
      <c r="FG49" s="800"/>
      <c r="FH49" s="801"/>
      <c r="FI49" s="802">
        <f>SUM(FE49:FH49)</f>
        <v>1.5</v>
      </c>
      <c r="FJ49" s="799">
        <v>0.8</v>
      </c>
      <c r="FK49" s="800">
        <v>0.9</v>
      </c>
      <c r="FL49" s="800"/>
      <c r="FM49" s="801"/>
      <c r="FN49" s="802">
        <f>SUM(FJ49:FM49)</f>
        <v>1.7000000000000002</v>
      </c>
      <c r="FO49" s="799">
        <v>0.92</v>
      </c>
      <c r="FP49" s="800">
        <v>1</v>
      </c>
      <c r="FQ49" s="800"/>
      <c r="FR49" s="801"/>
      <c r="FS49" s="802">
        <f>SUM(FO49:FR49)</f>
        <v>1.92</v>
      </c>
      <c r="FT49" s="799">
        <v>1.32</v>
      </c>
      <c r="FU49" s="812"/>
      <c r="FV49" s="800"/>
      <c r="FW49" s="801"/>
      <c r="FX49" s="802">
        <f>SUM(FT49:FW49)</f>
        <v>1.32</v>
      </c>
      <c r="FY49" s="799">
        <v>1.69</v>
      </c>
      <c r="FZ49" s="800">
        <v>1.22</v>
      </c>
      <c r="GA49" s="800"/>
      <c r="GB49" s="801"/>
      <c r="GC49" s="802">
        <f>SUM(FY49:GB49)</f>
        <v>2.91</v>
      </c>
      <c r="GD49" s="799">
        <v>0.53</v>
      </c>
      <c r="GE49" s="800">
        <v>2.5</v>
      </c>
      <c r="GF49" s="800"/>
      <c r="GG49" s="801"/>
      <c r="GH49" s="802">
        <f>SUM(GD49:GG49)</f>
        <v>3.0300000000000002</v>
      </c>
      <c r="GI49" s="455">
        <f t="shared" si="7"/>
        <v>17.309999999999999</v>
      </c>
      <c r="GJ49" s="390">
        <v>1.79</v>
      </c>
      <c r="GK49" s="391">
        <v>1.18</v>
      </c>
      <c r="GL49" s="391"/>
      <c r="GM49" s="392"/>
      <c r="GN49" s="393">
        <f>SUM(GJ49:GM49)</f>
        <v>2.9699999999999998</v>
      </c>
      <c r="GO49" s="395"/>
      <c r="GP49" s="394"/>
      <c r="GQ49" s="391"/>
      <c r="GR49" s="392"/>
      <c r="GS49" s="393">
        <f>SUM(GO49:GR49)</f>
        <v>0</v>
      </c>
      <c r="GT49" s="390">
        <v>1.79</v>
      </c>
      <c r="GU49" s="391">
        <v>0.42</v>
      </c>
      <c r="GV49" s="391"/>
      <c r="GW49" s="392"/>
      <c r="GX49" s="393">
        <f>SUM(GT49:GW49)</f>
        <v>2.21</v>
      </c>
      <c r="GY49" s="390">
        <v>1.5</v>
      </c>
      <c r="GZ49" s="394"/>
      <c r="HA49" s="391"/>
      <c r="HB49" s="392"/>
      <c r="HC49" s="393">
        <f>SUM(GY49:HB49)</f>
        <v>1.5</v>
      </c>
      <c r="HD49" s="390">
        <v>1.0900000000000001</v>
      </c>
      <c r="HE49" s="391">
        <v>0.99</v>
      </c>
      <c r="HF49" s="391"/>
      <c r="HG49" s="392"/>
      <c r="HH49" s="393">
        <f>SUM(HD49:HG49)</f>
        <v>2.08</v>
      </c>
      <c r="HI49" s="390">
        <v>1.02</v>
      </c>
      <c r="HJ49" s="391">
        <v>1.02</v>
      </c>
      <c r="HK49" s="391"/>
      <c r="HL49" s="392"/>
      <c r="HM49" s="393">
        <f>SUM(HI49:HL49)</f>
        <v>2.04</v>
      </c>
      <c r="HN49" s="390">
        <v>1</v>
      </c>
      <c r="HO49" s="391">
        <v>0.9</v>
      </c>
      <c r="HP49" s="391"/>
      <c r="HQ49" s="392"/>
      <c r="HR49" s="393">
        <f>SUM(HN49:HQ49)</f>
        <v>1.9</v>
      </c>
      <c r="HS49" s="390">
        <v>1.19</v>
      </c>
      <c r="HT49" s="391">
        <v>2.21</v>
      </c>
      <c r="HU49" s="391"/>
      <c r="HV49" s="392"/>
      <c r="HW49" s="393">
        <f>SUM(HS49:HV49)</f>
        <v>3.4</v>
      </c>
      <c r="HX49" s="390">
        <v>2.21</v>
      </c>
      <c r="HY49" s="391">
        <v>2.48</v>
      </c>
      <c r="HZ49" s="391"/>
      <c r="IA49" s="392"/>
      <c r="IB49" s="393">
        <f>SUM(HX49:IA49)</f>
        <v>4.6899999999999995</v>
      </c>
      <c r="IC49" s="390">
        <v>1.93</v>
      </c>
      <c r="ID49" s="396"/>
      <c r="IE49" s="391"/>
      <c r="IF49" s="392"/>
      <c r="IG49" s="393">
        <f>SUM(IC49:IF49)</f>
        <v>1.93</v>
      </c>
      <c r="IH49" s="369">
        <v>2.4700000000000002</v>
      </c>
      <c r="II49" s="370">
        <v>1.84</v>
      </c>
      <c r="IJ49" s="370"/>
      <c r="IK49" s="371"/>
      <c r="IL49" s="397">
        <f>SUM(IH49:IK49)</f>
        <v>4.3100000000000005</v>
      </c>
      <c r="IM49" s="369">
        <v>1.19</v>
      </c>
      <c r="IN49" s="370">
        <v>2.02</v>
      </c>
      <c r="IO49" s="371"/>
      <c r="IP49" s="348"/>
      <c r="IQ49" s="443">
        <f>SUM(IM49:IP49)</f>
        <v>3.21</v>
      </c>
      <c r="IR49" s="468"/>
      <c r="IS49" s="455">
        <f t="shared" si="48"/>
        <v>30.240000000000002</v>
      </c>
      <c r="IT49" s="450">
        <v>2.2599999999999998</v>
      </c>
      <c r="IU49" s="398"/>
      <c r="IV49" s="346"/>
      <c r="IW49" s="348"/>
      <c r="IX49" s="399">
        <f>SUM(IT49:IW49)</f>
        <v>2.2599999999999998</v>
      </c>
      <c r="IY49" s="345">
        <v>3.29</v>
      </c>
      <c r="IZ49" s="398"/>
      <c r="JA49" s="346"/>
      <c r="JB49" s="348"/>
      <c r="JC49" s="399">
        <f>SUM(IY49:JB49)</f>
        <v>3.29</v>
      </c>
      <c r="JD49" s="345">
        <v>1.2</v>
      </c>
      <c r="JE49" s="346">
        <v>1.05</v>
      </c>
      <c r="JF49" s="346"/>
      <c r="JG49" s="348"/>
      <c r="JH49" s="399">
        <f>SUM(JD49:JG49)</f>
        <v>2.25</v>
      </c>
      <c r="JI49" s="345">
        <v>1.1399999999999999</v>
      </c>
      <c r="JJ49" s="346">
        <v>1.58</v>
      </c>
      <c r="JK49" s="346"/>
      <c r="JL49" s="348"/>
      <c r="JM49" s="399">
        <f>SUM(JI49:JL49)</f>
        <v>2.7199999999999998</v>
      </c>
      <c r="JN49" s="345">
        <v>1.46</v>
      </c>
      <c r="JO49" s="346">
        <v>0.56999999999999995</v>
      </c>
      <c r="JP49" s="346"/>
      <c r="JQ49" s="348"/>
      <c r="JR49" s="399">
        <f>SUM(JN49:JQ49)</f>
        <v>2.0299999999999998</v>
      </c>
      <c r="JS49" s="345">
        <v>1.56</v>
      </c>
      <c r="JT49" s="398"/>
      <c r="JU49" s="346"/>
      <c r="JV49" s="348"/>
      <c r="JW49" s="399">
        <f>SUM(JS49:JV49)</f>
        <v>1.56</v>
      </c>
      <c r="JX49" s="345">
        <v>1.47</v>
      </c>
      <c r="JY49" s="346">
        <v>1.91</v>
      </c>
      <c r="JZ49" s="346"/>
      <c r="KA49" s="348"/>
      <c r="KB49" s="399">
        <f>SUM(JX49:KA49)</f>
        <v>3.38</v>
      </c>
      <c r="KC49" s="345">
        <v>1.21</v>
      </c>
      <c r="KD49" s="346">
        <v>3.25</v>
      </c>
      <c r="KE49" s="346"/>
      <c r="KF49" s="348"/>
      <c r="KG49" s="399">
        <f t="shared" si="56"/>
        <v>4.46</v>
      </c>
      <c r="KH49" s="345">
        <v>0.96</v>
      </c>
      <c r="KI49" s="346">
        <v>3.54</v>
      </c>
      <c r="KJ49" s="346">
        <v>0</v>
      </c>
      <c r="KK49" s="348">
        <v>0</v>
      </c>
      <c r="KL49" s="399">
        <f t="shared" si="57"/>
        <v>4.5</v>
      </c>
      <c r="KM49" s="345">
        <v>4.07</v>
      </c>
      <c r="KN49" s="346">
        <v>2.3199999999999998</v>
      </c>
      <c r="KO49" s="346">
        <v>0</v>
      </c>
      <c r="KP49" s="348">
        <v>0</v>
      </c>
      <c r="KQ49" s="399">
        <f t="shared" si="58"/>
        <v>6.3900000000000006</v>
      </c>
      <c r="KR49" s="345">
        <v>2.19</v>
      </c>
      <c r="KS49" s="346">
        <v>2.21</v>
      </c>
      <c r="KT49" s="346">
        <v>0</v>
      </c>
      <c r="KU49" s="348">
        <v>0</v>
      </c>
      <c r="KV49" s="399">
        <f t="shared" si="59"/>
        <v>4.4000000000000004</v>
      </c>
      <c r="KW49" s="345">
        <v>2.39</v>
      </c>
      <c r="KX49" s="346">
        <v>0</v>
      </c>
      <c r="KY49" s="346">
        <v>0</v>
      </c>
      <c r="KZ49" s="348">
        <v>0</v>
      </c>
      <c r="LA49" s="399">
        <f t="shared" si="8"/>
        <v>2.39</v>
      </c>
      <c r="LB49" s="455">
        <f t="shared" si="60"/>
        <v>39.630000000000003</v>
      </c>
      <c r="LC49" s="345">
        <f t="shared" si="9"/>
        <v>2.06</v>
      </c>
      <c r="LD49" s="346">
        <f t="shared" si="10"/>
        <v>0.87</v>
      </c>
      <c r="LE49" s="346">
        <f t="shared" si="11"/>
        <v>0</v>
      </c>
      <c r="LF49" s="348">
        <f t="shared" si="12"/>
        <v>0</v>
      </c>
      <c r="LG49" s="399">
        <f t="shared" si="13"/>
        <v>2.93</v>
      </c>
      <c r="LH49" s="345"/>
      <c r="LI49" s="346"/>
      <c r="LJ49" s="346"/>
      <c r="LK49" s="348"/>
      <c r="LL49" s="399">
        <f>SUM(LH49:LK49)</f>
        <v>0</v>
      </c>
      <c r="LM49" s="345"/>
      <c r="LN49" s="346"/>
      <c r="LO49" s="346"/>
      <c r="LP49" s="348"/>
      <c r="LQ49" s="399">
        <f>SUM(LM49:LP49)</f>
        <v>0</v>
      </c>
      <c r="LR49" s="345"/>
      <c r="LS49" s="346"/>
      <c r="LT49" s="346"/>
      <c r="LU49" s="348"/>
      <c r="LV49" s="399">
        <f>SUM(LR49:LU49)</f>
        <v>0</v>
      </c>
      <c r="LW49" s="345"/>
      <c r="LX49" s="346"/>
      <c r="LY49" s="346"/>
      <c r="LZ49" s="348"/>
      <c r="MA49" s="399">
        <f>SUM(LW49:LZ49)</f>
        <v>0</v>
      </c>
      <c r="MB49" s="345"/>
      <c r="MC49" s="346"/>
      <c r="MD49" s="346"/>
      <c r="ME49" s="348"/>
      <c r="MF49" s="399">
        <f>SUM(MB49:ME49)</f>
        <v>0</v>
      </c>
      <c r="MG49" s="345"/>
      <c r="MH49" s="346"/>
      <c r="MI49" s="346"/>
      <c r="MJ49" s="348"/>
      <c r="MK49" s="399">
        <f>SUM(MG49:MJ49)</f>
        <v>0</v>
      </c>
      <c r="ML49" s="345"/>
      <c r="MM49" s="346"/>
      <c r="MN49" s="346"/>
      <c r="MO49" s="348"/>
      <c r="MP49" s="399">
        <f t="shared" si="67"/>
        <v>0</v>
      </c>
      <c r="MQ49" s="345"/>
      <c r="MR49" s="346"/>
      <c r="MS49" s="346"/>
      <c r="MT49" s="348"/>
      <c r="MU49" s="399">
        <f t="shared" si="68"/>
        <v>0</v>
      </c>
      <c r="MV49" s="345"/>
      <c r="MW49" s="346"/>
      <c r="MX49" s="346"/>
      <c r="MY49" s="348"/>
      <c r="MZ49" s="399">
        <f t="shared" si="69"/>
        <v>0</v>
      </c>
      <c r="NA49" s="345"/>
      <c r="NB49" s="346"/>
      <c r="NC49" s="346"/>
      <c r="ND49" s="348"/>
      <c r="NE49" s="399">
        <f t="shared" si="70"/>
        <v>0</v>
      </c>
      <c r="NF49" s="345"/>
      <c r="NG49" s="346"/>
      <c r="NH49" s="346"/>
      <c r="NI49" s="348"/>
      <c r="NJ49" s="399">
        <f t="shared" si="14"/>
        <v>0</v>
      </c>
      <c r="NK49" s="455">
        <f t="shared" si="71"/>
        <v>2.93</v>
      </c>
    </row>
    <row r="50" spans="1:375" s="20" customFormat="1" ht="16.5" thickBot="1" x14ac:dyDescent="0.3">
      <c r="A50" s="400" t="s">
        <v>62</v>
      </c>
      <c r="B50" s="401"/>
      <c r="C50" s="402">
        <f>SUM(C9:C20,C21:C27,C28:C32,C39:C46,C48:C49)</f>
        <v>1416.5100000000002</v>
      </c>
      <c r="D50" s="403">
        <f>SUM(D9:D37)</f>
        <v>998.31000000000017</v>
      </c>
      <c r="E50" s="404">
        <f>SUM(E9:E37)</f>
        <v>499.36</v>
      </c>
      <c r="F50" s="404"/>
      <c r="G50" s="405"/>
      <c r="H50" s="402">
        <f t="shared" ref="H50:AK50" si="85">SUM(H9:H37)</f>
        <v>1497.67</v>
      </c>
      <c r="I50" s="406">
        <f t="shared" si="85"/>
        <v>1067.48</v>
      </c>
      <c r="J50" s="404">
        <f t="shared" si="85"/>
        <v>215.59</v>
      </c>
      <c r="K50" s="404">
        <f t="shared" si="85"/>
        <v>0</v>
      </c>
      <c r="L50" s="405">
        <f t="shared" si="85"/>
        <v>0</v>
      </c>
      <c r="M50" s="407">
        <f t="shared" si="85"/>
        <v>1283.0700000000002</v>
      </c>
      <c r="N50" s="406">
        <f t="shared" si="85"/>
        <v>1104.0899999999999</v>
      </c>
      <c r="O50" s="404">
        <f t="shared" si="85"/>
        <v>222.39</v>
      </c>
      <c r="P50" s="404">
        <f t="shared" si="85"/>
        <v>0</v>
      </c>
      <c r="Q50" s="405">
        <f t="shared" si="85"/>
        <v>0</v>
      </c>
      <c r="R50" s="407">
        <f t="shared" si="85"/>
        <v>1326.48</v>
      </c>
      <c r="S50" s="406">
        <f t="shared" si="85"/>
        <v>884.66000000000008</v>
      </c>
      <c r="T50" s="404">
        <f t="shared" si="85"/>
        <v>550.76999999999987</v>
      </c>
      <c r="U50" s="404">
        <f t="shared" si="85"/>
        <v>53.400000000000006</v>
      </c>
      <c r="V50" s="405">
        <f t="shared" si="85"/>
        <v>0</v>
      </c>
      <c r="W50" s="407">
        <f t="shared" si="85"/>
        <v>1488.83</v>
      </c>
      <c r="X50" s="406">
        <f t="shared" si="85"/>
        <v>926.23999999999978</v>
      </c>
      <c r="Y50" s="404">
        <f t="shared" si="85"/>
        <v>433.43000000000006</v>
      </c>
      <c r="Z50" s="404">
        <f t="shared" si="85"/>
        <v>132</v>
      </c>
      <c r="AA50" s="405">
        <f t="shared" si="85"/>
        <v>0</v>
      </c>
      <c r="AB50" s="407">
        <f t="shared" si="85"/>
        <v>1491.67</v>
      </c>
      <c r="AC50" s="408">
        <f t="shared" si="85"/>
        <v>1047.8700000000001</v>
      </c>
      <c r="AD50" s="409">
        <f t="shared" si="85"/>
        <v>525.16999999999996</v>
      </c>
      <c r="AE50" s="409">
        <f t="shared" si="85"/>
        <v>18.46</v>
      </c>
      <c r="AF50" s="410">
        <f t="shared" si="85"/>
        <v>0</v>
      </c>
      <c r="AG50" s="410">
        <f t="shared" si="85"/>
        <v>1591.4999999999995</v>
      </c>
      <c r="AH50" s="408">
        <f t="shared" si="85"/>
        <v>858.05000000000018</v>
      </c>
      <c r="AI50" s="409">
        <f t="shared" si="85"/>
        <v>448.69</v>
      </c>
      <c r="AJ50" s="409">
        <f t="shared" si="85"/>
        <v>177.25</v>
      </c>
      <c r="AK50" s="410">
        <f t="shared" si="85"/>
        <v>0</v>
      </c>
      <c r="AL50" s="410">
        <f>SUM(AL9:AL49)</f>
        <v>1483.99</v>
      </c>
      <c r="AM50" s="406">
        <f>SUM(AM9:AM37)</f>
        <v>920.44</v>
      </c>
      <c r="AN50" s="404">
        <f>SUM(AN9:AN37)</f>
        <v>700.93999999999994</v>
      </c>
      <c r="AO50" s="404">
        <f>SUM(AO9:AO37)</f>
        <v>75.75</v>
      </c>
      <c r="AP50" s="411">
        <f>SUM(AP9:AP37)</f>
        <v>0</v>
      </c>
      <c r="AQ50" s="412">
        <f>SUM(AQ9:AQ49)</f>
        <v>1697.1299999999999</v>
      </c>
      <c r="AR50" s="406">
        <f>SUM(AR9:AR49)</f>
        <v>1183.0900000000001</v>
      </c>
      <c r="AS50" s="404">
        <f>SUM(AS9:AS49)</f>
        <v>828.74</v>
      </c>
      <c r="AT50" s="404">
        <f>SUM(AT9:AT47)</f>
        <v>60.04</v>
      </c>
      <c r="AU50" s="404">
        <f>SUM(AU9:AU47)</f>
        <v>0</v>
      </c>
      <c r="AV50" s="407">
        <f>SUM(AV9:AV49)</f>
        <v>2071.8700000000003</v>
      </c>
      <c r="AW50" s="406">
        <f>SUM(AW9:AW49)</f>
        <v>1186.7700000000002</v>
      </c>
      <c r="AX50" s="404">
        <f>SUM(AX9:AX49)</f>
        <v>694.88000000000011</v>
      </c>
      <c r="AY50" s="404">
        <f>SUM(AY9:AY47)</f>
        <v>0</v>
      </c>
      <c r="AZ50" s="404">
        <f>SUM(AZ9:AZ47)</f>
        <v>0</v>
      </c>
      <c r="BA50" s="407">
        <f>SUM(BA9:BA49)</f>
        <v>1881.65</v>
      </c>
      <c r="BB50" s="406">
        <f>SUM(BB9:BB49)</f>
        <v>1483.9500000000003</v>
      </c>
      <c r="BC50" s="404">
        <f>SUM(BC9:BC49)</f>
        <v>764.7600000000001</v>
      </c>
      <c r="BD50" s="404">
        <f>SUM(BD9:BD47)</f>
        <v>24.97</v>
      </c>
      <c r="BE50" s="404">
        <f>SUM(BE9:BE47)</f>
        <v>0</v>
      </c>
      <c r="BF50" s="407">
        <f t="shared" ref="BF50:CP50" si="86">SUM(BF9:BF49)</f>
        <v>2273.6800000000003</v>
      </c>
      <c r="BG50" s="413">
        <f t="shared" si="86"/>
        <v>1401.1700000000003</v>
      </c>
      <c r="BH50" s="414">
        <f t="shared" si="86"/>
        <v>726.61000000000013</v>
      </c>
      <c r="BI50" s="414">
        <f t="shared" si="86"/>
        <v>0</v>
      </c>
      <c r="BJ50" s="415">
        <f t="shared" si="86"/>
        <v>0</v>
      </c>
      <c r="BK50" s="415">
        <f t="shared" si="86"/>
        <v>2127.7800000000002</v>
      </c>
      <c r="BL50" s="413">
        <f t="shared" si="86"/>
        <v>1213.94</v>
      </c>
      <c r="BM50" s="414">
        <f t="shared" si="86"/>
        <v>578.34999999999991</v>
      </c>
      <c r="BN50" s="414">
        <f t="shared" si="86"/>
        <v>44.07</v>
      </c>
      <c r="BO50" s="415">
        <f t="shared" si="86"/>
        <v>0</v>
      </c>
      <c r="BP50" s="416">
        <f t="shared" si="86"/>
        <v>1836.3600000000006</v>
      </c>
      <c r="BQ50" s="455">
        <f>SUM(BQ7:BQ49)</f>
        <v>20554.010000000006</v>
      </c>
      <c r="BR50" s="417">
        <f t="shared" si="86"/>
        <v>704.45999999999992</v>
      </c>
      <c r="BS50" s="803">
        <f t="shared" si="86"/>
        <v>473.97</v>
      </c>
      <c r="BT50" s="803">
        <f t="shared" si="86"/>
        <v>98.320000000000007</v>
      </c>
      <c r="BU50" s="804">
        <f t="shared" si="86"/>
        <v>0</v>
      </c>
      <c r="BV50" s="805">
        <f t="shared" si="86"/>
        <v>1276.75</v>
      </c>
      <c r="BW50" s="806">
        <f t="shared" si="86"/>
        <v>399.82999999999987</v>
      </c>
      <c r="BX50" s="803">
        <f t="shared" si="86"/>
        <v>348.04</v>
      </c>
      <c r="BY50" s="803">
        <f t="shared" si="86"/>
        <v>74.959999999999994</v>
      </c>
      <c r="BZ50" s="804">
        <f t="shared" si="86"/>
        <v>0</v>
      </c>
      <c r="CA50" s="806">
        <f t="shared" si="86"/>
        <v>822.8299999999997</v>
      </c>
      <c r="CB50" s="807">
        <f t="shared" si="86"/>
        <v>494.32999999999987</v>
      </c>
      <c r="CC50" s="808">
        <f t="shared" si="86"/>
        <v>452.21</v>
      </c>
      <c r="CD50" s="808">
        <f t="shared" si="86"/>
        <v>114.91</v>
      </c>
      <c r="CE50" s="808">
        <f t="shared" si="86"/>
        <v>0</v>
      </c>
      <c r="CF50" s="805">
        <f t="shared" si="86"/>
        <v>1061.4500000000003</v>
      </c>
      <c r="CG50" s="807">
        <f t="shared" si="86"/>
        <v>664.18999999999983</v>
      </c>
      <c r="CH50" s="808">
        <f t="shared" si="86"/>
        <v>528.41999999999996</v>
      </c>
      <c r="CI50" s="808">
        <f t="shared" si="86"/>
        <v>81.929999999999978</v>
      </c>
      <c r="CJ50" s="808">
        <f t="shared" si="86"/>
        <v>0</v>
      </c>
      <c r="CK50" s="805">
        <f t="shared" si="86"/>
        <v>1274.5399999999995</v>
      </c>
      <c r="CL50" s="807">
        <f t="shared" si="86"/>
        <v>775.86999999999978</v>
      </c>
      <c r="CM50" s="808">
        <f t="shared" si="86"/>
        <v>601.27</v>
      </c>
      <c r="CN50" s="808">
        <f t="shared" si="86"/>
        <v>118.99999999999999</v>
      </c>
      <c r="CO50" s="808">
        <f t="shared" si="86"/>
        <v>0</v>
      </c>
      <c r="CP50" s="805">
        <f t="shared" si="86"/>
        <v>1496.1400000000003</v>
      </c>
      <c r="CQ50" s="807">
        <f>SUM(CQ9:CQ49)</f>
        <v>522.84000000000015</v>
      </c>
      <c r="CR50" s="808">
        <f>SUM(CR9:CR49)</f>
        <v>569.61</v>
      </c>
      <c r="CS50" s="808">
        <f>SUM(CS9:CS49)</f>
        <v>270.89</v>
      </c>
      <c r="CT50" s="808">
        <v>0</v>
      </c>
      <c r="CU50" s="806">
        <f>SUM(CU9:CU49)</f>
        <v>1363.34</v>
      </c>
      <c r="CV50" s="807">
        <f>SUM(CV9:CV49)</f>
        <v>719.7800000000002</v>
      </c>
      <c r="CW50" s="808">
        <f>SUM(CW9:CW49)</f>
        <v>637.85</v>
      </c>
      <c r="CX50" s="808">
        <f>SUM(CX9:CX49)</f>
        <v>126.19</v>
      </c>
      <c r="CY50" s="808">
        <v>0</v>
      </c>
      <c r="CZ50" s="806">
        <f>SUM(CZ9:CZ49)</f>
        <v>1483.8200000000002</v>
      </c>
      <c r="DA50" s="807">
        <f>SUM(DA9:DA49)</f>
        <v>1046.2900000000002</v>
      </c>
      <c r="DB50" s="808">
        <f>SUM(DB9:DB49)</f>
        <v>720.73</v>
      </c>
      <c r="DC50" s="808">
        <f>SUM(DC9:DC49)</f>
        <v>129.36000000000001</v>
      </c>
      <c r="DD50" s="808">
        <v>0</v>
      </c>
      <c r="DE50" s="806">
        <f>SUM(DE9:DE49)</f>
        <v>1896.38</v>
      </c>
      <c r="DF50" s="807">
        <f>SUM(DF9:DF49)</f>
        <v>1209.3400000000001</v>
      </c>
      <c r="DG50" s="808">
        <f>SUM(DG9:DG49)</f>
        <v>635.41999999999985</v>
      </c>
      <c r="DH50" s="808">
        <f>SUM(DH9:DH49)</f>
        <v>38.700000000000003</v>
      </c>
      <c r="DI50" s="808">
        <v>0</v>
      </c>
      <c r="DJ50" s="805">
        <f>SUM(DJ9:DJ49)</f>
        <v>1883.4599999999998</v>
      </c>
      <c r="DK50" s="807">
        <f>SUM(DK9:DK49)</f>
        <v>1628.0800000000004</v>
      </c>
      <c r="DL50" s="808">
        <f>SUM(DL9:DL49)</f>
        <v>702.58</v>
      </c>
      <c r="DM50" s="808">
        <f>SUM(DM9:DM49)</f>
        <v>15.84</v>
      </c>
      <c r="DN50" s="808">
        <v>0</v>
      </c>
      <c r="DO50" s="805">
        <f>SUM(DO9:DO49)</f>
        <v>2346.5000000000009</v>
      </c>
      <c r="DP50" s="807">
        <f>SUM(DP9:DP49)</f>
        <v>1574.9700000000003</v>
      </c>
      <c r="DQ50" s="808">
        <f>SUM(DQ9:DQ49)</f>
        <v>361.20999999999992</v>
      </c>
      <c r="DR50" s="808">
        <f>SUM(DR9:DR49)</f>
        <v>0</v>
      </c>
      <c r="DS50" s="808">
        <v>0</v>
      </c>
      <c r="DT50" s="805">
        <f>SUM(DT9:DT49)</f>
        <v>1936.1800000000003</v>
      </c>
      <c r="DU50" s="807">
        <f>SUM(DU9:DU49)</f>
        <v>1496.3799999999999</v>
      </c>
      <c r="DV50" s="808">
        <f>SUM(DV9:DV49)</f>
        <v>494.65999999999997</v>
      </c>
      <c r="DW50" s="808">
        <f>SUM(DW9:DW49)</f>
        <v>0</v>
      </c>
      <c r="DX50" s="808">
        <v>0</v>
      </c>
      <c r="DY50" s="805">
        <f>SUM(DY9:DY49)</f>
        <v>1991.0399999999997</v>
      </c>
      <c r="DZ50" s="455">
        <f>SUM(DZ7:DZ49)</f>
        <v>18832.429999999997</v>
      </c>
      <c r="EA50" s="807">
        <f>SUM(EA9:EA49)</f>
        <v>1115.7899999999997</v>
      </c>
      <c r="EB50" s="808">
        <f>SUM(EB9:EB49)</f>
        <v>335.15999999999997</v>
      </c>
      <c r="EC50" s="808">
        <f>SUM(EC9:EC49)</f>
        <v>0</v>
      </c>
      <c r="ED50" s="808">
        <v>0</v>
      </c>
      <c r="EE50" s="805">
        <f>SUM(EE9:EE49)</f>
        <v>1450.9499999999996</v>
      </c>
      <c r="EF50" s="807">
        <f>SUM(EF9:EF49)</f>
        <v>860.12000000000012</v>
      </c>
      <c r="EG50" s="808">
        <f>SUM(EG9:EG49)</f>
        <v>331.60300000000001</v>
      </c>
      <c r="EH50" s="808">
        <f>SUM(EH9:EH49)</f>
        <v>0</v>
      </c>
      <c r="EI50" s="808">
        <v>0</v>
      </c>
      <c r="EJ50" s="805">
        <f>SUM(EJ9:EJ49)</f>
        <v>1191.723</v>
      </c>
      <c r="EK50" s="807">
        <f>SUM(EK9:EK49)</f>
        <v>777.43000000000006</v>
      </c>
      <c r="EL50" s="808">
        <f>SUM(EL9:EL49)</f>
        <v>557.05000000000018</v>
      </c>
      <c r="EM50" s="808">
        <f>SUM(EM9:EM49)</f>
        <v>0</v>
      </c>
      <c r="EN50" s="808">
        <v>0</v>
      </c>
      <c r="EO50" s="805">
        <f>SUM(EO9:EO49)</f>
        <v>1334.4799999999998</v>
      </c>
      <c r="EP50" s="807">
        <f>SUM(EP9:EP49)</f>
        <v>794.02999999999975</v>
      </c>
      <c r="EQ50" s="808">
        <f>SUM(EQ9:EQ49)</f>
        <v>424.47</v>
      </c>
      <c r="ER50" s="808">
        <f>SUM(ER9:ER49)</f>
        <v>44.980000000000004</v>
      </c>
      <c r="ES50" s="808">
        <v>0</v>
      </c>
      <c r="ET50" s="805">
        <f>SUM(ET9:ET49)</f>
        <v>1263.4800000000002</v>
      </c>
      <c r="EU50" s="807">
        <f>SUM(EU9:EU49)</f>
        <v>830.84000000000015</v>
      </c>
      <c r="EV50" s="808">
        <f>SUM(EV9:EV49)</f>
        <v>494.32</v>
      </c>
      <c r="EW50" s="808">
        <f>SUM(EW9:EW49)</f>
        <v>75.669999999999987</v>
      </c>
      <c r="EX50" s="808">
        <v>0</v>
      </c>
      <c r="EY50" s="805">
        <f>SUM(EY9:EY49)</f>
        <v>1400.8300000000002</v>
      </c>
      <c r="EZ50" s="807">
        <f>SUM(EZ9:EZ49)</f>
        <v>788.3900000000001</v>
      </c>
      <c r="FA50" s="808">
        <f>SUM(FA9:FA49)</f>
        <v>625.99</v>
      </c>
      <c r="FB50" s="808">
        <f>SUM(FB9:FB49)</f>
        <v>9.7199999999999989</v>
      </c>
      <c r="FC50" s="808">
        <v>0</v>
      </c>
      <c r="FD50" s="805">
        <f>SUM(FD9:FD49)</f>
        <v>1424.1000000000004</v>
      </c>
      <c r="FE50" s="807">
        <f>SUM(FE9:FE49)</f>
        <v>762.55000000000007</v>
      </c>
      <c r="FF50" s="808">
        <f>SUM(FF9:FF49)</f>
        <v>802.03000000000009</v>
      </c>
      <c r="FG50" s="808">
        <f>SUM(FG9:FG49)</f>
        <v>17.669999999999998</v>
      </c>
      <c r="FH50" s="808">
        <v>0</v>
      </c>
      <c r="FI50" s="805">
        <f>SUM(FI9:FI49)</f>
        <v>1582.2499999999998</v>
      </c>
      <c r="FJ50" s="807">
        <f>SUM(FJ9:FJ49)</f>
        <v>852.80999999999983</v>
      </c>
      <c r="FK50" s="808">
        <f>SUM(FK9:FK49)</f>
        <v>805.55999999999972</v>
      </c>
      <c r="FL50" s="808">
        <f>SUM(FL9:FL49)</f>
        <v>0</v>
      </c>
      <c r="FM50" s="808">
        <v>0</v>
      </c>
      <c r="FN50" s="805">
        <f>SUM(FN9:FN49)</f>
        <v>1658.3699999999997</v>
      </c>
      <c r="FO50" s="807">
        <f>SUM(FO9:FO49)</f>
        <v>964.15000000000009</v>
      </c>
      <c r="FP50" s="808">
        <f>SUM(FP9:FP49)</f>
        <v>833.87000000000012</v>
      </c>
      <c r="FQ50" s="808">
        <f>SUM(FQ9:FQ49)</f>
        <v>8.9</v>
      </c>
      <c r="FR50" s="808">
        <v>0</v>
      </c>
      <c r="FS50" s="805">
        <f>SUM(FS9:FS49)</f>
        <v>1806.9199999999998</v>
      </c>
      <c r="FT50" s="807">
        <f>SUM(FT9:FT49)</f>
        <v>1076.5299999999997</v>
      </c>
      <c r="FU50" s="808">
        <f>SUM(FU9:FU49)</f>
        <v>889.6099999999999</v>
      </c>
      <c r="FV50" s="808">
        <f>SUM(FV9:FV49)</f>
        <v>0</v>
      </c>
      <c r="FW50" s="808">
        <v>0</v>
      </c>
      <c r="FX50" s="805">
        <f>SUM(FX9:FX49)</f>
        <v>1966.14</v>
      </c>
      <c r="FY50" s="807">
        <f>SUM(FY9:FY49)</f>
        <v>1010.4399999999999</v>
      </c>
      <c r="FZ50" s="808">
        <f>SUM(FZ9:FZ49)</f>
        <v>792.67</v>
      </c>
      <c r="GA50" s="808">
        <f>SUM(GA9:GA49)</f>
        <v>0</v>
      </c>
      <c r="GB50" s="808">
        <v>0</v>
      </c>
      <c r="GC50" s="805">
        <f>SUM(GC9:GC49)</f>
        <v>1803.11</v>
      </c>
      <c r="GD50" s="807">
        <f>SUM(GD9:GD49)</f>
        <v>890.7700000000001</v>
      </c>
      <c r="GE50" s="808">
        <f>SUM(GE9:GE49)</f>
        <v>646.64</v>
      </c>
      <c r="GF50" s="808">
        <f>SUM(GF9:GF49)</f>
        <v>8.01</v>
      </c>
      <c r="GG50" s="808">
        <v>0</v>
      </c>
      <c r="GH50" s="805">
        <f>SUM(GH9:GH49)</f>
        <v>1545.4199999999998</v>
      </c>
      <c r="GI50" s="455">
        <f>SUM(GI7:GI49)</f>
        <v>18427.773000000005</v>
      </c>
      <c r="GJ50" s="419">
        <f>SUM(GJ9:GJ49)</f>
        <v>861.71999999999991</v>
      </c>
      <c r="GK50" s="420">
        <f>SUM(GK9:GK49)</f>
        <v>465.78000000000003</v>
      </c>
      <c r="GL50" s="420">
        <f>SUM(GL9:GL49)</f>
        <v>0.71</v>
      </c>
      <c r="GM50" s="420">
        <v>0</v>
      </c>
      <c r="GN50" s="418">
        <f>SUM(GN9:GN49)</f>
        <v>1328.2100000000003</v>
      </c>
      <c r="GO50" s="419">
        <f>SUM(GO9:GO49)</f>
        <v>452.50999999999993</v>
      </c>
      <c r="GP50" s="420">
        <f>SUM(GP9:GP49)</f>
        <v>381.16999999999996</v>
      </c>
      <c r="GQ50" s="420">
        <f>SUM(GQ9:GQ49)</f>
        <v>18.36</v>
      </c>
      <c r="GR50" s="420">
        <v>0</v>
      </c>
      <c r="GS50" s="418">
        <f>SUM(GS9:GS49)</f>
        <v>852.04</v>
      </c>
      <c r="GT50" s="419">
        <f>SUM(GT9:GT49)</f>
        <v>351.46</v>
      </c>
      <c r="GU50" s="420">
        <f>SUM(GU9:GU49)</f>
        <v>256.66000000000003</v>
      </c>
      <c r="GV50" s="420">
        <f>SUM(GV9:GV49)</f>
        <v>47.850000000000009</v>
      </c>
      <c r="GW50" s="420">
        <v>0</v>
      </c>
      <c r="GX50" s="418">
        <f>SUM(GX9:GX49)</f>
        <v>655.97</v>
      </c>
      <c r="GY50" s="419">
        <f>SUM(GY9:GY49)</f>
        <v>620.55300000000011</v>
      </c>
      <c r="GZ50" s="420">
        <f>SUM(GZ9:GZ49)</f>
        <v>443.53999999999996</v>
      </c>
      <c r="HA50" s="420">
        <f>SUM(HA9:HA49)</f>
        <v>0</v>
      </c>
      <c r="HB50" s="420">
        <v>0</v>
      </c>
      <c r="HC50" s="418">
        <f>SUM(HC9:HC49)</f>
        <v>1064.0929999999998</v>
      </c>
      <c r="HD50" s="419">
        <f>SUM(HD9:HD49)</f>
        <v>731.4699999999998</v>
      </c>
      <c r="HE50" s="420">
        <f>SUM(HE9:HE49)</f>
        <v>522.7399999999999</v>
      </c>
      <c r="HF50" s="420">
        <f>SUM(HF9:HF49)</f>
        <v>98.420000000000016</v>
      </c>
      <c r="HG50" s="420">
        <v>0</v>
      </c>
      <c r="HH50" s="418">
        <f>SUM(HH9:HH49)</f>
        <v>1352.6299999999999</v>
      </c>
      <c r="HI50" s="419">
        <f>SUM(HI9:HI49)</f>
        <v>611.5</v>
      </c>
      <c r="HJ50" s="420">
        <f>SUM(HJ9:HJ49)</f>
        <v>575.41000000000008</v>
      </c>
      <c r="HK50" s="420">
        <f>SUM(HK9:HK49)</f>
        <v>99.050000000000011</v>
      </c>
      <c r="HL50" s="420">
        <v>0</v>
      </c>
      <c r="HM50" s="418">
        <f>SUM(HM9:HM49)</f>
        <v>1285.9600000000003</v>
      </c>
      <c r="HN50" s="419">
        <f>SUM(HN9:HN49)</f>
        <v>796.53000000000009</v>
      </c>
      <c r="HO50" s="420">
        <f>SUM(HO9:HO49)</f>
        <v>619.87000000000023</v>
      </c>
      <c r="HP50" s="420">
        <f>SUM(HP9:HP49)</f>
        <v>121.15</v>
      </c>
      <c r="HQ50" s="420">
        <v>0</v>
      </c>
      <c r="HR50" s="418">
        <f>SUM(HR9:HR49)</f>
        <v>1537.55</v>
      </c>
      <c r="HS50" s="419">
        <f>SUM(HS9:HS49)</f>
        <v>975.57000000000016</v>
      </c>
      <c r="HT50" s="420">
        <f>SUM(HT9:HT49)</f>
        <v>1089.8399999999995</v>
      </c>
      <c r="HU50" s="420">
        <f>SUM(HU9:HU49)</f>
        <v>71.41</v>
      </c>
      <c r="HV50" s="420">
        <v>0</v>
      </c>
      <c r="HW50" s="418">
        <f>SUM(HW9:HW49)</f>
        <v>2136.8200000000002</v>
      </c>
      <c r="HX50" s="419">
        <f>SUM(HX9:HX49)</f>
        <v>1613.68</v>
      </c>
      <c r="HY50" s="420">
        <f>SUM(HY9:HY49)</f>
        <v>693.88000000000011</v>
      </c>
      <c r="HZ50" s="420">
        <f>SUM(HZ9:HZ49)</f>
        <v>34.22</v>
      </c>
      <c r="IA50" s="420">
        <v>0</v>
      </c>
      <c r="IB50" s="418">
        <f>SUM(IB9:IB49)</f>
        <v>2341.7800000000002</v>
      </c>
      <c r="IC50" s="419">
        <f>SUM(IC9:IC49)</f>
        <v>1801.9199999999998</v>
      </c>
      <c r="ID50" s="420">
        <f>SUM(ID9:ID49)</f>
        <v>830.00000000000034</v>
      </c>
      <c r="IE50" s="420">
        <f>SUM(IE9:IE49)</f>
        <v>8.81</v>
      </c>
      <c r="IF50" s="420">
        <v>0</v>
      </c>
      <c r="IG50" s="418">
        <f>SUM(IG9:IG49)</f>
        <v>2640.7299999999991</v>
      </c>
      <c r="IH50" s="421">
        <f>SUM(IH9:IH49)</f>
        <v>1197.78</v>
      </c>
      <c r="II50" s="422">
        <f>SUM(II9:II49)</f>
        <v>945.81000000000006</v>
      </c>
      <c r="IJ50" s="422">
        <f>SUM(IJ9:IJ49)</f>
        <v>161.35</v>
      </c>
      <c r="IK50" s="422">
        <v>0</v>
      </c>
      <c r="IL50" s="418">
        <f>SUM(IL9:IL49)</f>
        <v>2304.94</v>
      </c>
      <c r="IM50" s="421">
        <f>SUM(IM9:IM49)</f>
        <v>1065.6100000000001</v>
      </c>
      <c r="IN50" s="422">
        <f>SUM(IN9:IN49)</f>
        <v>795.41000000000008</v>
      </c>
      <c r="IO50" s="437">
        <f>SUM(IO9:IO49)</f>
        <v>128.41</v>
      </c>
      <c r="IP50" s="424">
        <v>0</v>
      </c>
      <c r="IQ50" s="444">
        <f>SUM(IQ9:IQ49)</f>
        <v>1989.4299999999998</v>
      </c>
      <c r="IR50" s="444"/>
      <c r="IS50" s="455">
        <f>SUM(IS7:IS49)</f>
        <v>19490.153000000002</v>
      </c>
      <c r="IT50" s="451">
        <f>SUM(IT9:IT49)</f>
        <v>935.78</v>
      </c>
      <c r="IU50" s="424">
        <f>SUM(IU9:IU49)</f>
        <v>417.46000000000004</v>
      </c>
      <c r="IV50" s="424">
        <f>SUM(IV9:IV49)</f>
        <v>14.31</v>
      </c>
      <c r="IW50" s="424">
        <v>0</v>
      </c>
      <c r="IX50" s="425">
        <f>SUM(IX9:IX49)</f>
        <v>1367.55</v>
      </c>
      <c r="IY50" s="423">
        <f>SUM(IY9:IY49)</f>
        <v>1100.2199999999998</v>
      </c>
      <c r="IZ50" s="424">
        <f>SUM(IZ9:IZ49)</f>
        <v>422.92000000000013</v>
      </c>
      <c r="JA50" s="424">
        <f>SUM(JA9:JA49)</f>
        <v>4.78</v>
      </c>
      <c r="JB50" s="424">
        <v>0</v>
      </c>
      <c r="JC50" s="425">
        <f>SUM(JC9:JC49)</f>
        <v>1527.92</v>
      </c>
      <c r="JD50" s="423">
        <f>SUM(JD9:JD49)</f>
        <v>732.11999999999989</v>
      </c>
      <c r="JE50" s="424">
        <f>SUM(JE9:JE49)</f>
        <v>579.50000000000023</v>
      </c>
      <c r="JF50" s="424">
        <f>SUM(JF9:JF49)</f>
        <v>93.18</v>
      </c>
      <c r="JG50" s="424">
        <v>0</v>
      </c>
      <c r="JH50" s="425">
        <f>SUM(JH9:JH49)</f>
        <v>1404.8000000000004</v>
      </c>
      <c r="JI50" s="423">
        <f>SUM(JI9:JI49)</f>
        <v>1366.4300000000003</v>
      </c>
      <c r="JJ50" s="424">
        <f>SUM(JJ9:JJ49)</f>
        <v>562.80000000000007</v>
      </c>
      <c r="JK50" s="424">
        <f>SUM(JK9:JK49)</f>
        <v>0</v>
      </c>
      <c r="JL50" s="424">
        <v>0</v>
      </c>
      <c r="JM50" s="425">
        <f>SUM(JM9:JM49)</f>
        <v>1929.2300000000002</v>
      </c>
      <c r="JN50" s="423">
        <f>SUM(JN9:JN49)</f>
        <v>842.90000000000032</v>
      </c>
      <c r="JO50" s="424">
        <f>SUM(JO9:JO49)</f>
        <v>575.22000000000014</v>
      </c>
      <c r="JP50" s="424">
        <f>SUM(JP9:JP49)</f>
        <v>320.94</v>
      </c>
      <c r="JQ50" s="424">
        <v>0</v>
      </c>
      <c r="JR50" s="425">
        <f>SUM(JR9:JR49)</f>
        <v>1739.06</v>
      </c>
      <c r="JS50" s="423">
        <f>SUM(JS9:JS49)</f>
        <v>852.04999999999984</v>
      </c>
      <c r="JT50" s="424">
        <f>SUM(JT9:JT49)</f>
        <v>554.30999999999995</v>
      </c>
      <c r="JU50" s="424">
        <f>SUM(JU9:JU49)</f>
        <v>147.91999999999999</v>
      </c>
      <c r="JV50" s="424">
        <v>0</v>
      </c>
      <c r="JW50" s="425">
        <f>SUM(JW9:JW49)</f>
        <v>1554.2800000000004</v>
      </c>
      <c r="JX50" s="423">
        <f>SUM(JX9:JX49)</f>
        <v>781.5500000000003</v>
      </c>
      <c r="JY50" s="424">
        <f>SUM(JY9:JY49)</f>
        <v>658.49</v>
      </c>
      <c r="JZ50" s="424">
        <f>SUM(JZ9:JZ49)</f>
        <v>131.84</v>
      </c>
      <c r="KA50" s="424">
        <v>0</v>
      </c>
      <c r="KB50" s="425">
        <f>SUM(KB9:KB49)</f>
        <v>1571.88</v>
      </c>
      <c r="KC50" s="423">
        <f t="shared" ref="KC50:LA50" si="87">SUM(KC9:KC49)</f>
        <v>910.21</v>
      </c>
      <c r="KD50" s="424">
        <f t="shared" si="87"/>
        <v>693.61999999999989</v>
      </c>
      <c r="KE50" s="424">
        <f t="shared" si="87"/>
        <v>147.98999999999998</v>
      </c>
      <c r="KF50" s="424">
        <f t="shared" si="87"/>
        <v>0</v>
      </c>
      <c r="KG50" s="425">
        <f t="shared" si="87"/>
        <v>1751.82</v>
      </c>
      <c r="KH50" s="423">
        <f t="shared" si="87"/>
        <v>925.25000000000034</v>
      </c>
      <c r="KI50" s="424">
        <f t="shared" si="87"/>
        <v>872.35000000000025</v>
      </c>
      <c r="KJ50" s="424">
        <f t="shared" si="87"/>
        <v>143.48000000000002</v>
      </c>
      <c r="KK50" s="424">
        <f t="shared" si="87"/>
        <v>0</v>
      </c>
      <c r="KL50" s="425">
        <f t="shared" si="87"/>
        <v>1941.08</v>
      </c>
      <c r="KM50" s="423">
        <f t="shared" si="87"/>
        <v>1297.8999999999994</v>
      </c>
      <c r="KN50" s="424">
        <f t="shared" si="87"/>
        <v>1181.2299999999998</v>
      </c>
      <c r="KO50" s="424">
        <f t="shared" si="87"/>
        <v>0</v>
      </c>
      <c r="KP50" s="424">
        <f t="shared" si="87"/>
        <v>0</v>
      </c>
      <c r="KQ50" s="425">
        <f t="shared" si="87"/>
        <v>2479.1299999999992</v>
      </c>
      <c r="KR50" s="423">
        <f t="shared" si="87"/>
        <v>1354.1899999999998</v>
      </c>
      <c r="KS50" s="424">
        <f t="shared" si="87"/>
        <v>1065.27</v>
      </c>
      <c r="KT50" s="424">
        <f t="shared" si="87"/>
        <v>3.22</v>
      </c>
      <c r="KU50" s="424">
        <f t="shared" si="87"/>
        <v>0</v>
      </c>
      <c r="KV50" s="425">
        <f t="shared" si="87"/>
        <v>2422.6799999999998</v>
      </c>
      <c r="KW50" s="423">
        <f t="shared" si="87"/>
        <v>1311.06</v>
      </c>
      <c r="KX50" s="424">
        <f t="shared" si="87"/>
        <v>659.64999999999986</v>
      </c>
      <c r="KY50" s="424">
        <f t="shared" si="87"/>
        <v>0</v>
      </c>
      <c r="KZ50" s="424">
        <f t="shared" si="87"/>
        <v>0</v>
      </c>
      <c r="LA50" s="425">
        <f t="shared" si="87"/>
        <v>1970.7100000000003</v>
      </c>
      <c r="LB50" s="455">
        <f>IX50+JC50+JH50+JM50+JR50+JW50+KB50+KG50+KL50+KQ50+KV50+LA50</f>
        <v>21660.14</v>
      </c>
      <c r="LC50" s="423">
        <f t="shared" ref="LC50:LG50" si="88">SUM(LC9:LC49)</f>
        <v>962.08</v>
      </c>
      <c r="LD50" s="424">
        <f t="shared" si="88"/>
        <v>569.56999999999994</v>
      </c>
      <c r="LE50" s="424">
        <f t="shared" si="88"/>
        <v>136.71</v>
      </c>
      <c r="LF50" s="424">
        <f t="shared" si="88"/>
        <v>0</v>
      </c>
      <c r="LG50" s="425">
        <f t="shared" si="88"/>
        <v>1668.36</v>
      </c>
      <c r="LH50" s="423">
        <f>SUM(LH9:LH49)</f>
        <v>0</v>
      </c>
      <c r="LI50" s="424">
        <f>SUM(LI9:LI49)</f>
        <v>0</v>
      </c>
      <c r="LJ50" s="424">
        <f>SUM(LJ9:LJ49)</f>
        <v>0</v>
      </c>
      <c r="LK50" s="424">
        <v>0</v>
      </c>
      <c r="LL50" s="425">
        <f>SUM(LL9:LL49)</f>
        <v>0</v>
      </c>
      <c r="LM50" s="423">
        <f>SUM(LM9:LM49)</f>
        <v>0</v>
      </c>
      <c r="LN50" s="424">
        <f>SUM(LN9:LN49)</f>
        <v>0</v>
      </c>
      <c r="LO50" s="424">
        <f>SUM(LO9:LO49)</f>
        <v>0</v>
      </c>
      <c r="LP50" s="424">
        <v>0</v>
      </c>
      <c r="LQ50" s="425">
        <f>SUM(LQ9:LQ49)</f>
        <v>0</v>
      </c>
      <c r="LR50" s="423">
        <f>SUM(LR9:LR49)</f>
        <v>0</v>
      </c>
      <c r="LS50" s="424">
        <f>SUM(LS9:LS49)</f>
        <v>0</v>
      </c>
      <c r="LT50" s="424">
        <f>SUM(LT9:LT49)</f>
        <v>0</v>
      </c>
      <c r="LU50" s="424">
        <v>0</v>
      </c>
      <c r="LV50" s="425">
        <f>SUM(LV9:LV49)</f>
        <v>0</v>
      </c>
      <c r="LW50" s="423">
        <f>SUM(LW9:LW49)</f>
        <v>0</v>
      </c>
      <c r="LX50" s="424">
        <f>SUM(LX9:LX49)</f>
        <v>0</v>
      </c>
      <c r="LY50" s="424">
        <f>SUM(LY9:LY49)</f>
        <v>0</v>
      </c>
      <c r="LZ50" s="424">
        <v>0</v>
      </c>
      <c r="MA50" s="425">
        <f>SUM(MA9:MA49)</f>
        <v>0</v>
      </c>
      <c r="MB50" s="423">
        <f>SUM(MB9:MB49)</f>
        <v>0</v>
      </c>
      <c r="MC50" s="424">
        <f>SUM(MC9:MC49)</f>
        <v>0</v>
      </c>
      <c r="MD50" s="424">
        <f>SUM(MD9:MD49)</f>
        <v>0</v>
      </c>
      <c r="ME50" s="424">
        <v>0</v>
      </c>
      <c r="MF50" s="425">
        <f>SUM(MF9:MF49)</f>
        <v>0</v>
      </c>
      <c r="MG50" s="423">
        <f>SUM(MG9:MG49)</f>
        <v>0</v>
      </c>
      <c r="MH50" s="424">
        <f>SUM(MH9:MH49)</f>
        <v>0</v>
      </c>
      <c r="MI50" s="424">
        <f>SUM(MI9:MI49)</f>
        <v>0</v>
      </c>
      <c r="MJ50" s="424">
        <v>0</v>
      </c>
      <c r="MK50" s="425">
        <f>SUM(MK9:MK49)</f>
        <v>0</v>
      </c>
      <c r="ML50" s="423">
        <f t="shared" ref="ML50:NJ50" si="89">SUM(ML9:ML49)</f>
        <v>0</v>
      </c>
      <c r="MM50" s="424">
        <f t="shared" si="89"/>
        <v>0</v>
      </c>
      <c r="MN50" s="424">
        <f t="shared" si="89"/>
        <v>0</v>
      </c>
      <c r="MO50" s="424">
        <f t="shared" si="89"/>
        <v>0</v>
      </c>
      <c r="MP50" s="425">
        <f t="shared" si="89"/>
        <v>0</v>
      </c>
      <c r="MQ50" s="423">
        <f t="shared" si="89"/>
        <v>0</v>
      </c>
      <c r="MR50" s="424">
        <f t="shared" si="89"/>
        <v>0</v>
      </c>
      <c r="MS50" s="424">
        <f t="shared" si="89"/>
        <v>0</v>
      </c>
      <c r="MT50" s="424">
        <f t="shared" si="89"/>
        <v>0</v>
      </c>
      <c r="MU50" s="425">
        <f t="shared" si="89"/>
        <v>0</v>
      </c>
      <c r="MV50" s="423">
        <f t="shared" si="89"/>
        <v>0</v>
      </c>
      <c r="MW50" s="424">
        <f t="shared" si="89"/>
        <v>0</v>
      </c>
      <c r="MX50" s="424">
        <f t="shared" si="89"/>
        <v>0</v>
      </c>
      <c r="MY50" s="424">
        <f t="shared" si="89"/>
        <v>0</v>
      </c>
      <c r="MZ50" s="425">
        <f t="shared" si="89"/>
        <v>0</v>
      </c>
      <c r="NA50" s="423">
        <f t="shared" si="89"/>
        <v>0</v>
      </c>
      <c r="NB50" s="424">
        <f t="shared" si="89"/>
        <v>0</v>
      </c>
      <c r="NC50" s="424">
        <f t="shared" si="89"/>
        <v>0</v>
      </c>
      <c r="ND50" s="424">
        <f t="shared" si="89"/>
        <v>0</v>
      </c>
      <c r="NE50" s="425">
        <f t="shared" si="89"/>
        <v>0</v>
      </c>
      <c r="NF50" s="423">
        <f t="shared" si="89"/>
        <v>0</v>
      </c>
      <c r="NG50" s="424">
        <f t="shared" si="89"/>
        <v>0</v>
      </c>
      <c r="NH50" s="424">
        <f t="shared" si="89"/>
        <v>0</v>
      </c>
      <c r="NI50" s="424">
        <f t="shared" si="89"/>
        <v>0</v>
      </c>
      <c r="NJ50" s="425">
        <f t="shared" si="89"/>
        <v>0</v>
      </c>
      <c r="NK50" s="455">
        <f>LG50+LL50+LQ50+LV50+MA50+MF50+MK50+MP50+MU50+MZ50+NE50+NJ50</f>
        <v>1668.36</v>
      </c>
    </row>
    <row r="51" spans="1:375" ht="15.75" x14ac:dyDescent="0.25">
      <c r="A51" s="44"/>
      <c r="B51" s="50"/>
      <c r="C51" s="50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L51" s="426"/>
    </row>
    <row r="52" spans="1:375" x14ac:dyDescent="0.25">
      <c r="A52" s="427" t="s">
        <v>131</v>
      </c>
      <c r="B52" s="19"/>
      <c r="C52" s="19"/>
      <c r="D52" s="19"/>
      <c r="E52" s="19"/>
      <c r="F52" s="19"/>
      <c r="G52" s="19"/>
      <c r="H52" s="19"/>
      <c r="CB52" s="52"/>
      <c r="CC52" s="52"/>
      <c r="CD52" s="52"/>
      <c r="CE52" s="52"/>
      <c r="IL52" s="737">
        <f>SUM(IL9:IL20)</f>
        <v>1102.0349999999999</v>
      </c>
      <c r="LA52" s="19" t="s">
        <v>160</v>
      </c>
    </row>
    <row r="53" spans="1:375" x14ac:dyDescent="0.25">
      <c r="A53" s="51"/>
      <c r="IL53" s="737">
        <f>SUM(IL21:IL27)</f>
        <v>531.46499999999992</v>
      </c>
    </row>
    <row r="54" spans="1:375" x14ac:dyDescent="0.25">
      <c r="A54" s="51" t="s">
        <v>132</v>
      </c>
      <c r="IL54" s="737">
        <f>SUM(IL28:IL32)</f>
        <v>505.90999999999997</v>
      </c>
    </row>
    <row r="55" spans="1:375" x14ac:dyDescent="0.25">
      <c r="A55" s="51" t="s">
        <v>133</v>
      </c>
      <c r="IL55" s="737">
        <f>SUM(IL39:IL46)</f>
        <v>117.14999999999999</v>
      </c>
    </row>
    <row r="56" spans="1:375" x14ac:dyDescent="0.25">
      <c r="IL56" s="737">
        <f>SUM(IL48:IL49)</f>
        <v>48.38</v>
      </c>
    </row>
    <row r="115" spans="321:327" x14ac:dyDescent="0.25">
      <c r="LI115" s="20"/>
      <c r="LJ115" s="20"/>
      <c r="LK115" s="20"/>
      <c r="LL115" s="20"/>
      <c r="LM115" s="20"/>
      <c r="LN115" s="20"/>
      <c r="LO115" s="20"/>
    </row>
    <row r="130" spans="322:327" x14ac:dyDescent="0.25">
      <c r="LJ130" s="19">
        <v>962.07999999999981</v>
      </c>
      <c r="LK130" s="19">
        <v>0</v>
      </c>
      <c r="LL130" s="19">
        <v>549.42000000000007</v>
      </c>
      <c r="LM130" s="19">
        <v>0</v>
      </c>
      <c r="LN130" s="19">
        <v>136.71</v>
      </c>
      <c r="LO130" s="19">
        <v>0</v>
      </c>
    </row>
  </sheetData>
  <sortState xmlns:xlrd2="http://schemas.microsoft.com/office/spreadsheetml/2017/richdata2" ref="LI60:LO130">
    <sortCondition ref="LI60:LI130"/>
  </sortState>
  <mergeCells count="54">
    <mergeCell ref="BR6:DY6"/>
    <mergeCell ref="EA6:GH6"/>
    <mergeCell ref="GJ6:IQ6"/>
    <mergeCell ref="KC7:KF7"/>
    <mergeCell ref="KG7:KG8"/>
    <mergeCell ref="GT7:GW7"/>
    <mergeCell ref="GO7:GR7"/>
    <mergeCell ref="GJ7:GM7"/>
    <mergeCell ref="HN7:HQ7"/>
    <mergeCell ref="HI7:HL7"/>
    <mergeCell ref="HD7:HG7"/>
    <mergeCell ref="GY7:HB7"/>
    <mergeCell ref="HS7:HV7"/>
    <mergeCell ref="HX7:IA7"/>
    <mergeCell ref="IC7:IF7"/>
    <mergeCell ref="IH7:IK7"/>
    <mergeCell ref="KR7:KU7"/>
    <mergeCell ref="KV7:KV8"/>
    <mergeCell ref="JI7:JL7"/>
    <mergeCell ref="JN7:JQ7"/>
    <mergeCell ref="JS7:JV7"/>
    <mergeCell ref="JX7:KA7"/>
    <mergeCell ref="NF7:NI7"/>
    <mergeCell ref="LC7:LF7"/>
    <mergeCell ref="LG7:LG8"/>
    <mergeCell ref="D6:H6"/>
    <mergeCell ref="I6:BP6"/>
    <mergeCell ref="IT7:IW7"/>
    <mergeCell ref="IY7:JB7"/>
    <mergeCell ref="JD7:JG7"/>
    <mergeCell ref="IM7:IP7"/>
    <mergeCell ref="KW7:KZ7"/>
    <mergeCell ref="LA7:LA8"/>
    <mergeCell ref="IT6:LA6"/>
    <mergeCell ref="KH7:KK7"/>
    <mergeCell ref="KL7:KL8"/>
    <mergeCell ref="KM7:KP7"/>
    <mergeCell ref="KQ7:KQ8"/>
    <mergeCell ref="NJ7:NJ8"/>
    <mergeCell ref="LC6:NI6"/>
    <mergeCell ref="LH7:LK7"/>
    <mergeCell ref="LM7:LP7"/>
    <mergeCell ref="LR7:LU7"/>
    <mergeCell ref="LW7:LZ7"/>
    <mergeCell ref="MB7:ME7"/>
    <mergeCell ref="MG7:MJ7"/>
    <mergeCell ref="ML7:MO7"/>
    <mergeCell ref="MP7:MP8"/>
    <mergeCell ref="MQ7:MT7"/>
    <mergeCell ref="MU7:MU8"/>
    <mergeCell ref="MV7:MY7"/>
    <mergeCell ref="MZ7:MZ8"/>
    <mergeCell ref="NA7:ND7"/>
    <mergeCell ref="NE7:NE8"/>
  </mergeCells>
  <pageMargins left="0.15748031496062992" right="0.15748031496062992" top="0.55118110236220474" bottom="0.47244094488188981" header="0.31496062992125984" footer="0.15748031496062992"/>
  <pageSetup paperSize="9" scale="10" firstPageNumber="26" fitToHeight="0" orientation="landscape" useFirstPageNumber="1" r:id="rId1"/>
  <headerFooter>
    <oddFooter>&amp;C&amp;18Page 30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FC3E-FC02-4D2C-A42F-C35801773CA1}">
  <sheetPr>
    <tabColor theme="1"/>
    <pageSetUpPr fitToPage="1"/>
  </sheetPr>
  <dimension ref="A1:Z59"/>
  <sheetViews>
    <sheetView topLeftCell="B1" zoomScaleNormal="100" workbookViewId="0">
      <selection activeCell="W35" sqref="W35"/>
    </sheetView>
  </sheetViews>
  <sheetFormatPr defaultRowHeight="15" x14ac:dyDescent="0.25"/>
  <cols>
    <col min="1" max="1" width="0" hidden="1" customWidth="1"/>
    <col min="7" max="8" width="9.140625" style="8"/>
    <col min="14" max="14" width="9.140625" style="53"/>
    <col min="18" max="20" width="9.140625" style="53"/>
  </cols>
  <sheetData>
    <row r="1" spans="1:26" x14ac:dyDescent="0.25">
      <c r="A1">
        <v>1</v>
      </c>
      <c r="B1" s="7" t="s">
        <v>12</v>
      </c>
    </row>
    <row r="2" spans="1:26" x14ac:dyDescent="0.25">
      <c r="A2">
        <v>2</v>
      </c>
      <c r="B2" s="7" t="s">
        <v>13</v>
      </c>
    </row>
    <row r="3" spans="1:26" x14ac:dyDescent="0.25">
      <c r="A3">
        <v>3</v>
      </c>
      <c r="C3" s="7"/>
    </row>
    <row r="4" spans="1:26" s="11" customFormat="1" ht="30.75" customHeight="1" x14ac:dyDescent="0.25">
      <c r="A4">
        <v>4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10" t="s">
        <v>19</v>
      </c>
      <c r="H4" s="10" t="s">
        <v>20</v>
      </c>
      <c r="I4" s="9" t="s">
        <v>21</v>
      </c>
      <c r="J4" s="9" t="s">
        <v>22</v>
      </c>
      <c r="K4" s="9" t="s">
        <v>23</v>
      </c>
      <c r="L4" s="9" t="s">
        <v>24</v>
      </c>
      <c r="M4" s="9" t="s">
        <v>25</v>
      </c>
      <c r="N4" s="54" t="s">
        <v>26</v>
      </c>
      <c r="O4" s="9" t="s">
        <v>27</v>
      </c>
      <c r="P4" s="9" t="s">
        <v>28</v>
      </c>
      <c r="Q4" s="9" t="s">
        <v>29</v>
      </c>
      <c r="R4" s="54" t="s">
        <v>30</v>
      </c>
      <c r="S4" s="54" t="s">
        <v>31</v>
      </c>
      <c r="T4" s="54" t="s">
        <v>32</v>
      </c>
      <c r="U4" s="9" t="s">
        <v>33</v>
      </c>
    </row>
    <row r="5" spans="1:26" x14ac:dyDescent="0.25">
      <c r="A5">
        <v>5</v>
      </c>
      <c r="B5" s="1048" t="s">
        <v>34</v>
      </c>
      <c r="C5" s="1">
        <v>1</v>
      </c>
      <c r="D5" s="1" t="s">
        <v>35</v>
      </c>
      <c r="E5" s="1">
        <v>11</v>
      </c>
      <c r="F5" s="1">
        <v>20</v>
      </c>
      <c r="G5" s="12">
        <v>1.67</v>
      </c>
      <c r="H5" s="12">
        <v>53.2</v>
      </c>
      <c r="I5" s="13">
        <f>U5*5%</f>
        <v>53.2</v>
      </c>
      <c r="J5" s="13">
        <f>U5*4%</f>
        <v>42.56</v>
      </c>
      <c r="K5" s="13">
        <f>U5*7%</f>
        <v>74.48</v>
      </c>
      <c r="L5" s="13">
        <f>U5*7%</f>
        <v>74.48</v>
      </c>
      <c r="M5" s="13">
        <f>U5*7%</f>
        <v>74.48</v>
      </c>
      <c r="N5" s="55">
        <f>U5*7%</f>
        <v>74.48</v>
      </c>
      <c r="O5" s="13">
        <f>ROUND(U5*0.08,0)</f>
        <v>85</v>
      </c>
      <c r="P5" s="13">
        <f>ROUND(U5*0.1,0)</f>
        <v>106</v>
      </c>
      <c r="Q5" s="13">
        <f>ROUND(U5*0.1,0)</f>
        <v>106</v>
      </c>
      <c r="R5" s="55">
        <f>ROUND(U5*0.14,0)</f>
        <v>149</v>
      </c>
      <c r="S5" s="55">
        <f>ROUND(U5*0.11,0)</f>
        <v>117</v>
      </c>
      <c r="T5" s="55">
        <f>ROUND(U5*0.1,0)</f>
        <v>106</v>
      </c>
      <c r="U5" s="13">
        <f>ROUND(F5*H5,0)</f>
        <v>1064</v>
      </c>
      <c r="W5">
        <f t="shared" ref="W5:W16" si="0">VLOOKUP(C5,harvestinground,1,FALSE)</f>
        <v>1</v>
      </c>
      <c r="Y5">
        <v>2010</v>
      </c>
      <c r="Z5">
        <v>1064</v>
      </c>
    </row>
    <row r="6" spans="1:26" x14ac:dyDescent="0.25">
      <c r="A6">
        <v>6</v>
      </c>
      <c r="B6" s="1050"/>
      <c r="C6" s="1">
        <v>2</v>
      </c>
      <c r="D6" s="1" t="s">
        <v>35</v>
      </c>
      <c r="E6" s="1">
        <v>11</v>
      </c>
      <c r="F6" s="1">
        <v>20</v>
      </c>
      <c r="G6" s="12">
        <v>1.67</v>
      </c>
      <c r="H6" s="12">
        <v>60.4</v>
      </c>
      <c r="I6" s="13">
        <f t="shared" ref="I6:I16" si="1">U6*5%</f>
        <v>60.400000000000006</v>
      </c>
      <c r="J6" s="13">
        <f t="shared" ref="J6:J16" si="2">U6*4%</f>
        <v>48.32</v>
      </c>
      <c r="K6" s="13">
        <f t="shared" ref="K6:K16" si="3">U6*7%</f>
        <v>84.56</v>
      </c>
      <c r="L6" s="13">
        <f t="shared" ref="L6:L16" si="4">U6*7%</f>
        <v>84.56</v>
      </c>
      <c r="M6" s="13">
        <f t="shared" ref="M6:M16" si="5">U6*7%</f>
        <v>84.56</v>
      </c>
      <c r="N6" s="55">
        <f t="shared" ref="N6:N16" si="6">U6*7%</f>
        <v>84.56</v>
      </c>
      <c r="O6" s="13">
        <f t="shared" ref="O6:O16" si="7">ROUND(U6*0.08,0)</f>
        <v>97</v>
      </c>
      <c r="P6" s="13">
        <f t="shared" ref="P6:P16" si="8">ROUND(U6*0.1,0)</f>
        <v>121</v>
      </c>
      <c r="Q6" s="13">
        <f t="shared" ref="Q6:Q16" si="9">ROUND(U6*0.1,0)</f>
        <v>121</v>
      </c>
      <c r="R6" s="55">
        <f t="shared" ref="R6:R16" si="10">ROUND(U6*0.14,0)</f>
        <v>169</v>
      </c>
      <c r="S6" s="55">
        <f t="shared" ref="S6:S16" si="11">ROUND(U6*0.11,0)</f>
        <v>133</v>
      </c>
      <c r="T6" s="55">
        <f t="shared" ref="T6:T16" si="12">ROUND(U6*0.1,0)</f>
        <v>121</v>
      </c>
      <c r="U6" s="13">
        <f t="shared" ref="U6:U16" si="13">ROUND(F6*H6,0)</f>
        <v>1208</v>
      </c>
      <c r="W6">
        <f t="shared" si="0"/>
        <v>2</v>
      </c>
      <c r="Y6">
        <v>2010</v>
      </c>
      <c r="Z6">
        <v>1208</v>
      </c>
    </row>
    <row r="7" spans="1:26" x14ac:dyDescent="0.25">
      <c r="A7">
        <v>7</v>
      </c>
      <c r="B7" s="1050"/>
      <c r="C7" s="1">
        <v>3</v>
      </c>
      <c r="D7" s="1" t="s">
        <v>35</v>
      </c>
      <c r="E7" s="1">
        <v>11</v>
      </c>
      <c r="F7" s="1">
        <v>20</v>
      </c>
      <c r="G7" s="12">
        <v>1.67</v>
      </c>
      <c r="H7" s="12">
        <v>69.2</v>
      </c>
      <c r="I7" s="13">
        <f t="shared" si="1"/>
        <v>69.2</v>
      </c>
      <c r="J7" s="13">
        <f t="shared" si="2"/>
        <v>55.36</v>
      </c>
      <c r="K7" s="13">
        <f t="shared" si="3"/>
        <v>96.88000000000001</v>
      </c>
      <c r="L7" s="13">
        <f t="shared" si="4"/>
        <v>96.88000000000001</v>
      </c>
      <c r="M7" s="13">
        <f t="shared" si="5"/>
        <v>96.88000000000001</v>
      </c>
      <c r="N7" s="55">
        <f t="shared" si="6"/>
        <v>96.88000000000001</v>
      </c>
      <c r="O7" s="13">
        <f t="shared" si="7"/>
        <v>111</v>
      </c>
      <c r="P7" s="13">
        <f t="shared" si="8"/>
        <v>138</v>
      </c>
      <c r="Q7" s="13">
        <f t="shared" si="9"/>
        <v>138</v>
      </c>
      <c r="R7" s="55">
        <f t="shared" si="10"/>
        <v>194</v>
      </c>
      <c r="S7" s="55">
        <f t="shared" si="11"/>
        <v>152</v>
      </c>
      <c r="T7" s="55">
        <f t="shared" si="12"/>
        <v>138</v>
      </c>
      <c r="U7" s="13">
        <f t="shared" si="13"/>
        <v>1384</v>
      </c>
      <c r="W7">
        <f t="shared" si="0"/>
        <v>3</v>
      </c>
      <c r="Y7">
        <v>2010</v>
      </c>
      <c r="Z7">
        <v>1384</v>
      </c>
    </row>
    <row r="8" spans="1:26" x14ac:dyDescent="0.25">
      <c r="A8">
        <v>8</v>
      </c>
      <c r="B8" s="1050"/>
      <c r="C8" s="1">
        <v>4</v>
      </c>
      <c r="D8" s="1" t="s">
        <v>35</v>
      </c>
      <c r="E8" s="1">
        <v>11</v>
      </c>
      <c r="F8" s="1">
        <v>20</v>
      </c>
      <c r="G8" s="12">
        <v>1.67</v>
      </c>
      <c r="H8" s="12">
        <v>70.599999999999994</v>
      </c>
      <c r="I8" s="13">
        <f t="shared" si="1"/>
        <v>70.600000000000009</v>
      </c>
      <c r="J8" s="13">
        <f t="shared" si="2"/>
        <v>56.480000000000004</v>
      </c>
      <c r="K8" s="13">
        <f t="shared" si="3"/>
        <v>98.84</v>
      </c>
      <c r="L8" s="13">
        <f t="shared" si="4"/>
        <v>98.84</v>
      </c>
      <c r="M8" s="13">
        <f t="shared" si="5"/>
        <v>98.84</v>
      </c>
      <c r="N8" s="55">
        <f t="shared" si="6"/>
        <v>98.84</v>
      </c>
      <c r="O8" s="13">
        <f t="shared" si="7"/>
        <v>113</v>
      </c>
      <c r="P8" s="13">
        <f t="shared" si="8"/>
        <v>141</v>
      </c>
      <c r="Q8" s="13">
        <f t="shared" si="9"/>
        <v>141</v>
      </c>
      <c r="R8" s="55">
        <f t="shared" si="10"/>
        <v>198</v>
      </c>
      <c r="S8" s="55">
        <f t="shared" si="11"/>
        <v>155</v>
      </c>
      <c r="T8" s="55">
        <f t="shared" si="12"/>
        <v>141</v>
      </c>
      <c r="U8" s="13">
        <f t="shared" si="13"/>
        <v>1412</v>
      </c>
      <c r="W8">
        <f t="shared" si="0"/>
        <v>4</v>
      </c>
      <c r="Y8">
        <v>2010</v>
      </c>
      <c r="Z8">
        <v>1412</v>
      </c>
    </row>
    <row r="9" spans="1:26" x14ac:dyDescent="0.25">
      <c r="A9">
        <v>9</v>
      </c>
      <c r="B9" s="1050"/>
      <c r="C9" s="1">
        <v>5</v>
      </c>
      <c r="D9" s="1" t="s">
        <v>35</v>
      </c>
      <c r="E9" s="1">
        <v>11</v>
      </c>
      <c r="F9" s="1">
        <v>20</v>
      </c>
      <c r="G9" s="12">
        <v>1.67</v>
      </c>
      <c r="H9" s="12">
        <v>50.4</v>
      </c>
      <c r="I9" s="13">
        <f t="shared" si="1"/>
        <v>50.400000000000006</v>
      </c>
      <c r="J9" s="13">
        <f t="shared" si="2"/>
        <v>40.32</v>
      </c>
      <c r="K9" s="13">
        <f t="shared" si="3"/>
        <v>70.56</v>
      </c>
      <c r="L9" s="13">
        <f t="shared" si="4"/>
        <v>70.56</v>
      </c>
      <c r="M9" s="13">
        <f t="shared" si="5"/>
        <v>70.56</v>
      </c>
      <c r="N9" s="55">
        <f t="shared" si="6"/>
        <v>70.56</v>
      </c>
      <c r="O9" s="13">
        <f t="shared" si="7"/>
        <v>81</v>
      </c>
      <c r="P9" s="13">
        <f t="shared" si="8"/>
        <v>101</v>
      </c>
      <c r="Q9" s="13">
        <f t="shared" si="9"/>
        <v>101</v>
      </c>
      <c r="R9" s="55">
        <f t="shared" si="10"/>
        <v>141</v>
      </c>
      <c r="S9" s="55">
        <f t="shared" si="11"/>
        <v>111</v>
      </c>
      <c r="T9" s="55">
        <f t="shared" si="12"/>
        <v>101</v>
      </c>
      <c r="U9" s="13">
        <f t="shared" si="13"/>
        <v>1008</v>
      </c>
      <c r="W9">
        <f t="shared" si="0"/>
        <v>5</v>
      </c>
      <c r="Y9">
        <v>2010</v>
      </c>
      <c r="Z9">
        <v>1008</v>
      </c>
    </row>
    <row r="10" spans="1:26" x14ac:dyDescent="0.25">
      <c r="A10">
        <v>10</v>
      </c>
      <c r="B10" s="1050"/>
      <c r="C10" s="1">
        <v>6</v>
      </c>
      <c r="D10" s="1" t="s">
        <v>35</v>
      </c>
      <c r="E10" s="1">
        <v>11</v>
      </c>
      <c r="F10" s="1">
        <v>20</v>
      </c>
      <c r="G10" s="12">
        <v>1.67</v>
      </c>
      <c r="H10" s="12">
        <v>58.6</v>
      </c>
      <c r="I10" s="13">
        <f t="shared" si="1"/>
        <v>58.6</v>
      </c>
      <c r="J10" s="13">
        <f t="shared" si="2"/>
        <v>46.88</v>
      </c>
      <c r="K10" s="13">
        <f t="shared" si="3"/>
        <v>82.04</v>
      </c>
      <c r="L10" s="13">
        <f t="shared" si="4"/>
        <v>82.04</v>
      </c>
      <c r="M10" s="13">
        <f t="shared" si="5"/>
        <v>82.04</v>
      </c>
      <c r="N10" s="55">
        <f t="shared" si="6"/>
        <v>82.04</v>
      </c>
      <c r="O10" s="13">
        <f t="shared" si="7"/>
        <v>94</v>
      </c>
      <c r="P10" s="13">
        <f t="shared" si="8"/>
        <v>117</v>
      </c>
      <c r="Q10" s="13">
        <f t="shared" si="9"/>
        <v>117</v>
      </c>
      <c r="R10" s="55">
        <f t="shared" si="10"/>
        <v>164</v>
      </c>
      <c r="S10" s="55">
        <f t="shared" si="11"/>
        <v>129</v>
      </c>
      <c r="T10" s="55">
        <f t="shared" si="12"/>
        <v>117</v>
      </c>
      <c r="U10" s="13">
        <f t="shared" si="13"/>
        <v>1172</v>
      </c>
      <c r="W10">
        <f t="shared" si="0"/>
        <v>6</v>
      </c>
      <c r="X10" s="7"/>
      <c r="Y10">
        <v>2010</v>
      </c>
      <c r="Z10">
        <v>1172</v>
      </c>
    </row>
    <row r="11" spans="1:26" x14ac:dyDescent="0.25">
      <c r="A11">
        <v>11</v>
      </c>
      <c r="B11" s="1050"/>
      <c r="C11" s="1">
        <v>7</v>
      </c>
      <c r="D11" s="1" t="s">
        <v>35</v>
      </c>
      <c r="E11" s="1">
        <v>11</v>
      </c>
      <c r="F11" s="1">
        <v>17</v>
      </c>
      <c r="G11" s="12">
        <v>1.42</v>
      </c>
      <c r="H11" s="12">
        <v>23.6</v>
      </c>
      <c r="I11" s="13">
        <f t="shared" si="1"/>
        <v>20.05</v>
      </c>
      <c r="J11" s="13">
        <f t="shared" si="2"/>
        <v>16.04</v>
      </c>
      <c r="K11" s="13">
        <f t="shared" si="3"/>
        <v>28.070000000000004</v>
      </c>
      <c r="L11" s="13">
        <f t="shared" si="4"/>
        <v>28.070000000000004</v>
      </c>
      <c r="M11" s="13">
        <f t="shared" si="5"/>
        <v>28.070000000000004</v>
      </c>
      <c r="N11" s="55">
        <f t="shared" si="6"/>
        <v>28.070000000000004</v>
      </c>
      <c r="O11" s="13">
        <f t="shared" si="7"/>
        <v>32</v>
      </c>
      <c r="P11" s="13">
        <f t="shared" si="8"/>
        <v>40</v>
      </c>
      <c r="Q11" s="13">
        <f t="shared" si="9"/>
        <v>40</v>
      </c>
      <c r="R11" s="55">
        <f t="shared" si="10"/>
        <v>56</v>
      </c>
      <c r="S11" s="55">
        <f t="shared" si="11"/>
        <v>44</v>
      </c>
      <c r="T11" s="55">
        <f t="shared" si="12"/>
        <v>40</v>
      </c>
      <c r="U11" s="13">
        <f t="shared" si="13"/>
        <v>401</v>
      </c>
      <c r="W11">
        <f t="shared" si="0"/>
        <v>7</v>
      </c>
      <c r="X11" s="7"/>
      <c r="Y11">
        <v>2010</v>
      </c>
      <c r="Z11">
        <v>401</v>
      </c>
    </row>
    <row r="12" spans="1:26" x14ac:dyDescent="0.25">
      <c r="A12">
        <v>12</v>
      </c>
      <c r="B12" s="1050"/>
      <c r="C12" s="1">
        <v>8</v>
      </c>
      <c r="D12" s="1" t="s">
        <v>35</v>
      </c>
      <c r="E12" s="1">
        <v>11</v>
      </c>
      <c r="F12" s="1">
        <v>20</v>
      </c>
      <c r="G12" s="12">
        <v>1.67</v>
      </c>
      <c r="H12" s="12">
        <v>61.6</v>
      </c>
      <c r="I12" s="13">
        <f t="shared" si="1"/>
        <v>61.6</v>
      </c>
      <c r="J12" s="13">
        <f t="shared" si="2"/>
        <v>49.28</v>
      </c>
      <c r="K12" s="13">
        <f t="shared" si="3"/>
        <v>86.240000000000009</v>
      </c>
      <c r="L12" s="13">
        <f t="shared" si="4"/>
        <v>86.240000000000009</v>
      </c>
      <c r="M12" s="13">
        <f t="shared" si="5"/>
        <v>86.240000000000009</v>
      </c>
      <c r="N12" s="55">
        <f t="shared" si="6"/>
        <v>86.240000000000009</v>
      </c>
      <c r="O12" s="13">
        <f t="shared" si="7"/>
        <v>99</v>
      </c>
      <c r="P12" s="13">
        <f t="shared" si="8"/>
        <v>123</v>
      </c>
      <c r="Q12" s="13">
        <f t="shared" si="9"/>
        <v>123</v>
      </c>
      <c r="R12" s="55">
        <f t="shared" si="10"/>
        <v>172</v>
      </c>
      <c r="S12" s="55">
        <f t="shared" si="11"/>
        <v>136</v>
      </c>
      <c r="T12" s="55">
        <f t="shared" si="12"/>
        <v>123</v>
      </c>
      <c r="U12" s="13">
        <f t="shared" si="13"/>
        <v>1232</v>
      </c>
      <c r="W12">
        <f t="shared" si="0"/>
        <v>8</v>
      </c>
      <c r="Y12">
        <v>2010</v>
      </c>
      <c r="Z12">
        <v>1232</v>
      </c>
    </row>
    <row r="13" spans="1:26" x14ac:dyDescent="0.25">
      <c r="A13">
        <v>13</v>
      </c>
      <c r="B13" s="1050"/>
      <c r="C13" s="1">
        <v>9</v>
      </c>
      <c r="D13" s="1" t="s">
        <v>35</v>
      </c>
      <c r="E13" s="1">
        <v>11</v>
      </c>
      <c r="F13" s="1">
        <v>18</v>
      </c>
      <c r="G13" s="12">
        <v>1.5</v>
      </c>
      <c r="H13" s="12">
        <v>38.299999999999997</v>
      </c>
      <c r="I13" s="13">
        <f t="shared" si="1"/>
        <v>34.450000000000003</v>
      </c>
      <c r="J13" s="13">
        <f t="shared" si="2"/>
        <v>27.560000000000002</v>
      </c>
      <c r="K13" s="13">
        <f t="shared" si="3"/>
        <v>48.230000000000004</v>
      </c>
      <c r="L13" s="13">
        <f t="shared" si="4"/>
        <v>48.230000000000004</v>
      </c>
      <c r="M13" s="13">
        <f t="shared" si="5"/>
        <v>48.230000000000004</v>
      </c>
      <c r="N13" s="55">
        <f t="shared" si="6"/>
        <v>48.230000000000004</v>
      </c>
      <c r="O13" s="13">
        <f t="shared" si="7"/>
        <v>55</v>
      </c>
      <c r="P13" s="13">
        <f t="shared" si="8"/>
        <v>69</v>
      </c>
      <c r="Q13" s="13">
        <f t="shared" si="9"/>
        <v>69</v>
      </c>
      <c r="R13" s="55">
        <f>ROUND(U13*0.14,0)+1</f>
        <v>97</v>
      </c>
      <c r="S13" s="55">
        <f t="shared" si="11"/>
        <v>76</v>
      </c>
      <c r="T13" s="55">
        <f t="shared" si="12"/>
        <v>69</v>
      </c>
      <c r="U13" s="13">
        <f t="shared" si="13"/>
        <v>689</v>
      </c>
      <c r="W13">
        <f t="shared" si="0"/>
        <v>9</v>
      </c>
      <c r="Y13">
        <v>2010</v>
      </c>
      <c r="Z13">
        <v>689</v>
      </c>
    </row>
    <row r="14" spans="1:26" x14ac:dyDescent="0.25">
      <c r="A14">
        <v>14</v>
      </c>
      <c r="B14" s="1050"/>
      <c r="C14" s="1">
        <v>11</v>
      </c>
      <c r="D14" s="1" t="s">
        <v>36</v>
      </c>
      <c r="E14" s="1">
        <v>10.5</v>
      </c>
      <c r="F14" s="1">
        <v>19</v>
      </c>
      <c r="G14" s="12">
        <v>1.58</v>
      </c>
      <c r="H14" s="12">
        <v>44.5</v>
      </c>
      <c r="I14" s="13">
        <f t="shared" si="1"/>
        <v>42.300000000000004</v>
      </c>
      <c r="J14" s="13">
        <f t="shared" si="2"/>
        <v>33.840000000000003</v>
      </c>
      <c r="K14" s="13">
        <f t="shared" si="3"/>
        <v>59.220000000000006</v>
      </c>
      <c r="L14" s="13">
        <f t="shared" si="4"/>
        <v>59.220000000000006</v>
      </c>
      <c r="M14" s="13">
        <f t="shared" si="5"/>
        <v>59.220000000000006</v>
      </c>
      <c r="N14" s="55">
        <f t="shared" si="6"/>
        <v>59.220000000000006</v>
      </c>
      <c r="O14" s="13">
        <f t="shared" si="7"/>
        <v>68</v>
      </c>
      <c r="P14" s="13">
        <f t="shared" si="8"/>
        <v>85</v>
      </c>
      <c r="Q14" s="13">
        <f t="shared" si="9"/>
        <v>85</v>
      </c>
      <c r="R14" s="55">
        <f t="shared" si="10"/>
        <v>118</v>
      </c>
      <c r="S14" s="55">
        <f t="shared" si="11"/>
        <v>93</v>
      </c>
      <c r="T14" s="55">
        <f t="shared" si="12"/>
        <v>85</v>
      </c>
      <c r="U14" s="13">
        <f t="shared" si="13"/>
        <v>846</v>
      </c>
      <c r="W14">
        <f t="shared" si="0"/>
        <v>11</v>
      </c>
      <c r="Y14">
        <v>2010</v>
      </c>
      <c r="Z14">
        <v>846</v>
      </c>
    </row>
    <row r="15" spans="1:26" x14ac:dyDescent="0.25">
      <c r="A15">
        <v>15</v>
      </c>
      <c r="B15" s="1050"/>
      <c r="C15" s="1">
        <v>12</v>
      </c>
      <c r="D15" s="1" t="s">
        <v>37</v>
      </c>
      <c r="E15" s="1">
        <v>10</v>
      </c>
      <c r="F15" s="1">
        <v>20</v>
      </c>
      <c r="G15" s="12">
        <v>1.67</v>
      </c>
      <c r="H15" s="12">
        <v>71</v>
      </c>
      <c r="I15" s="13">
        <f t="shared" si="1"/>
        <v>71</v>
      </c>
      <c r="J15" s="13">
        <f t="shared" si="2"/>
        <v>56.800000000000004</v>
      </c>
      <c r="K15" s="13">
        <f t="shared" si="3"/>
        <v>99.4</v>
      </c>
      <c r="L15" s="13">
        <f t="shared" si="4"/>
        <v>99.4</v>
      </c>
      <c r="M15" s="13">
        <f t="shared" si="5"/>
        <v>99.4</v>
      </c>
      <c r="N15" s="55">
        <f t="shared" si="6"/>
        <v>99.4</v>
      </c>
      <c r="O15" s="13">
        <f t="shared" si="7"/>
        <v>114</v>
      </c>
      <c r="P15" s="13">
        <f t="shared" si="8"/>
        <v>142</v>
      </c>
      <c r="Q15" s="13">
        <f t="shared" si="9"/>
        <v>142</v>
      </c>
      <c r="R15" s="55">
        <f t="shared" si="10"/>
        <v>199</v>
      </c>
      <c r="S15" s="55">
        <f t="shared" si="11"/>
        <v>156</v>
      </c>
      <c r="T15" s="55">
        <f t="shared" si="12"/>
        <v>142</v>
      </c>
      <c r="U15" s="13">
        <f t="shared" si="13"/>
        <v>1420</v>
      </c>
      <c r="W15">
        <f t="shared" si="0"/>
        <v>12</v>
      </c>
      <c r="Y15">
        <v>2010</v>
      </c>
      <c r="Z15">
        <v>1420</v>
      </c>
    </row>
    <row r="16" spans="1:26" x14ac:dyDescent="0.25">
      <c r="A16">
        <v>16</v>
      </c>
      <c r="B16" s="1049"/>
      <c r="C16" s="1">
        <v>23</v>
      </c>
      <c r="D16" s="1" t="s">
        <v>37</v>
      </c>
      <c r="E16" s="1">
        <v>10</v>
      </c>
      <c r="F16" s="1">
        <v>21</v>
      </c>
      <c r="G16" s="12">
        <v>1.75</v>
      </c>
      <c r="H16" s="12">
        <v>14.6</v>
      </c>
      <c r="I16" s="13">
        <f t="shared" si="1"/>
        <v>15.350000000000001</v>
      </c>
      <c r="J16" s="13">
        <f t="shared" si="2"/>
        <v>12.280000000000001</v>
      </c>
      <c r="K16" s="13">
        <f t="shared" si="3"/>
        <v>21.490000000000002</v>
      </c>
      <c r="L16" s="13">
        <f t="shared" si="4"/>
        <v>21.490000000000002</v>
      </c>
      <c r="M16" s="13">
        <f t="shared" si="5"/>
        <v>21.490000000000002</v>
      </c>
      <c r="N16" s="55">
        <f t="shared" si="6"/>
        <v>21.490000000000002</v>
      </c>
      <c r="O16" s="13">
        <f t="shared" si="7"/>
        <v>25</v>
      </c>
      <c r="P16" s="13">
        <f t="shared" si="8"/>
        <v>31</v>
      </c>
      <c r="Q16" s="13">
        <f t="shared" si="9"/>
        <v>31</v>
      </c>
      <c r="R16" s="55">
        <f t="shared" si="10"/>
        <v>43</v>
      </c>
      <c r="S16" s="55">
        <f t="shared" si="11"/>
        <v>34</v>
      </c>
      <c r="T16" s="55">
        <f t="shared" si="12"/>
        <v>31</v>
      </c>
      <c r="U16" s="13">
        <f t="shared" si="13"/>
        <v>307</v>
      </c>
      <c r="W16">
        <f t="shared" si="0"/>
        <v>23</v>
      </c>
      <c r="Y16">
        <v>2010</v>
      </c>
      <c r="Z16">
        <v>307</v>
      </c>
    </row>
    <row r="17" spans="1:26" s="7" customFormat="1" x14ac:dyDescent="0.25">
      <c r="A17">
        <v>17</v>
      </c>
      <c r="G17" s="6"/>
      <c r="H17" s="6">
        <f>SUBTOTAL(9,H5:H16)</f>
        <v>616.00000000000011</v>
      </c>
      <c r="I17" s="14">
        <f>SUBTOTAL(9,I5:I16)</f>
        <v>607.15000000000009</v>
      </c>
      <c r="J17" s="14">
        <f t="shared" ref="J17:T17" si="14">SUBTOTAL(9,J5:J16)</f>
        <v>485.72</v>
      </c>
      <c r="K17" s="14">
        <f t="shared" si="14"/>
        <v>850.0100000000001</v>
      </c>
      <c r="L17" s="14">
        <f t="shared" si="14"/>
        <v>850.0100000000001</v>
      </c>
      <c r="M17" s="14">
        <f t="shared" si="14"/>
        <v>850.0100000000001</v>
      </c>
      <c r="N17" s="56">
        <f t="shared" si="14"/>
        <v>850.0100000000001</v>
      </c>
      <c r="O17" s="14">
        <f>SUBTOTAL(9,O5:O16)</f>
        <v>974</v>
      </c>
      <c r="P17" s="14">
        <f t="shared" si="14"/>
        <v>1214</v>
      </c>
      <c r="Q17" s="14">
        <f t="shared" si="14"/>
        <v>1214</v>
      </c>
      <c r="R17" s="56">
        <f t="shared" si="14"/>
        <v>1700</v>
      </c>
      <c r="S17" s="56">
        <f t="shared" si="14"/>
        <v>1336</v>
      </c>
      <c r="T17" s="56">
        <f t="shared" si="14"/>
        <v>1214</v>
      </c>
      <c r="U17" s="14">
        <f>SUBTOTAL(9,U5:U16)</f>
        <v>12143</v>
      </c>
    </row>
    <row r="18" spans="1:26" x14ac:dyDescent="0.25">
      <c r="A18">
        <v>18</v>
      </c>
    </row>
    <row r="19" spans="1:26" s="11" customFormat="1" ht="30.75" customHeight="1" x14ac:dyDescent="0.25">
      <c r="A19">
        <v>19</v>
      </c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  <c r="G19" s="10" t="s">
        <v>19</v>
      </c>
      <c r="H19" s="10" t="s">
        <v>20</v>
      </c>
      <c r="I19" s="9" t="s">
        <v>21</v>
      </c>
      <c r="J19" s="9" t="s">
        <v>22</v>
      </c>
      <c r="K19" s="9" t="s">
        <v>23</v>
      </c>
      <c r="L19" s="9" t="s">
        <v>24</v>
      </c>
      <c r="M19" s="9" t="s">
        <v>25</v>
      </c>
      <c r="N19" s="54" t="s">
        <v>26</v>
      </c>
      <c r="O19" s="9" t="s">
        <v>27</v>
      </c>
      <c r="P19" s="9" t="s">
        <v>28</v>
      </c>
      <c r="Q19" s="9" t="s">
        <v>29</v>
      </c>
      <c r="R19" s="54" t="s">
        <v>30</v>
      </c>
      <c r="S19" s="54" t="s">
        <v>31</v>
      </c>
      <c r="T19" s="54" t="s">
        <v>32</v>
      </c>
      <c r="U19" s="9" t="s">
        <v>33</v>
      </c>
    </row>
    <row r="20" spans="1:26" x14ac:dyDescent="0.25">
      <c r="A20">
        <v>20</v>
      </c>
      <c r="B20" s="1048" t="s">
        <v>38</v>
      </c>
      <c r="C20" s="1">
        <v>10</v>
      </c>
      <c r="D20" s="1" t="s">
        <v>39</v>
      </c>
      <c r="E20" s="1">
        <v>9.5</v>
      </c>
      <c r="F20" s="1">
        <v>19</v>
      </c>
      <c r="G20" s="12">
        <v>1.58</v>
      </c>
      <c r="H20" s="12">
        <v>19.100000000000001</v>
      </c>
      <c r="I20" s="13">
        <f t="shared" ref="I20:I26" si="15">U20*5%</f>
        <v>18.150000000000002</v>
      </c>
      <c r="J20" s="13">
        <f t="shared" ref="J20:J26" si="16">U20*4%</f>
        <v>14.52</v>
      </c>
      <c r="K20" s="13">
        <f t="shared" ref="K20:K26" si="17">U20*7%</f>
        <v>25.410000000000004</v>
      </c>
      <c r="L20" s="13">
        <f t="shared" ref="L20:L26" si="18">U20*7%</f>
        <v>25.410000000000004</v>
      </c>
      <c r="M20" s="13">
        <f t="shared" ref="M20:M26" si="19">U20*7%</f>
        <v>25.410000000000004</v>
      </c>
      <c r="N20" s="55">
        <f t="shared" ref="N20:N26" si="20">U20*7%</f>
        <v>25.410000000000004</v>
      </c>
      <c r="O20" s="13">
        <f t="shared" ref="O20:O26" si="21">ROUND(U20*0.08,0)</f>
        <v>29</v>
      </c>
      <c r="P20" s="13">
        <f t="shared" ref="P20:P26" si="22">ROUND(U20*0.1,0)</f>
        <v>36</v>
      </c>
      <c r="Q20" s="13">
        <f t="shared" ref="Q20:Q26" si="23">ROUND(U20*0.1,0)</f>
        <v>36</v>
      </c>
      <c r="R20" s="55">
        <f t="shared" ref="R20:R26" si="24">ROUND(U20*0.14,0)</f>
        <v>51</v>
      </c>
      <c r="S20" s="55">
        <f t="shared" ref="S20:S26" si="25">ROUND(U20*0.11,0)</f>
        <v>40</v>
      </c>
      <c r="T20" s="55">
        <f t="shared" ref="T20:T26" si="26">ROUND(U20*0.1,0)</f>
        <v>36</v>
      </c>
      <c r="U20" s="13">
        <f>ROUND(F20*H20,0)</f>
        <v>363</v>
      </c>
      <c r="W20">
        <f t="shared" ref="W20:W26" si="27">VLOOKUP(C20,harvestinground,1,FALSE)</f>
        <v>10</v>
      </c>
      <c r="Y20">
        <v>2011</v>
      </c>
      <c r="Z20">
        <v>363</v>
      </c>
    </row>
    <row r="21" spans="1:26" x14ac:dyDescent="0.25">
      <c r="A21">
        <v>21</v>
      </c>
      <c r="B21" s="1050"/>
      <c r="C21" s="1">
        <v>13</v>
      </c>
      <c r="D21" s="1" t="s">
        <v>37</v>
      </c>
      <c r="E21" s="1">
        <v>10</v>
      </c>
      <c r="F21" s="1">
        <v>22</v>
      </c>
      <c r="G21" s="12">
        <v>1.83</v>
      </c>
      <c r="H21" s="12">
        <v>60.8</v>
      </c>
      <c r="I21" s="13">
        <f t="shared" si="15"/>
        <v>66.900000000000006</v>
      </c>
      <c r="J21" s="13">
        <f t="shared" si="16"/>
        <v>53.52</v>
      </c>
      <c r="K21" s="13">
        <f t="shared" si="17"/>
        <v>93.660000000000011</v>
      </c>
      <c r="L21" s="13">
        <f t="shared" si="18"/>
        <v>93.660000000000011</v>
      </c>
      <c r="M21" s="13">
        <f t="shared" si="19"/>
        <v>93.660000000000011</v>
      </c>
      <c r="N21" s="55">
        <f t="shared" si="20"/>
        <v>93.660000000000011</v>
      </c>
      <c r="O21" s="13">
        <f t="shared" si="21"/>
        <v>107</v>
      </c>
      <c r="P21" s="13">
        <f t="shared" si="22"/>
        <v>134</v>
      </c>
      <c r="Q21" s="13">
        <f t="shared" si="23"/>
        <v>134</v>
      </c>
      <c r="R21" s="55">
        <f t="shared" si="24"/>
        <v>187</v>
      </c>
      <c r="S21" s="55">
        <f t="shared" si="25"/>
        <v>147</v>
      </c>
      <c r="T21" s="55">
        <f t="shared" si="26"/>
        <v>134</v>
      </c>
      <c r="U21" s="13">
        <f t="shared" ref="U21:U26" si="28">ROUND(F21*H21,0)</f>
        <v>1338</v>
      </c>
      <c r="W21">
        <f t="shared" si="27"/>
        <v>13</v>
      </c>
      <c r="Y21">
        <v>2011</v>
      </c>
      <c r="Z21">
        <v>1338</v>
      </c>
    </row>
    <row r="22" spans="1:26" x14ac:dyDescent="0.25">
      <c r="A22">
        <v>22</v>
      </c>
      <c r="B22" s="1050"/>
      <c r="C22" s="1">
        <v>14</v>
      </c>
      <c r="D22" s="1" t="s">
        <v>37</v>
      </c>
      <c r="E22" s="1">
        <v>10</v>
      </c>
      <c r="F22" s="1">
        <v>21</v>
      </c>
      <c r="G22" s="12">
        <v>1.75</v>
      </c>
      <c r="H22" s="12">
        <v>41.6</v>
      </c>
      <c r="I22" s="13">
        <f t="shared" si="15"/>
        <v>43.7</v>
      </c>
      <c r="J22" s="13">
        <f t="shared" si="16"/>
        <v>34.96</v>
      </c>
      <c r="K22" s="13">
        <f t="shared" si="17"/>
        <v>61.180000000000007</v>
      </c>
      <c r="L22" s="13">
        <f t="shared" si="18"/>
        <v>61.180000000000007</v>
      </c>
      <c r="M22" s="13">
        <f t="shared" si="19"/>
        <v>61.180000000000007</v>
      </c>
      <c r="N22" s="55">
        <f t="shared" si="20"/>
        <v>61.180000000000007</v>
      </c>
      <c r="O22" s="13">
        <f t="shared" si="21"/>
        <v>70</v>
      </c>
      <c r="P22" s="13">
        <f t="shared" si="22"/>
        <v>87</v>
      </c>
      <c r="Q22" s="13">
        <f t="shared" si="23"/>
        <v>87</v>
      </c>
      <c r="R22" s="55">
        <f t="shared" si="24"/>
        <v>122</v>
      </c>
      <c r="S22" s="55">
        <f t="shared" si="25"/>
        <v>96</v>
      </c>
      <c r="T22" s="55">
        <f t="shared" si="26"/>
        <v>87</v>
      </c>
      <c r="U22" s="13">
        <f t="shared" si="28"/>
        <v>874</v>
      </c>
      <c r="W22">
        <f t="shared" si="27"/>
        <v>14</v>
      </c>
      <c r="Y22">
        <v>2011</v>
      </c>
      <c r="Z22">
        <v>874</v>
      </c>
    </row>
    <row r="23" spans="1:26" x14ac:dyDescent="0.25">
      <c r="A23">
        <v>23</v>
      </c>
      <c r="B23" s="1050"/>
      <c r="C23" s="1">
        <v>15</v>
      </c>
      <c r="D23" s="1" t="s">
        <v>37</v>
      </c>
      <c r="E23" s="1">
        <v>10</v>
      </c>
      <c r="F23" s="1">
        <v>20</v>
      </c>
      <c r="G23" s="12">
        <v>1.67</v>
      </c>
      <c r="H23" s="12">
        <v>49.3</v>
      </c>
      <c r="I23" s="13">
        <f t="shared" si="15"/>
        <v>49.300000000000004</v>
      </c>
      <c r="J23" s="13">
        <f t="shared" si="16"/>
        <v>39.44</v>
      </c>
      <c r="K23" s="13">
        <f t="shared" si="17"/>
        <v>69.02000000000001</v>
      </c>
      <c r="L23" s="13">
        <f t="shared" si="18"/>
        <v>69.02000000000001</v>
      </c>
      <c r="M23" s="13">
        <f t="shared" si="19"/>
        <v>69.02000000000001</v>
      </c>
      <c r="N23" s="55">
        <f t="shared" si="20"/>
        <v>69.02000000000001</v>
      </c>
      <c r="O23" s="13">
        <f t="shared" si="21"/>
        <v>79</v>
      </c>
      <c r="P23" s="13">
        <f t="shared" si="22"/>
        <v>99</v>
      </c>
      <c r="Q23" s="13">
        <f t="shared" si="23"/>
        <v>99</v>
      </c>
      <c r="R23" s="55">
        <f t="shared" si="24"/>
        <v>138</v>
      </c>
      <c r="S23" s="55">
        <f t="shared" si="25"/>
        <v>108</v>
      </c>
      <c r="T23" s="55">
        <f t="shared" si="26"/>
        <v>99</v>
      </c>
      <c r="U23" s="13">
        <f t="shared" si="28"/>
        <v>986</v>
      </c>
      <c r="W23">
        <f t="shared" si="27"/>
        <v>15</v>
      </c>
      <c r="Y23">
        <v>2011</v>
      </c>
      <c r="Z23">
        <v>986</v>
      </c>
    </row>
    <row r="24" spans="1:26" x14ac:dyDescent="0.25">
      <c r="A24">
        <v>24</v>
      </c>
      <c r="B24" s="1050"/>
      <c r="C24" s="1">
        <v>16</v>
      </c>
      <c r="D24" s="1" t="s">
        <v>39</v>
      </c>
      <c r="E24" s="1">
        <v>9.5</v>
      </c>
      <c r="F24" s="1">
        <v>20</v>
      </c>
      <c r="G24" s="12">
        <v>1.67</v>
      </c>
      <c r="H24" s="12">
        <v>53.2</v>
      </c>
      <c r="I24" s="13">
        <f t="shared" si="15"/>
        <v>53.2</v>
      </c>
      <c r="J24" s="13">
        <f t="shared" si="16"/>
        <v>42.56</v>
      </c>
      <c r="K24" s="13">
        <f t="shared" si="17"/>
        <v>74.48</v>
      </c>
      <c r="L24" s="13">
        <f t="shared" si="18"/>
        <v>74.48</v>
      </c>
      <c r="M24" s="13">
        <f t="shared" si="19"/>
        <v>74.48</v>
      </c>
      <c r="N24" s="55">
        <f t="shared" si="20"/>
        <v>74.48</v>
      </c>
      <c r="O24" s="13">
        <f t="shared" si="21"/>
        <v>85</v>
      </c>
      <c r="P24" s="13">
        <f t="shared" si="22"/>
        <v>106</v>
      </c>
      <c r="Q24" s="13">
        <f t="shared" si="23"/>
        <v>106</v>
      </c>
      <c r="R24" s="55">
        <f t="shared" si="24"/>
        <v>149</v>
      </c>
      <c r="S24" s="55">
        <f t="shared" si="25"/>
        <v>117</v>
      </c>
      <c r="T24" s="55">
        <f t="shared" si="26"/>
        <v>106</v>
      </c>
      <c r="U24" s="13">
        <f t="shared" si="28"/>
        <v>1064</v>
      </c>
      <c r="W24">
        <f t="shared" si="27"/>
        <v>16</v>
      </c>
      <c r="Y24">
        <v>2011</v>
      </c>
      <c r="Z24">
        <v>1064</v>
      </c>
    </row>
    <row r="25" spans="1:26" x14ac:dyDescent="0.25">
      <c r="A25">
        <v>25</v>
      </c>
      <c r="B25" s="1050"/>
      <c r="C25" s="1">
        <v>17</v>
      </c>
      <c r="D25" s="1" t="s">
        <v>39</v>
      </c>
      <c r="E25" s="1">
        <v>9.5</v>
      </c>
      <c r="F25" s="1">
        <v>22</v>
      </c>
      <c r="G25" s="12">
        <v>1.83</v>
      </c>
      <c r="H25" s="12">
        <v>45.7</v>
      </c>
      <c r="I25" s="13">
        <f t="shared" si="15"/>
        <v>50.25</v>
      </c>
      <c r="J25" s="13">
        <f t="shared" si="16"/>
        <v>40.200000000000003</v>
      </c>
      <c r="K25" s="13">
        <f t="shared" si="17"/>
        <v>70.350000000000009</v>
      </c>
      <c r="L25" s="13">
        <f t="shared" si="18"/>
        <v>70.350000000000009</v>
      </c>
      <c r="M25" s="13">
        <f t="shared" si="19"/>
        <v>70.350000000000009</v>
      </c>
      <c r="N25" s="55">
        <f t="shared" si="20"/>
        <v>70.350000000000009</v>
      </c>
      <c r="O25" s="13">
        <f t="shared" si="21"/>
        <v>80</v>
      </c>
      <c r="P25" s="13">
        <f t="shared" si="22"/>
        <v>101</v>
      </c>
      <c r="Q25" s="13">
        <f t="shared" si="23"/>
        <v>101</v>
      </c>
      <c r="R25" s="55">
        <f t="shared" si="24"/>
        <v>141</v>
      </c>
      <c r="S25" s="55">
        <f t="shared" si="25"/>
        <v>111</v>
      </c>
      <c r="T25" s="55">
        <f t="shared" si="26"/>
        <v>101</v>
      </c>
      <c r="U25" s="13">
        <f t="shared" si="28"/>
        <v>1005</v>
      </c>
      <c r="W25">
        <f t="shared" si="27"/>
        <v>17</v>
      </c>
      <c r="Y25">
        <v>2011</v>
      </c>
      <c r="Z25">
        <v>1005</v>
      </c>
    </row>
    <row r="26" spans="1:26" x14ac:dyDescent="0.25">
      <c r="A26">
        <v>26</v>
      </c>
      <c r="B26" s="1049"/>
      <c r="C26" s="1">
        <v>18</v>
      </c>
      <c r="D26" s="1" t="s">
        <v>39</v>
      </c>
      <c r="E26" s="1">
        <v>9.5</v>
      </c>
      <c r="F26" s="1">
        <v>22</v>
      </c>
      <c r="G26" s="12">
        <v>1.83</v>
      </c>
      <c r="H26" s="12">
        <v>40.799999999999997</v>
      </c>
      <c r="I26" s="13">
        <f t="shared" si="15"/>
        <v>44.900000000000006</v>
      </c>
      <c r="J26" s="13">
        <f t="shared" si="16"/>
        <v>35.92</v>
      </c>
      <c r="K26" s="13">
        <f t="shared" si="17"/>
        <v>62.860000000000007</v>
      </c>
      <c r="L26" s="13">
        <f t="shared" si="18"/>
        <v>62.860000000000007</v>
      </c>
      <c r="M26" s="13">
        <f t="shared" si="19"/>
        <v>62.860000000000007</v>
      </c>
      <c r="N26" s="55">
        <f t="shared" si="20"/>
        <v>62.860000000000007</v>
      </c>
      <c r="O26" s="13">
        <f t="shared" si="21"/>
        <v>72</v>
      </c>
      <c r="P26" s="13">
        <f t="shared" si="22"/>
        <v>90</v>
      </c>
      <c r="Q26" s="13">
        <f t="shared" si="23"/>
        <v>90</v>
      </c>
      <c r="R26" s="55">
        <f t="shared" si="24"/>
        <v>126</v>
      </c>
      <c r="S26" s="55">
        <f t="shared" si="25"/>
        <v>99</v>
      </c>
      <c r="T26" s="55">
        <f t="shared" si="26"/>
        <v>90</v>
      </c>
      <c r="U26" s="13">
        <f t="shared" si="28"/>
        <v>898</v>
      </c>
      <c r="W26">
        <f t="shared" si="27"/>
        <v>18</v>
      </c>
      <c r="Y26">
        <v>2011</v>
      </c>
      <c r="Z26">
        <v>898</v>
      </c>
    </row>
    <row r="27" spans="1:26" s="7" customFormat="1" x14ac:dyDescent="0.25">
      <c r="A27">
        <v>27</v>
      </c>
      <c r="G27" s="6"/>
      <c r="H27" s="6">
        <f>SUBTOTAL(9,H20:H26)</f>
        <v>310.5</v>
      </c>
      <c r="I27" s="14">
        <f t="shared" ref="I27:T27" si="29">SUBTOTAL(9,I20:I26)</f>
        <v>326.39999999999998</v>
      </c>
      <c r="J27" s="14">
        <f t="shared" si="29"/>
        <v>261.12</v>
      </c>
      <c r="K27" s="14">
        <f t="shared" si="29"/>
        <v>456.96000000000009</v>
      </c>
      <c r="L27" s="14">
        <f t="shared" si="29"/>
        <v>456.96000000000009</v>
      </c>
      <c r="M27" s="14">
        <f t="shared" si="29"/>
        <v>456.96000000000009</v>
      </c>
      <c r="N27" s="56">
        <f t="shared" si="29"/>
        <v>456.96000000000009</v>
      </c>
      <c r="O27" s="14">
        <f t="shared" si="29"/>
        <v>522</v>
      </c>
      <c r="P27" s="14">
        <f t="shared" si="29"/>
        <v>653</v>
      </c>
      <c r="Q27" s="14">
        <f t="shared" si="29"/>
        <v>653</v>
      </c>
      <c r="R27" s="56">
        <f t="shared" si="29"/>
        <v>914</v>
      </c>
      <c r="S27" s="56">
        <f t="shared" si="29"/>
        <v>718</v>
      </c>
      <c r="T27" s="56">
        <f t="shared" si="29"/>
        <v>653</v>
      </c>
      <c r="U27" s="15">
        <f>SUBTOTAL(9,U20:U26)</f>
        <v>6528</v>
      </c>
    </row>
    <row r="28" spans="1:26" x14ac:dyDescent="0.25">
      <c r="A28">
        <v>28</v>
      </c>
    </row>
    <row r="29" spans="1:26" s="11" customFormat="1" ht="30.75" customHeight="1" x14ac:dyDescent="0.25">
      <c r="A29">
        <v>29</v>
      </c>
      <c r="B29" s="9" t="s">
        <v>14</v>
      </c>
      <c r="C29" s="9" t="s">
        <v>15</v>
      </c>
      <c r="D29" s="9" t="s">
        <v>16</v>
      </c>
      <c r="E29" s="9" t="s">
        <v>17</v>
      </c>
      <c r="F29" s="9" t="s">
        <v>18</v>
      </c>
      <c r="G29" s="10" t="s">
        <v>19</v>
      </c>
      <c r="H29" s="10" t="s">
        <v>20</v>
      </c>
      <c r="I29" s="9" t="s">
        <v>21</v>
      </c>
      <c r="J29" s="9" t="s">
        <v>22</v>
      </c>
      <c r="K29" s="9" t="s">
        <v>23</v>
      </c>
      <c r="L29" s="9" t="s">
        <v>24</v>
      </c>
      <c r="M29" s="9" t="s">
        <v>25</v>
      </c>
      <c r="N29" s="54" t="s">
        <v>26</v>
      </c>
      <c r="O29" s="9" t="s">
        <v>27</v>
      </c>
      <c r="P29" s="9" t="s">
        <v>28</v>
      </c>
      <c r="Q29" s="9" t="s">
        <v>29</v>
      </c>
      <c r="R29" s="54" t="s">
        <v>30</v>
      </c>
      <c r="S29" s="54" t="s">
        <v>31</v>
      </c>
      <c r="T29" s="54" t="s">
        <v>32</v>
      </c>
      <c r="U29" s="9" t="s">
        <v>33</v>
      </c>
    </row>
    <row r="30" spans="1:26" x14ac:dyDescent="0.25">
      <c r="A30">
        <v>30</v>
      </c>
      <c r="B30" s="1048" t="s">
        <v>40</v>
      </c>
      <c r="C30" s="1">
        <v>19</v>
      </c>
      <c r="D30" s="1" t="s">
        <v>39</v>
      </c>
      <c r="E30" s="1">
        <v>9.5</v>
      </c>
      <c r="F30" s="1">
        <v>21</v>
      </c>
      <c r="G30" s="12">
        <v>1.75</v>
      </c>
      <c r="H30" s="12">
        <v>50.6</v>
      </c>
      <c r="I30" s="13">
        <f>U30*5%</f>
        <v>53.150000000000006</v>
      </c>
      <c r="J30" s="13">
        <f>U30*4%</f>
        <v>42.52</v>
      </c>
      <c r="K30" s="13">
        <f>U30*7%</f>
        <v>74.410000000000011</v>
      </c>
      <c r="L30" s="13">
        <f>U30*7%</f>
        <v>74.410000000000011</v>
      </c>
      <c r="M30" s="13">
        <f>U30*7%</f>
        <v>74.410000000000011</v>
      </c>
      <c r="N30" s="55">
        <f>U30*7%</f>
        <v>74.410000000000011</v>
      </c>
      <c r="O30" s="13">
        <f>ROUND(U30*0.08,0)</f>
        <v>85</v>
      </c>
      <c r="P30" s="13">
        <f>ROUND(U30*0.1,0)</f>
        <v>106</v>
      </c>
      <c r="Q30" s="13">
        <f>ROUND(U30*0.1,0)</f>
        <v>106</v>
      </c>
      <c r="R30" s="55">
        <f>ROUND(U30*0.14,0)</f>
        <v>149</v>
      </c>
      <c r="S30" s="55">
        <f>ROUND(U30*0.11,0)</f>
        <v>117</v>
      </c>
      <c r="T30" s="55">
        <f>ROUND(U30*0.1,0)</f>
        <v>106</v>
      </c>
      <c r="U30" s="13">
        <f>ROUND(F30*H30,0)</f>
        <v>1063</v>
      </c>
      <c r="W30">
        <f>VLOOKUP(C30,harvestinground,1,FALSE)</f>
        <v>19</v>
      </c>
      <c r="Y30">
        <v>2012</v>
      </c>
      <c r="Z30">
        <v>1063</v>
      </c>
    </row>
    <row r="31" spans="1:26" x14ac:dyDescent="0.25">
      <c r="A31">
        <v>31</v>
      </c>
      <c r="B31" s="1050"/>
      <c r="C31" s="1">
        <v>20</v>
      </c>
      <c r="D31" s="1" t="s">
        <v>41</v>
      </c>
      <c r="E31" s="1">
        <v>9</v>
      </c>
      <c r="F31" s="1">
        <v>21</v>
      </c>
      <c r="G31" s="12">
        <v>1.75</v>
      </c>
      <c r="H31" s="12">
        <v>62.1</v>
      </c>
      <c r="I31" s="13">
        <f>U31*5%</f>
        <v>65.2</v>
      </c>
      <c r="J31" s="13">
        <f>U31*4%</f>
        <v>52.160000000000004</v>
      </c>
      <c r="K31" s="13">
        <f>U31*7%</f>
        <v>91.280000000000015</v>
      </c>
      <c r="L31" s="13">
        <f>U31*7%</f>
        <v>91.280000000000015</v>
      </c>
      <c r="M31" s="13">
        <f>U31*7%</f>
        <v>91.280000000000015</v>
      </c>
      <c r="N31" s="55">
        <f>U31*7%</f>
        <v>91.280000000000015</v>
      </c>
      <c r="O31" s="13">
        <f>ROUND(U31*0.08,0)</f>
        <v>104</v>
      </c>
      <c r="P31" s="13">
        <f>ROUND(U31*0.1,0)</f>
        <v>130</v>
      </c>
      <c r="Q31" s="13">
        <f>ROUND(U31*0.1,0)</f>
        <v>130</v>
      </c>
      <c r="R31" s="55">
        <f>ROUND(U31*0.14,0)</f>
        <v>183</v>
      </c>
      <c r="S31" s="55">
        <f>ROUND(U31*0.11,0)</f>
        <v>143</v>
      </c>
      <c r="T31" s="55">
        <f>ROUND(U31*0.1,0)</f>
        <v>130</v>
      </c>
      <c r="U31" s="13">
        <f>ROUND(F31*H31,0)</f>
        <v>1304</v>
      </c>
      <c r="W31">
        <f>VLOOKUP(C31,harvestinground,1,FALSE)</f>
        <v>20</v>
      </c>
      <c r="Y31">
        <v>2012</v>
      </c>
      <c r="Z31">
        <v>1304</v>
      </c>
    </row>
    <row r="32" spans="1:26" x14ac:dyDescent="0.25">
      <c r="A32">
        <v>32</v>
      </c>
      <c r="B32" s="1050"/>
      <c r="C32" s="1">
        <v>21</v>
      </c>
      <c r="D32" s="1" t="s">
        <v>41</v>
      </c>
      <c r="E32" s="1">
        <v>9</v>
      </c>
      <c r="F32" s="1">
        <v>23</v>
      </c>
      <c r="G32" s="12">
        <v>1.92</v>
      </c>
      <c r="H32" s="12">
        <v>72.2</v>
      </c>
      <c r="I32" s="13">
        <f>U32*5%</f>
        <v>83.050000000000011</v>
      </c>
      <c r="J32" s="13">
        <f>U32*4%</f>
        <v>66.44</v>
      </c>
      <c r="K32" s="13">
        <f>U32*7%</f>
        <v>116.27000000000001</v>
      </c>
      <c r="L32" s="13">
        <f>U32*7%</f>
        <v>116.27000000000001</v>
      </c>
      <c r="M32" s="13">
        <f>U32*7%</f>
        <v>116.27000000000001</v>
      </c>
      <c r="N32" s="55">
        <f>U32*7%</f>
        <v>116.27000000000001</v>
      </c>
      <c r="O32" s="13">
        <f>ROUND(U32*0.08,0)</f>
        <v>133</v>
      </c>
      <c r="P32" s="13">
        <f>ROUND(U32*0.1,0)</f>
        <v>166</v>
      </c>
      <c r="Q32" s="13">
        <f>ROUND(U32*0.1,0)</f>
        <v>166</v>
      </c>
      <c r="R32" s="55">
        <f>ROUND(U32*0.14,0)-1</f>
        <v>232</v>
      </c>
      <c r="S32" s="55">
        <f>ROUND(U32*0.11,0)</f>
        <v>183</v>
      </c>
      <c r="T32" s="55">
        <f>ROUND(U32*0.1,0)</f>
        <v>166</v>
      </c>
      <c r="U32" s="13">
        <f>ROUND(F32*H32,0)</f>
        <v>1661</v>
      </c>
      <c r="W32">
        <f>VLOOKUP(C32,harvestinground,1,FALSE)</f>
        <v>21</v>
      </c>
      <c r="Y32">
        <v>2012</v>
      </c>
      <c r="Z32">
        <v>1661</v>
      </c>
    </row>
    <row r="33" spans="1:26" x14ac:dyDescent="0.25">
      <c r="A33">
        <v>33</v>
      </c>
      <c r="B33" s="1050"/>
      <c r="C33" s="1">
        <v>22</v>
      </c>
      <c r="D33" s="1" t="s">
        <v>41</v>
      </c>
      <c r="E33" s="1">
        <v>9</v>
      </c>
      <c r="F33" s="1">
        <v>21</v>
      </c>
      <c r="G33" s="12">
        <v>1.75</v>
      </c>
      <c r="H33" s="12">
        <v>52.3</v>
      </c>
      <c r="I33" s="13">
        <f>U33*5%</f>
        <v>54.900000000000006</v>
      </c>
      <c r="J33" s="13">
        <f>U33*4%</f>
        <v>43.92</v>
      </c>
      <c r="K33" s="13">
        <f>U33*7%</f>
        <v>76.860000000000014</v>
      </c>
      <c r="L33" s="13">
        <f>U33*7%</f>
        <v>76.860000000000014</v>
      </c>
      <c r="M33" s="13">
        <f>U33*7%</f>
        <v>76.860000000000014</v>
      </c>
      <c r="N33" s="55">
        <f>U33*7%</f>
        <v>76.860000000000014</v>
      </c>
      <c r="O33" s="13">
        <f>ROUND(U33*0.08,0)</f>
        <v>88</v>
      </c>
      <c r="P33" s="13">
        <f>ROUND(U33*0.1,0)</f>
        <v>110</v>
      </c>
      <c r="Q33" s="13">
        <f>ROUND(U33*0.1,0)</f>
        <v>110</v>
      </c>
      <c r="R33" s="55">
        <f>ROUND(U33*0.14,0)</f>
        <v>154</v>
      </c>
      <c r="S33" s="55">
        <f>ROUND(U33*0.11,0)</f>
        <v>121</v>
      </c>
      <c r="T33" s="55">
        <f>ROUND(U33*0.1,0)</f>
        <v>110</v>
      </c>
      <c r="U33" s="13">
        <f>ROUND(F33*H33,0)</f>
        <v>1098</v>
      </c>
      <c r="W33">
        <f>VLOOKUP(C33,harvestinground,1,FALSE)</f>
        <v>22</v>
      </c>
      <c r="Y33">
        <v>2012</v>
      </c>
      <c r="Z33">
        <v>1098</v>
      </c>
    </row>
    <row r="34" spans="1:26" x14ac:dyDescent="0.25">
      <c r="A34">
        <v>34</v>
      </c>
      <c r="B34" s="1049"/>
      <c r="C34" s="1">
        <v>24</v>
      </c>
      <c r="D34" s="1" t="s">
        <v>41</v>
      </c>
      <c r="E34" s="1">
        <v>9</v>
      </c>
      <c r="F34" s="1">
        <v>18</v>
      </c>
      <c r="G34" s="12">
        <v>1.5</v>
      </c>
      <c r="H34" s="12">
        <v>44.7</v>
      </c>
      <c r="I34" s="13">
        <f>U34*5%</f>
        <v>40.25</v>
      </c>
      <c r="J34" s="13">
        <f>U34*4%</f>
        <v>32.200000000000003</v>
      </c>
      <c r="K34" s="13">
        <f>U34*7%</f>
        <v>56.350000000000009</v>
      </c>
      <c r="L34" s="13">
        <f>U34*7%</f>
        <v>56.350000000000009</v>
      </c>
      <c r="M34" s="13">
        <f>U34*7%</f>
        <v>56.350000000000009</v>
      </c>
      <c r="N34" s="55">
        <f>U34*7%</f>
        <v>56.350000000000009</v>
      </c>
      <c r="O34" s="13">
        <f>ROUND(U34*0.08,0)</f>
        <v>64</v>
      </c>
      <c r="P34" s="13">
        <f>ROUND(U34*0.1,0)</f>
        <v>81</v>
      </c>
      <c r="Q34" s="13">
        <f>ROUND(U34*0.1,0)</f>
        <v>81</v>
      </c>
      <c r="R34" s="55">
        <f>ROUND(U34*0.14,0)</f>
        <v>113</v>
      </c>
      <c r="S34" s="55">
        <f>ROUND(U34*0.11,0)</f>
        <v>89</v>
      </c>
      <c r="T34" s="55">
        <f>ROUND(U34*0.1,0)</f>
        <v>81</v>
      </c>
      <c r="U34" s="13">
        <f>ROUND(F34*H34,0)</f>
        <v>805</v>
      </c>
      <c r="W34">
        <f>VLOOKUP(C34,harvestinground,1,FALSE)</f>
        <v>24</v>
      </c>
      <c r="Y34">
        <v>2012</v>
      </c>
      <c r="Z34">
        <v>805</v>
      </c>
    </row>
    <row r="35" spans="1:26" s="7" customFormat="1" x14ac:dyDescent="0.25">
      <c r="A35">
        <v>35</v>
      </c>
      <c r="G35" s="6"/>
      <c r="H35" s="6">
        <f>SUBTOTAL(9,H30:H34)</f>
        <v>281.89999999999998</v>
      </c>
      <c r="I35" s="14">
        <f>SUBTOTAL(9,I30:I34)</f>
        <v>296.55000000000007</v>
      </c>
      <c r="J35" s="14">
        <f t="shared" ref="J35:T35" si="30">SUBTOTAL(9,J30:J34)</f>
        <v>237.24</v>
      </c>
      <c r="K35" s="14">
        <f t="shared" si="30"/>
        <v>415.17000000000007</v>
      </c>
      <c r="L35" s="14">
        <f t="shared" si="30"/>
        <v>415.17000000000007</v>
      </c>
      <c r="M35" s="14">
        <f t="shared" si="30"/>
        <v>415.17000000000007</v>
      </c>
      <c r="N35" s="56">
        <f t="shared" si="30"/>
        <v>415.17000000000007</v>
      </c>
      <c r="O35" s="14">
        <f t="shared" si="30"/>
        <v>474</v>
      </c>
      <c r="P35" s="14">
        <f t="shared" si="30"/>
        <v>593</v>
      </c>
      <c r="Q35" s="14">
        <f t="shared" si="30"/>
        <v>593</v>
      </c>
      <c r="R35" s="738">
        <f t="shared" si="30"/>
        <v>831</v>
      </c>
      <c r="S35" s="738">
        <f t="shared" si="30"/>
        <v>653</v>
      </c>
      <c r="T35" s="56">
        <f t="shared" si="30"/>
        <v>593</v>
      </c>
      <c r="U35" s="15">
        <f>SUBTOTAL(9,U27:U34)</f>
        <v>5931</v>
      </c>
    </row>
    <row r="36" spans="1:26" x14ac:dyDescent="0.25">
      <c r="A36">
        <v>36</v>
      </c>
    </row>
    <row r="37" spans="1:26" x14ac:dyDescent="0.25">
      <c r="A37">
        <v>37</v>
      </c>
    </row>
    <row r="38" spans="1:26" x14ac:dyDescent="0.25">
      <c r="A38">
        <v>38</v>
      </c>
    </row>
    <row r="39" spans="1:26" x14ac:dyDescent="0.25">
      <c r="A39">
        <v>39</v>
      </c>
    </row>
    <row r="40" spans="1:26" s="11" customFormat="1" ht="30.75" customHeight="1" x14ac:dyDescent="0.25">
      <c r="A40">
        <v>40</v>
      </c>
      <c r="B40" s="9" t="s">
        <v>14</v>
      </c>
      <c r="C40" s="9" t="s">
        <v>15</v>
      </c>
      <c r="D40" s="9" t="s">
        <v>16</v>
      </c>
      <c r="E40" s="9" t="s">
        <v>17</v>
      </c>
      <c r="F40" s="9" t="s">
        <v>18</v>
      </c>
      <c r="G40" s="10" t="s">
        <v>19</v>
      </c>
      <c r="H40" s="10" t="s">
        <v>20</v>
      </c>
      <c r="I40" s="9" t="s">
        <v>21</v>
      </c>
      <c r="J40" s="9" t="s">
        <v>22</v>
      </c>
      <c r="K40" s="9" t="s">
        <v>23</v>
      </c>
      <c r="L40" s="9" t="s">
        <v>24</v>
      </c>
      <c r="M40" s="9" t="s">
        <v>25</v>
      </c>
      <c r="N40" s="54" t="s">
        <v>26</v>
      </c>
      <c r="O40" s="9" t="s">
        <v>27</v>
      </c>
      <c r="P40" s="9" t="s">
        <v>28</v>
      </c>
      <c r="Q40" s="9" t="s">
        <v>29</v>
      </c>
      <c r="R40" s="54" t="s">
        <v>30</v>
      </c>
      <c r="S40" s="54" t="s">
        <v>31</v>
      </c>
      <c r="T40" s="54" t="s">
        <v>32</v>
      </c>
      <c r="U40" s="9" t="s">
        <v>33</v>
      </c>
    </row>
    <row r="41" spans="1:26" x14ac:dyDescent="0.25">
      <c r="A41">
        <v>41</v>
      </c>
      <c r="B41" s="1048" t="s">
        <v>42</v>
      </c>
      <c r="C41" s="4">
        <v>25</v>
      </c>
      <c r="D41" s="1" t="s">
        <v>43</v>
      </c>
      <c r="E41" s="1">
        <v>2</v>
      </c>
      <c r="F41" s="1">
        <v>4</v>
      </c>
      <c r="G41" s="12"/>
      <c r="H41" s="12">
        <v>33.51</v>
      </c>
      <c r="I41" s="13">
        <f>U41*5%</f>
        <v>6.7</v>
      </c>
      <c r="J41" s="13">
        <f>U41*4%</f>
        <v>5.36</v>
      </c>
      <c r="K41" s="13">
        <f>U41*7%</f>
        <v>9.3800000000000008</v>
      </c>
      <c r="L41" s="13">
        <f>U41*7%</f>
        <v>9.3800000000000008</v>
      </c>
      <c r="M41" s="13">
        <f>U41*7%</f>
        <v>9.3800000000000008</v>
      </c>
      <c r="N41" s="55">
        <f>U41*7%</f>
        <v>9.3800000000000008</v>
      </c>
      <c r="O41" s="13">
        <f>ROUND(U41*0.08,0)</f>
        <v>11</v>
      </c>
      <c r="P41" s="13">
        <f>ROUND(U41*0.1,0)</f>
        <v>13</v>
      </c>
      <c r="Q41" s="13">
        <f>ROUND(U41*0.1,0)</f>
        <v>13</v>
      </c>
      <c r="R41" s="55">
        <f>ROUND(U41*0.14,0)</f>
        <v>19</v>
      </c>
      <c r="S41" s="55">
        <f>ROUND(U41*0.11,0)</f>
        <v>15</v>
      </c>
      <c r="T41" s="55">
        <f>ROUND(U41*0.1,0)</f>
        <v>13</v>
      </c>
      <c r="U41" s="13">
        <f>ROUND(F41*H41,0)</f>
        <v>134</v>
      </c>
      <c r="W41">
        <f t="shared" ref="W41:W50" si="31">VLOOKUP(C41,harvestinground,1,FALSE)</f>
        <v>25</v>
      </c>
      <c r="Y41">
        <v>2015</v>
      </c>
      <c r="Z41">
        <v>134</v>
      </c>
    </row>
    <row r="42" spans="1:26" x14ac:dyDescent="0.25">
      <c r="A42">
        <v>42</v>
      </c>
      <c r="B42" s="1050"/>
      <c r="C42" s="4" t="s">
        <v>7</v>
      </c>
      <c r="D42" s="1" t="s">
        <v>43</v>
      </c>
      <c r="E42" s="1">
        <v>2</v>
      </c>
      <c r="F42" s="1">
        <v>6</v>
      </c>
      <c r="G42" s="12"/>
      <c r="H42" s="12">
        <v>18.059999999999999</v>
      </c>
      <c r="I42" s="13">
        <f>U42*5%</f>
        <v>5.4</v>
      </c>
      <c r="J42" s="13">
        <f>U42*4%</f>
        <v>4.32</v>
      </c>
      <c r="K42" s="13">
        <f>U42*7%</f>
        <v>7.5600000000000005</v>
      </c>
      <c r="L42" s="13">
        <f>U42*7%</f>
        <v>7.5600000000000005</v>
      </c>
      <c r="M42" s="13">
        <f>U42*7%</f>
        <v>7.5600000000000005</v>
      </c>
      <c r="N42" s="55">
        <f>U42*7%</f>
        <v>7.5600000000000005</v>
      </c>
      <c r="O42" s="13">
        <f>ROUND(U42*0.08,0)</f>
        <v>9</v>
      </c>
      <c r="P42" s="13">
        <f>ROUND(U42*0.1,0)</f>
        <v>11</v>
      </c>
      <c r="Q42" s="13">
        <f>ROUND(U42*0.1,0)</f>
        <v>11</v>
      </c>
      <c r="R42" s="55">
        <f>ROUND(U42*0.14,0)</f>
        <v>15</v>
      </c>
      <c r="S42" s="55">
        <f>ROUND(U42*0.11,0)</f>
        <v>12</v>
      </c>
      <c r="T42" s="55">
        <f>ROUND(U42*0.1,0)</f>
        <v>11</v>
      </c>
      <c r="U42" s="13">
        <f t="shared" ref="U42:U48" si="32">ROUND(F42*H42,0)</f>
        <v>108</v>
      </c>
      <c r="W42" t="str">
        <f t="shared" si="31"/>
        <v>26A</v>
      </c>
      <c r="Y42">
        <v>2015</v>
      </c>
      <c r="Z42">
        <v>108</v>
      </c>
    </row>
    <row r="43" spans="1:26" x14ac:dyDescent="0.25">
      <c r="A43">
        <v>43</v>
      </c>
      <c r="B43" s="1050"/>
      <c r="C43" s="17" t="s">
        <v>45</v>
      </c>
      <c r="D43" s="1047" t="s">
        <v>46</v>
      </c>
      <c r="E43" s="1047"/>
      <c r="F43" s="1047"/>
      <c r="G43" s="1047"/>
      <c r="H43" s="1047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W43" t="e">
        <f t="shared" si="31"/>
        <v>#N/A</v>
      </c>
      <c r="Y43">
        <v>2015</v>
      </c>
    </row>
    <row r="44" spans="1:26" x14ac:dyDescent="0.25">
      <c r="A44">
        <v>44</v>
      </c>
      <c r="B44" s="1050"/>
      <c r="C44" s="4">
        <v>27</v>
      </c>
      <c r="D44" s="1" t="s">
        <v>43</v>
      </c>
      <c r="E44" s="1">
        <v>2</v>
      </c>
      <c r="F44" s="1">
        <v>6</v>
      </c>
      <c r="G44" s="12"/>
      <c r="H44" s="12">
        <v>14.3</v>
      </c>
      <c r="I44" s="13">
        <f>U44*5%</f>
        <v>4.3</v>
      </c>
      <c r="J44" s="13">
        <f>U44*4%</f>
        <v>3.44</v>
      </c>
      <c r="K44" s="13">
        <f>U44*7%</f>
        <v>6.0200000000000005</v>
      </c>
      <c r="L44" s="13">
        <f>U44*7%</f>
        <v>6.0200000000000005</v>
      </c>
      <c r="M44" s="13">
        <f>U44*7%</f>
        <v>6.0200000000000005</v>
      </c>
      <c r="N44" s="55">
        <f>U44*7%</f>
        <v>6.0200000000000005</v>
      </c>
      <c r="O44" s="13">
        <f>ROUND(U44*0.08,0)</f>
        <v>7</v>
      </c>
      <c r="P44" s="13">
        <f>ROUND(U44*0.1,0)</f>
        <v>9</v>
      </c>
      <c r="Q44" s="13">
        <f>ROUND(U44*0.1,0)</f>
        <v>9</v>
      </c>
      <c r="R44" s="55">
        <f>ROUND(U44*0.14,0)</f>
        <v>12</v>
      </c>
      <c r="S44" s="55">
        <f>ROUND(U44*0.11,0)</f>
        <v>9</v>
      </c>
      <c r="T44" s="55">
        <f>ROUND(U44*0.1,0)</f>
        <v>9</v>
      </c>
      <c r="U44" s="13">
        <f t="shared" si="32"/>
        <v>86</v>
      </c>
      <c r="W44">
        <f t="shared" si="31"/>
        <v>27</v>
      </c>
      <c r="Y44">
        <v>2015</v>
      </c>
      <c r="Z44">
        <v>86</v>
      </c>
    </row>
    <row r="45" spans="1:26" x14ac:dyDescent="0.25">
      <c r="A45">
        <v>45</v>
      </c>
      <c r="B45" s="1050"/>
      <c r="C45" s="4">
        <v>28</v>
      </c>
      <c r="D45" s="1" t="s">
        <v>47</v>
      </c>
      <c r="E45" s="1">
        <v>3</v>
      </c>
      <c r="F45" s="1">
        <v>12</v>
      </c>
      <c r="G45" s="12"/>
      <c r="H45" s="12">
        <v>21.36</v>
      </c>
      <c r="I45" s="13">
        <f>U45*5%</f>
        <v>12.8</v>
      </c>
      <c r="J45" s="13">
        <f>U45*4%</f>
        <v>10.24</v>
      </c>
      <c r="K45" s="13">
        <f>U45*7%</f>
        <v>17.920000000000002</v>
      </c>
      <c r="L45" s="13">
        <f>U45*7%</f>
        <v>17.920000000000002</v>
      </c>
      <c r="M45" s="13">
        <f>U45*7%</f>
        <v>17.920000000000002</v>
      </c>
      <c r="N45" s="55">
        <f>U45*7%</f>
        <v>17.920000000000002</v>
      </c>
      <c r="O45" s="13">
        <f>ROUND(U45*0.08,0)+1</f>
        <v>21</v>
      </c>
      <c r="P45" s="13">
        <f>ROUND(U45*0.1,0)</f>
        <v>26</v>
      </c>
      <c r="Q45" s="13">
        <f>ROUND(U45*0.1,0)</f>
        <v>26</v>
      </c>
      <c r="R45" s="55">
        <f>ROUND(U45*0.14,0)</f>
        <v>36</v>
      </c>
      <c r="S45" s="55">
        <f>ROUND(U45*0.11,0)</f>
        <v>28</v>
      </c>
      <c r="T45" s="55">
        <f>ROUND(U45*0.1,0)</f>
        <v>26</v>
      </c>
      <c r="U45" s="13">
        <f t="shared" si="32"/>
        <v>256</v>
      </c>
      <c r="W45">
        <f t="shared" si="31"/>
        <v>28</v>
      </c>
      <c r="Y45">
        <v>2015</v>
      </c>
      <c r="Z45">
        <v>256</v>
      </c>
    </row>
    <row r="46" spans="1:26" x14ac:dyDescent="0.25">
      <c r="A46">
        <v>46</v>
      </c>
      <c r="B46" s="1050"/>
      <c r="C46" s="4">
        <v>29</v>
      </c>
      <c r="D46" s="1" t="s">
        <v>48</v>
      </c>
      <c r="E46" s="1" t="s">
        <v>49</v>
      </c>
      <c r="F46" s="1">
        <v>4</v>
      </c>
      <c r="G46" s="12"/>
      <c r="H46" s="12">
        <v>17.21</v>
      </c>
      <c r="I46" s="13">
        <f>U46*5%</f>
        <v>3.45</v>
      </c>
      <c r="J46" s="13">
        <f>U46*4%</f>
        <v>2.7600000000000002</v>
      </c>
      <c r="K46" s="13">
        <f>U46*7%</f>
        <v>4.83</v>
      </c>
      <c r="L46" s="13">
        <f>U46*7%</f>
        <v>4.83</v>
      </c>
      <c r="M46" s="13">
        <f>U46*7%</f>
        <v>4.83</v>
      </c>
      <c r="N46" s="55">
        <f>U46*7%</f>
        <v>4.83</v>
      </c>
      <c r="O46" s="13">
        <f>ROUND(U46*0.08,0)</f>
        <v>6</v>
      </c>
      <c r="P46" s="13">
        <f>ROUND(U46*0.1,0)</f>
        <v>7</v>
      </c>
      <c r="Q46" s="13">
        <f>ROUND(U46*0.1,0)</f>
        <v>7</v>
      </c>
      <c r="R46" s="55">
        <f>ROUND(U46*0.14,0)</f>
        <v>10</v>
      </c>
      <c r="S46" s="55">
        <f>ROUND(U46*0.11,0)</f>
        <v>8</v>
      </c>
      <c r="T46" s="55">
        <f>ROUND(U46*0.1,0)</f>
        <v>7</v>
      </c>
      <c r="U46" s="13">
        <f t="shared" si="32"/>
        <v>69</v>
      </c>
      <c r="W46">
        <f t="shared" si="31"/>
        <v>29</v>
      </c>
      <c r="Y46">
        <v>2015</v>
      </c>
      <c r="Z46">
        <v>69</v>
      </c>
    </row>
    <row r="47" spans="1:26" x14ac:dyDescent="0.25">
      <c r="A47">
        <v>47</v>
      </c>
      <c r="B47" s="1050"/>
      <c r="C47" s="4">
        <v>30</v>
      </c>
      <c r="D47" s="1" t="s">
        <v>48</v>
      </c>
      <c r="E47" s="1" t="s">
        <v>49</v>
      </c>
      <c r="F47" s="1">
        <v>4</v>
      </c>
      <c r="G47" s="12"/>
      <c r="H47" s="12">
        <v>18.38</v>
      </c>
      <c r="I47" s="13">
        <f>U47*5%</f>
        <v>3.7</v>
      </c>
      <c r="J47" s="13">
        <f>U47*4%</f>
        <v>2.96</v>
      </c>
      <c r="K47" s="13">
        <f>U47*7%</f>
        <v>5.1800000000000006</v>
      </c>
      <c r="L47" s="13">
        <f>U47*7%</f>
        <v>5.1800000000000006</v>
      </c>
      <c r="M47" s="13">
        <f>U47*7%</f>
        <v>5.1800000000000006</v>
      </c>
      <c r="N47" s="55">
        <f>U47*7%</f>
        <v>5.1800000000000006</v>
      </c>
      <c r="O47" s="13">
        <f>ROUND(U47*0.08,0)</f>
        <v>6</v>
      </c>
      <c r="P47" s="13">
        <f>ROUND(U47*0.1,0)</f>
        <v>7</v>
      </c>
      <c r="Q47" s="13">
        <f>ROUND(U47*0.1,0)</f>
        <v>7</v>
      </c>
      <c r="R47" s="55">
        <f>ROUND(U47*0.14,0)</f>
        <v>10</v>
      </c>
      <c r="S47" s="55">
        <f>ROUND(U47*0.11,0)</f>
        <v>8</v>
      </c>
      <c r="T47" s="55">
        <f>ROUND(U47*0.1,0)</f>
        <v>7</v>
      </c>
      <c r="U47" s="13">
        <f t="shared" si="32"/>
        <v>74</v>
      </c>
      <c r="W47">
        <f t="shared" si="31"/>
        <v>30</v>
      </c>
      <c r="Y47">
        <v>2015</v>
      </c>
      <c r="Z47">
        <v>74</v>
      </c>
    </row>
    <row r="48" spans="1:26" x14ac:dyDescent="0.25">
      <c r="A48">
        <v>48</v>
      </c>
      <c r="B48" s="1050"/>
      <c r="C48" s="4">
        <v>31</v>
      </c>
      <c r="D48" s="1" t="s">
        <v>48</v>
      </c>
      <c r="E48" s="1" t="s">
        <v>49</v>
      </c>
      <c r="F48" s="1">
        <v>4</v>
      </c>
      <c r="G48" s="12"/>
      <c r="H48" s="12">
        <v>29.08</v>
      </c>
      <c r="I48" s="13">
        <f>U48*5%</f>
        <v>5.8000000000000007</v>
      </c>
      <c r="J48" s="13">
        <f>U48*4%</f>
        <v>4.6399999999999997</v>
      </c>
      <c r="K48" s="13">
        <f>U48*7%</f>
        <v>8.120000000000001</v>
      </c>
      <c r="L48" s="13">
        <f>U48*7%</f>
        <v>8.120000000000001</v>
      </c>
      <c r="M48" s="13">
        <f>U48*7%</f>
        <v>8.120000000000001</v>
      </c>
      <c r="N48" s="55">
        <f>U48*7%</f>
        <v>8.120000000000001</v>
      </c>
      <c r="O48" s="13">
        <f>ROUND(U48*0.08,0)</f>
        <v>9</v>
      </c>
      <c r="P48" s="13">
        <f>ROUND(U48*0.1,0)</f>
        <v>12</v>
      </c>
      <c r="Q48" s="13">
        <f>ROUND(U48*0.1,0)</f>
        <v>12</v>
      </c>
      <c r="R48" s="55">
        <f>ROUND(U48*0.14,0)</f>
        <v>16</v>
      </c>
      <c r="S48" s="55">
        <f>ROUND(U48*0.11,0)</f>
        <v>13</v>
      </c>
      <c r="T48" s="55">
        <f>ROUND(U48*0.1,0)</f>
        <v>12</v>
      </c>
      <c r="U48" s="13">
        <f t="shared" si="32"/>
        <v>116</v>
      </c>
      <c r="W48">
        <f t="shared" si="31"/>
        <v>31</v>
      </c>
      <c r="Y48">
        <v>2015</v>
      </c>
      <c r="Z48">
        <v>116</v>
      </c>
    </row>
    <row r="49" spans="1:26" x14ac:dyDescent="0.25">
      <c r="A49">
        <v>49</v>
      </c>
      <c r="B49" s="1049"/>
      <c r="C49" s="17">
        <v>32</v>
      </c>
      <c r="D49" s="1047" t="s">
        <v>50</v>
      </c>
      <c r="E49" s="1047"/>
      <c r="F49" s="1047"/>
      <c r="G49" s="1047"/>
      <c r="H49" s="10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W49" t="e">
        <f t="shared" si="31"/>
        <v>#N/A</v>
      </c>
      <c r="Y49">
        <v>2015</v>
      </c>
    </row>
    <row r="50" spans="1:26" s="7" customFormat="1" x14ac:dyDescent="0.25">
      <c r="A50">
        <v>50</v>
      </c>
      <c r="G50" s="6"/>
      <c r="H50" s="6">
        <f>SUBTOTAL(9,H41:H49)</f>
        <v>151.89999999999998</v>
      </c>
      <c r="I50" s="14">
        <f>SUBTOTAL(9,I41:I49)</f>
        <v>42.150000000000006</v>
      </c>
      <c r="J50" s="14">
        <f t="shared" ref="J50:U50" si="33">SUBTOTAL(9,J41:J49)</f>
        <v>33.72</v>
      </c>
      <c r="K50" s="14">
        <f t="shared" si="33"/>
        <v>59.010000000000005</v>
      </c>
      <c r="L50" s="14">
        <f t="shared" si="33"/>
        <v>59.010000000000005</v>
      </c>
      <c r="M50" s="14">
        <f t="shared" si="33"/>
        <v>59.010000000000005</v>
      </c>
      <c r="N50" s="56">
        <f t="shared" si="33"/>
        <v>59.010000000000005</v>
      </c>
      <c r="O50" s="15">
        <f t="shared" si="33"/>
        <v>69</v>
      </c>
      <c r="P50" s="15">
        <f t="shared" si="33"/>
        <v>85</v>
      </c>
      <c r="Q50" s="15">
        <f t="shared" si="33"/>
        <v>85</v>
      </c>
      <c r="R50" s="56">
        <f t="shared" si="33"/>
        <v>118</v>
      </c>
      <c r="S50" s="56">
        <f t="shared" si="33"/>
        <v>93</v>
      </c>
      <c r="T50" s="738">
        <f t="shared" si="33"/>
        <v>85</v>
      </c>
      <c r="U50" s="14">
        <f t="shared" si="33"/>
        <v>843</v>
      </c>
      <c r="W50" t="e">
        <f t="shared" si="31"/>
        <v>#N/A</v>
      </c>
    </row>
    <row r="51" spans="1:26" x14ac:dyDescent="0.25">
      <c r="A51">
        <v>51</v>
      </c>
    </row>
    <row r="52" spans="1:26" x14ac:dyDescent="0.25">
      <c r="A52">
        <v>52</v>
      </c>
    </row>
    <row r="53" spans="1:26" s="11" customFormat="1" ht="30.75" customHeight="1" x14ac:dyDescent="0.25">
      <c r="A53">
        <v>53</v>
      </c>
      <c r="B53" s="9" t="s">
        <v>14</v>
      </c>
      <c r="C53" s="9" t="s">
        <v>15</v>
      </c>
      <c r="D53" s="9" t="s">
        <v>16</v>
      </c>
      <c r="E53" s="9" t="s">
        <v>17</v>
      </c>
      <c r="F53" s="9" t="s">
        <v>18</v>
      </c>
      <c r="G53" s="10" t="s">
        <v>19</v>
      </c>
      <c r="H53" s="10" t="s">
        <v>20</v>
      </c>
      <c r="I53" s="9" t="s">
        <v>21</v>
      </c>
      <c r="J53" s="9" t="s">
        <v>22</v>
      </c>
      <c r="K53" s="9" t="s">
        <v>23</v>
      </c>
      <c r="L53" s="9" t="s">
        <v>24</v>
      </c>
      <c r="M53" s="9" t="s">
        <v>25</v>
      </c>
      <c r="N53" s="54" t="s">
        <v>26</v>
      </c>
      <c r="O53" s="9" t="s">
        <v>27</v>
      </c>
      <c r="P53" s="9" t="s">
        <v>28</v>
      </c>
      <c r="Q53" s="9" t="s">
        <v>29</v>
      </c>
      <c r="R53" s="54" t="s">
        <v>30</v>
      </c>
      <c r="S53" s="54" t="s">
        <v>31</v>
      </c>
      <c r="T53" s="54" t="s">
        <v>32</v>
      </c>
      <c r="U53" s="9" t="s">
        <v>33</v>
      </c>
    </row>
    <row r="54" spans="1:26" x14ac:dyDescent="0.25">
      <c r="A54">
        <v>54</v>
      </c>
      <c r="B54" s="1048" t="s">
        <v>51</v>
      </c>
      <c r="C54" s="1">
        <v>33</v>
      </c>
      <c r="D54" s="1" t="s">
        <v>47</v>
      </c>
      <c r="E54" s="1">
        <v>3</v>
      </c>
      <c r="F54" s="1">
        <v>15</v>
      </c>
      <c r="G54" s="12">
        <v>1.25</v>
      </c>
      <c r="H54" s="12">
        <v>28.72</v>
      </c>
      <c r="I54" s="13">
        <f>U54*5%</f>
        <v>21.55</v>
      </c>
      <c r="J54" s="13">
        <f>U54*4%</f>
        <v>17.240000000000002</v>
      </c>
      <c r="K54" s="13">
        <f>U54*7%</f>
        <v>30.17</v>
      </c>
      <c r="L54" s="13">
        <f>U54*7%</f>
        <v>30.17</v>
      </c>
      <c r="M54" s="13">
        <f>U54*7%</f>
        <v>30.17</v>
      </c>
      <c r="N54" s="55">
        <f>U54*7%</f>
        <v>30.17</v>
      </c>
      <c r="O54" s="13">
        <f>ROUND(U54*0.08,0)</f>
        <v>34</v>
      </c>
      <c r="P54" s="13">
        <f>ROUND(U54*0.1,0)</f>
        <v>43</v>
      </c>
      <c r="Q54" s="13">
        <f>ROUND(U54*0.1,0)</f>
        <v>43</v>
      </c>
      <c r="R54" s="55">
        <f>ROUND(U54*0.14,0)</f>
        <v>60</v>
      </c>
      <c r="S54" s="55">
        <f>ROUND(U54*0.11,0)</f>
        <v>47</v>
      </c>
      <c r="T54" s="55">
        <f>ROUND(U54*0.1,0)</f>
        <v>43</v>
      </c>
      <c r="U54" s="13">
        <f>ROUND(F54*H54,0)</f>
        <v>431</v>
      </c>
      <c r="W54">
        <f>VLOOKUP(C54,harvestinground,1,FALSE)</f>
        <v>33</v>
      </c>
      <c r="Y54">
        <v>2016</v>
      </c>
      <c r="Z54">
        <v>431</v>
      </c>
    </row>
    <row r="55" spans="1:26" x14ac:dyDescent="0.25">
      <c r="A55">
        <v>55</v>
      </c>
      <c r="B55" s="1049"/>
      <c r="C55" s="1">
        <v>39</v>
      </c>
      <c r="D55" s="1" t="s">
        <v>52</v>
      </c>
      <c r="E55" s="1">
        <v>8</v>
      </c>
      <c r="F55" s="1">
        <v>6</v>
      </c>
      <c r="G55" s="12">
        <v>0.5</v>
      </c>
      <c r="H55" s="12">
        <v>4.5999999999999996</v>
      </c>
      <c r="I55" s="16">
        <f>U55*5%-1</f>
        <v>0.35000000000000009</v>
      </c>
      <c r="J55" s="16">
        <f>U55*4%-1</f>
        <v>8.0000000000000071E-2</v>
      </c>
      <c r="K55" s="13">
        <f>U55*7%</f>
        <v>1.8900000000000001</v>
      </c>
      <c r="L55" s="13">
        <f>U55*7%</f>
        <v>1.8900000000000001</v>
      </c>
      <c r="M55" s="13">
        <f>U55*7%</f>
        <v>1.8900000000000001</v>
      </c>
      <c r="N55" s="55">
        <f>U55*7%</f>
        <v>1.8900000000000001</v>
      </c>
      <c r="O55" s="13">
        <f>ROUND(U55*0.08,0)</f>
        <v>2</v>
      </c>
      <c r="P55" s="13">
        <f>ROUND(U55*0.1,0)</f>
        <v>3</v>
      </c>
      <c r="Q55" s="13">
        <f>ROUND(U55*0.1,0)</f>
        <v>3</v>
      </c>
      <c r="R55" s="55">
        <f>ROUND(U55*0.14,0)</f>
        <v>4</v>
      </c>
      <c r="S55" s="55">
        <f>ROUND(U55*0.11,0)</f>
        <v>3</v>
      </c>
      <c r="T55" s="55">
        <f>ROUND(U55*0.1,0)</f>
        <v>3</v>
      </c>
      <c r="U55" s="16">
        <f>ROUND(F55*H55,0)-1</f>
        <v>27</v>
      </c>
      <c r="W55">
        <f>VLOOKUP(C55,harvestinground,1,FALSE)</f>
        <v>39</v>
      </c>
      <c r="Y55">
        <v>2016</v>
      </c>
      <c r="Z55">
        <v>27</v>
      </c>
    </row>
    <row r="56" spans="1:26" s="7" customFormat="1" x14ac:dyDescent="0.25">
      <c r="G56" s="6"/>
      <c r="H56" s="6">
        <f>SUBTOTAL(9,H50:H55)</f>
        <v>33.32</v>
      </c>
      <c r="I56" s="14">
        <f>SUBTOTAL(9,I54:I55)</f>
        <v>21.900000000000002</v>
      </c>
      <c r="J56" s="14">
        <f t="shared" ref="J56:U56" si="34">SUBTOTAL(9,J54:J55)</f>
        <v>17.32</v>
      </c>
      <c r="K56" s="14">
        <f t="shared" si="34"/>
        <v>32.06</v>
      </c>
      <c r="L56" s="14">
        <f t="shared" si="34"/>
        <v>32.06</v>
      </c>
      <c r="M56" s="14">
        <f t="shared" si="34"/>
        <v>32.06</v>
      </c>
      <c r="N56" s="56">
        <f t="shared" si="34"/>
        <v>32.06</v>
      </c>
      <c r="O56" s="15">
        <f t="shared" si="34"/>
        <v>36</v>
      </c>
      <c r="P56" s="14">
        <f t="shared" si="34"/>
        <v>46</v>
      </c>
      <c r="Q56" s="14">
        <f t="shared" si="34"/>
        <v>46</v>
      </c>
      <c r="R56" s="56">
        <f t="shared" si="34"/>
        <v>64</v>
      </c>
      <c r="S56" s="56">
        <f t="shared" si="34"/>
        <v>50</v>
      </c>
      <c r="T56" s="56">
        <f t="shared" si="34"/>
        <v>46</v>
      </c>
      <c r="U56" s="14">
        <f t="shared" si="34"/>
        <v>458</v>
      </c>
    </row>
    <row r="59" spans="1:26" s="53" customFormat="1" x14ac:dyDescent="0.25">
      <c r="G59" s="68"/>
      <c r="H59" s="69">
        <f t="shared" ref="H59:O59" si="35">H17+H27+H35+H50+H56</f>
        <v>1393.6200000000001</v>
      </c>
      <c r="I59" s="69">
        <f t="shared" si="35"/>
        <v>1294.1500000000003</v>
      </c>
      <c r="J59" s="69">
        <f t="shared" si="35"/>
        <v>1035.1200000000001</v>
      </c>
      <c r="K59" s="69">
        <f t="shared" si="35"/>
        <v>1813.2100000000003</v>
      </c>
      <c r="L59" s="69">
        <f t="shared" si="35"/>
        <v>1813.2100000000003</v>
      </c>
      <c r="M59" s="69">
        <f t="shared" si="35"/>
        <v>1813.2100000000003</v>
      </c>
      <c r="N59" s="69">
        <f t="shared" si="35"/>
        <v>1813.2100000000003</v>
      </c>
      <c r="O59" s="533">
        <f t="shared" si="35"/>
        <v>2075</v>
      </c>
      <c r="P59" s="69">
        <f t="shared" ref="P59:U59" si="36">P17+P27+P35+P50+P56</f>
        <v>2591</v>
      </c>
      <c r="Q59" s="69">
        <f t="shared" si="36"/>
        <v>2591</v>
      </c>
      <c r="R59" s="69">
        <f>R17+R27+R35+R50+R56</f>
        <v>3627</v>
      </c>
      <c r="S59" s="69">
        <f t="shared" si="36"/>
        <v>2850</v>
      </c>
      <c r="T59" s="69">
        <f t="shared" si="36"/>
        <v>2591</v>
      </c>
      <c r="U59" s="69">
        <f t="shared" si="36"/>
        <v>25903</v>
      </c>
    </row>
  </sheetData>
  <mergeCells count="7">
    <mergeCell ref="D43:U43"/>
    <mergeCell ref="D49:U49"/>
    <mergeCell ref="B54:B55"/>
    <mergeCell ref="B5:B16"/>
    <mergeCell ref="B20:B26"/>
    <mergeCell ref="B30:B34"/>
    <mergeCell ref="B41:B49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E1E5-15B9-4B64-BAE5-5A10C43A1FEC}">
  <sheetPr>
    <tabColor theme="1"/>
  </sheetPr>
  <dimension ref="A1:AK107"/>
  <sheetViews>
    <sheetView view="pageBreakPreview" topLeftCell="B38" zoomScale="115" zoomScaleNormal="130" zoomScaleSheetLayoutView="115" workbookViewId="0">
      <selection activeCell="C5" sqref="C5:I5"/>
    </sheetView>
  </sheetViews>
  <sheetFormatPr defaultRowHeight="15" x14ac:dyDescent="0.25"/>
  <cols>
    <col min="1" max="1" width="0" hidden="1" customWidth="1"/>
    <col min="7" max="8" width="9.140625" style="8"/>
    <col min="14" max="14" width="9.140625" style="53"/>
    <col min="15" max="21" width="9.140625" customWidth="1"/>
    <col min="22" max="27" width="9.140625" hidden="1" customWidth="1"/>
    <col min="28" max="35" width="9.140625" style="57" hidden="1" customWidth="1"/>
    <col min="36" max="37" width="9.140625" style="57"/>
  </cols>
  <sheetData>
    <row r="1" spans="1:37" x14ac:dyDescent="0.25">
      <c r="A1" s="53">
        <v>1</v>
      </c>
      <c r="B1" s="831" t="s">
        <v>228</v>
      </c>
      <c r="C1" s="53"/>
      <c r="D1" s="53"/>
      <c r="E1" s="53"/>
      <c r="F1" s="53"/>
      <c r="G1" s="68"/>
      <c r="H1" s="68"/>
      <c r="I1" s="53"/>
      <c r="J1" s="53"/>
      <c r="K1" s="53"/>
      <c r="L1" s="53"/>
      <c r="M1" s="53"/>
      <c r="O1" s="53"/>
      <c r="P1" s="53"/>
      <c r="Q1" s="53"/>
      <c r="R1" s="53"/>
      <c r="S1" s="53"/>
      <c r="T1" s="53"/>
      <c r="U1" s="53"/>
    </row>
    <row r="2" spans="1:37" x14ac:dyDescent="0.25">
      <c r="A2" s="53">
        <v>2</v>
      </c>
      <c r="B2" s="831" t="s">
        <v>229</v>
      </c>
      <c r="C2" s="53"/>
      <c r="D2" s="53"/>
      <c r="E2" s="53"/>
      <c r="F2" s="53"/>
      <c r="G2" s="68"/>
      <c r="H2" s="68"/>
      <c r="I2" s="53"/>
      <c r="J2" s="53"/>
      <c r="K2" s="53"/>
      <c r="L2" s="53"/>
      <c r="M2" s="53"/>
      <c r="O2" s="53"/>
      <c r="P2" s="53"/>
      <c r="Q2" s="53"/>
      <c r="R2" s="53"/>
      <c r="S2" s="53"/>
      <c r="T2" s="53"/>
      <c r="U2" s="53"/>
    </row>
    <row r="3" spans="1:37" ht="15.75" thickBot="1" x14ac:dyDescent="0.3">
      <c r="A3" s="53">
        <v>3</v>
      </c>
      <c r="B3" s="831"/>
      <c r="C3" s="831"/>
      <c r="D3" s="53"/>
      <c r="E3" s="53"/>
      <c r="F3" s="53"/>
      <c r="G3" s="68"/>
      <c r="H3" s="68"/>
      <c r="I3" s="53"/>
      <c r="J3" s="53"/>
      <c r="K3" s="53"/>
      <c r="L3" s="53"/>
      <c r="M3" s="53"/>
      <c r="O3" s="53"/>
      <c r="P3" s="53"/>
      <c r="Q3" s="53"/>
      <c r="R3" s="53"/>
      <c r="S3" s="53"/>
      <c r="T3" s="53"/>
      <c r="U3" s="53"/>
    </row>
    <row r="4" spans="1:37" s="11" customFormat="1" ht="30.75" customHeight="1" x14ac:dyDescent="0.25">
      <c r="A4" s="53">
        <v>4</v>
      </c>
      <c r="B4" s="54" t="s">
        <v>14</v>
      </c>
      <c r="C4" s="54" t="s">
        <v>15</v>
      </c>
      <c r="D4" s="54" t="s">
        <v>16</v>
      </c>
      <c r="E4" s="54" t="s">
        <v>17</v>
      </c>
      <c r="F4" s="54" t="s">
        <v>18</v>
      </c>
      <c r="G4" s="832" t="s">
        <v>19</v>
      </c>
      <c r="H4" s="833" t="s">
        <v>20</v>
      </c>
      <c r="I4" s="834" t="s">
        <v>230</v>
      </c>
      <c r="J4" s="835" t="s">
        <v>231</v>
      </c>
      <c r="K4" s="835" t="s">
        <v>23</v>
      </c>
      <c r="L4" s="835" t="s">
        <v>232</v>
      </c>
      <c r="M4" s="835" t="s">
        <v>233</v>
      </c>
      <c r="N4" s="836" t="s">
        <v>26</v>
      </c>
      <c r="O4" s="834" t="s">
        <v>234</v>
      </c>
      <c r="P4" s="835" t="s">
        <v>235</v>
      </c>
      <c r="Q4" s="835" t="s">
        <v>236</v>
      </c>
      <c r="R4" s="835" t="s">
        <v>237</v>
      </c>
      <c r="S4" s="835" t="s">
        <v>238</v>
      </c>
      <c r="T4" s="836" t="s">
        <v>239</v>
      </c>
      <c r="U4" s="837" t="s">
        <v>33</v>
      </c>
      <c r="V4" s="838"/>
      <c r="W4" s="838"/>
      <c r="X4" s="838"/>
      <c r="Y4" s="838"/>
      <c r="Z4" s="838"/>
      <c r="AA4" s="838"/>
      <c r="AB4" s="839" t="s">
        <v>28</v>
      </c>
      <c r="AC4" s="839" t="s">
        <v>29</v>
      </c>
      <c r="AD4" s="839" t="s">
        <v>30</v>
      </c>
      <c r="AE4" s="839" t="s">
        <v>31</v>
      </c>
      <c r="AF4" s="839" t="s">
        <v>32</v>
      </c>
      <c r="AG4" s="839" t="s">
        <v>33</v>
      </c>
      <c r="AH4" s="839"/>
      <c r="AI4" s="839"/>
      <c r="AJ4" s="839"/>
      <c r="AK4" s="839"/>
    </row>
    <row r="5" spans="1:37" x14ac:dyDescent="0.25">
      <c r="A5" s="53">
        <v>5</v>
      </c>
      <c r="B5" s="1051" t="s">
        <v>34</v>
      </c>
      <c r="C5" s="840">
        <v>1</v>
      </c>
      <c r="D5" s="840" t="s">
        <v>240</v>
      </c>
      <c r="E5" s="840">
        <v>11</v>
      </c>
      <c r="F5" s="840">
        <v>20</v>
      </c>
      <c r="G5" s="841">
        <v>1.67</v>
      </c>
      <c r="H5" s="842">
        <v>53.09</v>
      </c>
      <c r="I5" s="843">
        <f>U5*6%+1</f>
        <v>61.54</v>
      </c>
      <c r="J5" s="844">
        <f>U5*7%+1</f>
        <v>71.63000000000001</v>
      </c>
      <c r="K5" s="844">
        <f>U5*7%-1</f>
        <v>69.63000000000001</v>
      </c>
      <c r="L5" s="844">
        <f>U5*9%-1</f>
        <v>89.81</v>
      </c>
      <c r="M5" s="844">
        <f>U5*8%-1</f>
        <v>79.72</v>
      </c>
      <c r="N5" s="845">
        <f>U5*7%-1</f>
        <v>69.63000000000001</v>
      </c>
      <c r="O5" s="843">
        <f t="shared" ref="O5:O11" si="0">U5*7%</f>
        <v>70.63000000000001</v>
      </c>
      <c r="P5" s="844">
        <f t="shared" ref="P5:P11" si="1">U5*8%</f>
        <v>80.72</v>
      </c>
      <c r="Q5" s="844">
        <f t="shared" ref="Q5:Q11" si="2">U5*9%</f>
        <v>90.81</v>
      </c>
      <c r="R5" s="844">
        <f>U5*12%+1</f>
        <v>122.08</v>
      </c>
      <c r="S5" s="844">
        <f>U5*11%</f>
        <v>110.99</v>
      </c>
      <c r="T5" s="845">
        <f t="shared" ref="T5:T11" si="3">U5*9%</f>
        <v>90.81</v>
      </c>
      <c r="U5" s="846">
        <v>1009</v>
      </c>
      <c r="V5" s="847"/>
      <c r="W5" s="847"/>
      <c r="X5" s="847"/>
      <c r="Y5" s="847"/>
      <c r="Z5" s="847"/>
      <c r="AA5" s="847"/>
      <c r="AB5" s="67">
        <f>AG5*10%</f>
        <v>100.9</v>
      </c>
      <c r="AC5" s="67">
        <f>AG5*10%</f>
        <v>100.9</v>
      </c>
      <c r="AD5" s="67">
        <f>AG5*14%+1</f>
        <v>142.26000000000002</v>
      </c>
      <c r="AE5" s="67">
        <f>AG5*11%</f>
        <v>110.99</v>
      </c>
      <c r="AF5" s="67">
        <f>AG5*10%</f>
        <v>100.9</v>
      </c>
      <c r="AG5" s="67">
        <v>1009</v>
      </c>
    </row>
    <row r="6" spans="1:37" x14ac:dyDescent="0.25">
      <c r="A6" s="53">
        <v>6</v>
      </c>
      <c r="B6" s="1053"/>
      <c r="C6" s="840">
        <v>2</v>
      </c>
      <c r="D6" s="840" t="s">
        <v>240</v>
      </c>
      <c r="E6" s="840">
        <v>11</v>
      </c>
      <c r="F6" s="840">
        <v>20</v>
      </c>
      <c r="G6" s="841">
        <v>1.67</v>
      </c>
      <c r="H6" s="842">
        <v>60.27</v>
      </c>
      <c r="I6" s="843">
        <f>U6*6%-1</f>
        <v>68.06</v>
      </c>
      <c r="J6" s="844">
        <f>U6*7%</f>
        <v>80.570000000000007</v>
      </c>
      <c r="K6" s="844">
        <f t="shared" ref="K6:K11" si="4">U6*7%</f>
        <v>80.570000000000007</v>
      </c>
      <c r="L6" s="844">
        <f t="shared" ref="L6:L11" si="5">U6*9%</f>
        <v>103.58999999999999</v>
      </c>
      <c r="M6" s="844">
        <f t="shared" ref="M6:M11" si="6">U6*8%</f>
        <v>92.08</v>
      </c>
      <c r="N6" s="845">
        <f t="shared" ref="N6:N11" si="7">U6*7%</f>
        <v>80.570000000000007</v>
      </c>
      <c r="O6" s="843">
        <f t="shared" si="0"/>
        <v>80.570000000000007</v>
      </c>
      <c r="P6" s="844">
        <f t="shared" si="1"/>
        <v>92.08</v>
      </c>
      <c r="Q6" s="844">
        <f t="shared" si="2"/>
        <v>103.58999999999999</v>
      </c>
      <c r="R6" s="844">
        <f t="shared" ref="R6:R11" si="8">U6*12%</f>
        <v>138.12</v>
      </c>
      <c r="S6" s="844">
        <f>U6*11%-1</f>
        <v>125.61</v>
      </c>
      <c r="T6" s="845">
        <f t="shared" si="3"/>
        <v>103.58999999999999</v>
      </c>
      <c r="U6" s="846">
        <v>1151</v>
      </c>
      <c r="V6" s="847"/>
      <c r="W6" s="847"/>
      <c r="X6" s="847"/>
      <c r="Y6" s="847"/>
      <c r="Z6" s="847"/>
      <c r="AA6" s="847"/>
      <c r="AB6" s="67">
        <f t="shared" ref="AB6:AB16" si="9">AG6*10%</f>
        <v>115.10000000000001</v>
      </c>
      <c r="AC6" s="67">
        <f t="shared" ref="AC6:AC16" si="10">AG6*10%</f>
        <v>115.10000000000001</v>
      </c>
      <c r="AD6" s="67">
        <f t="shared" ref="AD6:AD15" si="11">AG6*14%</f>
        <v>161.14000000000001</v>
      </c>
      <c r="AE6" s="67">
        <f>AG6*11%-1</f>
        <v>125.61</v>
      </c>
      <c r="AF6" s="67">
        <f t="shared" ref="AF6:AF16" si="12">AG6*10%</f>
        <v>115.10000000000001</v>
      </c>
      <c r="AG6" s="67">
        <v>1151</v>
      </c>
    </row>
    <row r="7" spans="1:37" x14ac:dyDescent="0.25">
      <c r="A7" s="53">
        <v>7</v>
      </c>
      <c r="B7" s="1053"/>
      <c r="C7" s="840">
        <v>3</v>
      </c>
      <c r="D7" s="840" t="s">
        <v>240</v>
      </c>
      <c r="E7" s="840">
        <v>11</v>
      </c>
      <c r="F7" s="840">
        <v>20</v>
      </c>
      <c r="G7" s="841">
        <v>1.67</v>
      </c>
      <c r="H7" s="842">
        <v>69.040000000000006</v>
      </c>
      <c r="I7" s="843">
        <f>U7*6%</f>
        <v>78.72</v>
      </c>
      <c r="J7" s="844">
        <f>U7*7%</f>
        <v>91.84</v>
      </c>
      <c r="K7" s="844">
        <f t="shared" si="4"/>
        <v>91.84</v>
      </c>
      <c r="L7" s="844">
        <f t="shared" si="5"/>
        <v>118.08</v>
      </c>
      <c r="M7" s="844">
        <f t="shared" si="6"/>
        <v>104.96000000000001</v>
      </c>
      <c r="N7" s="845">
        <f t="shared" si="7"/>
        <v>91.84</v>
      </c>
      <c r="O7" s="843">
        <f t="shared" si="0"/>
        <v>91.84</v>
      </c>
      <c r="P7" s="844">
        <f t="shared" si="1"/>
        <v>104.96000000000001</v>
      </c>
      <c r="Q7" s="844">
        <f t="shared" si="2"/>
        <v>118.08</v>
      </c>
      <c r="R7" s="844">
        <f t="shared" si="8"/>
        <v>157.44</v>
      </c>
      <c r="S7" s="844">
        <f>U7*11%</f>
        <v>144.32</v>
      </c>
      <c r="T7" s="845">
        <f t="shared" si="3"/>
        <v>118.08</v>
      </c>
      <c r="U7" s="846">
        <v>1312</v>
      </c>
      <c r="V7" s="847"/>
      <c r="W7" s="847"/>
      <c r="X7" s="847"/>
      <c r="Y7" s="847"/>
      <c r="Z7" s="847"/>
      <c r="AA7" s="847"/>
      <c r="AB7" s="67">
        <f t="shared" si="9"/>
        <v>131.20000000000002</v>
      </c>
      <c r="AC7" s="67">
        <f t="shared" si="10"/>
        <v>131.20000000000002</v>
      </c>
      <c r="AD7" s="67">
        <f t="shared" si="11"/>
        <v>183.68</v>
      </c>
      <c r="AE7" s="67">
        <f t="shared" ref="AE7:AE16" si="13">AG7*11%</f>
        <v>144.32</v>
      </c>
      <c r="AF7" s="67">
        <f t="shared" si="12"/>
        <v>131.20000000000002</v>
      </c>
      <c r="AG7" s="67">
        <v>1312</v>
      </c>
    </row>
    <row r="8" spans="1:37" x14ac:dyDescent="0.25">
      <c r="A8" s="53">
        <v>8</v>
      </c>
      <c r="B8" s="1053"/>
      <c r="C8" s="840">
        <v>4</v>
      </c>
      <c r="D8" s="840" t="s">
        <v>240</v>
      </c>
      <c r="E8" s="840">
        <v>11</v>
      </c>
      <c r="F8" s="840">
        <v>20</v>
      </c>
      <c r="G8" s="841">
        <v>1.67</v>
      </c>
      <c r="H8" s="842">
        <v>70.510000000000005</v>
      </c>
      <c r="I8" s="843">
        <f>U8*6%+1</f>
        <v>81.459999999999994</v>
      </c>
      <c r="J8" s="844">
        <f>U8*7%-1</f>
        <v>92.87</v>
      </c>
      <c r="K8" s="844">
        <f t="shared" si="4"/>
        <v>93.87</v>
      </c>
      <c r="L8" s="844">
        <f t="shared" si="5"/>
        <v>120.69</v>
      </c>
      <c r="M8" s="844">
        <f t="shared" si="6"/>
        <v>107.28</v>
      </c>
      <c r="N8" s="845">
        <f t="shared" si="7"/>
        <v>93.87</v>
      </c>
      <c r="O8" s="843">
        <f t="shared" si="0"/>
        <v>93.87</v>
      </c>
      <c r="P8" s="844">
        <f t="shared" si="1"/>
        <v>107.28</v>
      </c>
      <c r="Q8" s="844">
        <f t="shared" si="2"/>
        <v>120.69</v>
      </c>
      <c r="R8" s="844">
        <f t="shared" si="8"/>
        <v>160.91999999999999</v>
      </c>
      <c r="S8" s="844">
        <f>U8*11%-1</f>
        <v>146.51</v>
      </c>
      <c r="T8" s="845">
        <f t="shared" si="3"/>
        <v>120.69</v>
      </c>
      <c r="U8" s="846">
        <v>1341</v>
      </c>
      <c r="V8" s="847"/>
      <c r="W8" s="847"/>
      <c r="X8" s="847"/>
      <c r="Y8" s="847"/>
      <c r="Z8" s="847"/>
      <c r="AA8" s="847"/>
      <c r="AB8" s="67">
        <f t="shared" si="9"/>
        <v>134.1</v>
      </c>
      <c r="AC8" s="67">
        <f t="shared" si="10"/>
        <v>134.1</v>
      </c>
      <c r="AD8" s="67">
        <f t="shared" si="11"/>
        <v>187.74</v>
      </c>
      <c r="AE8" s="67">
        <f>AG8*11%-1</f>
        <v>146.51</v>
      </c>
      <c r="AF8" s="67">
        <f t="shared" si="12"/>
        <v>134.1</v>
      </c>
      <c r="AG8" s="67">
        <v>1341</v>
      </c>
    </row>
    <row r="9" spans="1:37" x14ac:dyDescent="0.25">
      <c r="A9" s="53">
        <v>9</v>
      </c>
      <c r="B9" s="1053"/>
      <c r="C9" s="840">
        <v>5</v>
      </c>
      <c r="D9" s="840" t="s">
        <v>240</v>
      </c>
      <c r="E9" s="840">
        <v>11</v>
      </c>
      <c r="F9" s="840">
        <v>20</v>
      </c>
      <c r="G9" s="841">
        <v>1.67</v>
      </c>
      <c r="H9" s="842">
        <v>50.4</v>
      </c>
      <c r="I9" s="843">
        <f>U9*6%</f>
        <v>57.48</v>
      </c>
      <c r="J9" s="844">
        <f>U9*7%</f>
        <v>67.06</v>
      </c>
      <c r="K9" s="844">
        <f t="shared" si="4"/>
        <v>67.06</v>
      </c>
      <c r="L9" s="844">
        <f t="shared" si="5"/>
        <v>86.22</v>
      </c>
      <c r="M9" s="844">
        <f t="shared" si="6"/>
        <v>76.64</v>
      </c>
      <c r="N9" s="845">
        <f t="shared" si="7"/>
        <v>67.06</v>
      </c>
      <c r="O9" s="843">
        <f t="shared" si="0"/>
        <v>67.06</v>
      </c>
      <c r="P9" s="844">
        <f t="shared" si="1"/>
        <v>76.64</v>
      </c>
      <c r="Q9" s="844">
        <f t="shared" si="2"/>
        <v>86.22</v>
      </c>
      <c r="R9" s="844">
        <f t="shared" si="8"/>
        <v>114.96</v>
      </c>
      <c r="S9" s="844">
        <f>U9*11%</f>
        <v>105.38</v>
      </c>
      <c r="T9" s="845">
        <f t="shared" si="3"/>
        <v>86.22</v>
      </c>
      <c r="U9" s="846">
        <v>958</v>
      </c>
      <c r="V9" s="847"/>
      <c r="W9" s="847"/>
      <c r="X9" s="847"/>
      <c r="Y9" s="847"/>
      <c r="Z9" s="847"/>
      <c r="AA9" s="847"/>
      <c r="AB9" s="67">
        <f t="shared" si="9"/>
        <v>95.800000000000011</v>
      </c>
      <c r="AC9" s="67">
        <f t="shared" si="10"/>
        <v>95.800000000000011</v>
      </c>
      <c r="AD9" s="67">
        <f t="shared" si="11"/>
        <v>134.12</v>
      </c>
      <c r="AE9" s="67">
        <f t="shared" si="13"/>
        <v>105.38</v>
      </c>
      <c r="AF9" s="67">
        <f t="shared" si="12"/>
        <v>95.800000000000011</v>
      </c>
      <c r="AG9" s="67">
        <v>958</v>
      </c>
    </row>
    <row r="10" spans="1:37" x14ac:dyDescent="0.25">
      <c r="A10" s="53">
        <v>10</v>
      </c>
      <c r="B10" s="1053"/>
      <c r="C10" s="840">
        <v>6</v>
      </c>
      <c r="D10" s="840" t="s">
        <v>240</v>
      </c>
      <c r="E10" s="840">
        <v>11</v>
      </c>
      <c r="F10" s="840">
        <v>20</v>
      </c>
      <c r="G10" s="841">
        <v>1.67</v>
      </c>
      <c r="H10" s="842">
        <v>58.6</v>
      </c>
      <c r="I10" s="843">
        <f>U10*6%</f>
        <v>66.84</v>
      </c>
      <c r="J10" s="844">
        <f>U10*7%</f>
        <v>77.98</v>
      </c>
      <c r="K10" s="844">
        <f t="shared" si="4"/>
        <v>77.98</v>
      </c>
      <c r="L10" s="844">
        <f t="shared" si="5"/>
        <v>100.25999999999999</v>
      </c>
      <c r="M10" s="844">
        <f t="shared" si="6"/>
        <v>89.12</v>
      </c>
      <c r="N10" s="845">
        <f t="shared" si="7"/>
        <v>77.98</v>
      </c>
      <c r="O10" s="843">
        <f t="shared" si="0"/>
        <v>77.98</v>
      </c>
      <c r="P10" s="844">
        <f t="shared" si="1"/>
        <v>89.12</v>
      </c>
      <c r="Q10" s="844">
        <f t="shared" si="2"/>
        <v>100.25999999999999</v>
      </c>
      <c r="R10" s="844">
        <f t="shared" si="8"/>
        <v>133.68</v>
      </c>
      <c r="S10" s="844">
        <f>U10*11%</f>
        <v>122.54</v>
      </c>
      <c r="T10" s="845">
        <f t="shared" si="3"/>
        <v>100.25999999999999</v>
      </c>
      <c r="U10" s="846">
        <v>1114</v>
      </c>
      <c r="V10" s="847"/>
      <c r="W10" s="847"/>
      <c r="X10" s="847"/>
      <c r="Y10" s="847"/>
      <c r="Z10" s="847"/>
      <c r="AA10" s="847"/>
      <c r="AB10" s="67">
        <f t="shared" si="9"/>
        <v>111.4</v>
      </c>
      <c r="AC10" s="67">
        <f t="shared" si="10"/>
        <v>111.4</v>
      </c>
      <c r="AD10" s="67">
        <f t="shared" si="11"/>
        <v>155.96</v>
      </c>
      <c r="AE10" s="67">
        <f t="shared" si="13"/>
        <v>122.54</v>
      </c>
      <c r="AF10" s="67">
        <f t="shared" si="12"/>
        <v>111.4</v>
      </c>
      <c r="AG10" s="67">
        <v>1114</v>
      </c>
    </row>
    <row r="11" spans="1:37" x14ac:dyDescent="0.25">
      <c r="A11" s="53">
        <v>11</v>
      </c>
      <c r="B11" s="1053"/>
      <c r="C11" s="840">
        <v>7</v>
      </c>
      <c r="D11" s="840" t="s">
        <v>240</v>
      </c>
      <c r="E11" s="840">
        <v>11</v>
      </c>
      <c r="F11" s="840">
        <v>17</v>
      </c>
      <c r="G11" s="841">
        <v>1.42</v>
      </c>
      <c r="H11" s="842">
        <v>23.6</v>
      </c>
      <c r="I11" s="843">
        <f>U11*6%</f>
        <v>22.86</v>
      </c>
      <c r="J11" s="844">
        <f>U11*7%</f>
        <v>26.67</v>
      </c>
      <c r="K11" s="844">
        <f t="shared" si="4"/>
        <v>26.67</v>
      </c>
      <c r="L11" s="844">
        <f t="shared" si="5"/>
        <v>34.29</v>
      </c>
      <c r="M11" s="844">
        <f t="shared" si="6"/>
        <v>30.48</v>
      </c>
      <c r="N11" s="845">
        <f t="shared" si="7"/>
        <v>26.67</v>
      </c>
      <c r="O11" s="843">
        <f t="shared" si="0"/>
        <v>26.67</v>
      </c>
      <c r="P11" s="844">
        <f t="shared" si="1"/>
        <v>30.48</v>
      </c>
      <c r="Q11" s="844">
        <f t="shared" si="2"/>
        <v>34.29</v>
      </c>
      <c r="R11" s="844">
        <f t="shared" si="8"/>
        <v>45.72</v>
      </c>
      <c r="S11" s="844">
        <f>U11*11%</f>
        <v>41.910000000000004</v>
      </c>
      <c r="T11" s="845">
        <f t="shared" si="3"/>
        <v>34.29</v>
      </c>
      <c r="U11" s="846">
        <v>381</v>
      </c>
      <c r="V11" s="847"/>
      <c r="W11" s="847"/>
      <c r="X11" s="847"/>
      <c r="Y11" s="847"/>
      <c r="Z11" s="847"/>
      <c r="AA11" s="847"/>
      <c r="AB11" s="67">
        <f t="shared" si="9"/>
        <v>38.1</v>
      </c>
      <c r="AC11" s="67">
        <f t="shared" si="10"/>
        <v>38.1</v>
      </c>
      <c r="AD11" s="67">
        <f t="shared" si="11"/>
        <v>53.34</v>
      </c>
      <c r="AE11" s="67">
        <f t="shared" si="13"/>
        <v>41.910000000000004</v>
      </c>
      <c r="AF11" s="67">
        <f t="shared" si="12"/>
        <v>38.1</v>
      </c>
      <c r="AG11" s="67">
        <v>381</v>
      </c>
    </row>
    <row r="12" spans="1:37" x14ac:dyDescent="0.25">
      <c r="A12" s="53">
        <v>12</v>
      </c>
      <c r="B12" s="1053"/>
      <c r="C12" s="840">
        <v>8</v>
      </c>
      <c r="D12" s="840" t="s">
        <v>240</v>
      </c>
      <c r="E12" s="840">
        <v>11</v>
      </c>
      <c r="F12" s="840">
        <v>20</v>
      </c>
      <c r="G12" s="841">
        <v>1.67</v>
      </c>
      <c r="H12" s="842">
        <v>61.6</v>
      </c>
      <c r="I12" s="843">
        <f>U12*6%+1</f>
        <v>70.3</v>
      </c>
      <c r="J12" s="844">
        <f>U12*7%+1</f>
        <v>81.850000000000009</v>
      </c>
      <c r="K12" s="844">
        <f>U12*7%-3</f>
        <v>77.850000000000009</v>
      </c>
      <c r="L12" s="844">
        <f>U12*9%-3</f>
        <v>100.95</v>
      </c>
      <c r="M12" s="844">
        <f>U12*8%-3</f>
        <v>89.4</v>
      </c>
      <c r="N12" s="845">
        <f>U12*7%-3</f>
        <v>77.850000000000009</v>
      </c>
      <c r="O12" s="843">
        <f>U12*7%+2</f>
        <v>82.850000000000009</v>
      </c>
      <c r="P12" s="844">
        <f>U12*8%+1</f>
        <v>93.4</v>
      </c>
      <c r="Q12" s="844">
        <f>U12*9%+1</f>
        <v>104.95</v>
      </c>
      <c r="R12" s="844">
        <f>U12*12%+1</f>
        <v>139.6</v>
      </c>
      <c r="S12" s="844">
        <f>U12*11%+2</f>
        <v>129.05000000000001</v>
      </c>
      <c r="T12" s="845">
        <f>U12*9%+1</f>
        <v>104.95</v>
      </c>
      <c r="U12" s="846">
        <v>1155</v>
      </c>
      <c r="V12" s="847"/>
      <c r="W12" s="847"/>
      <c r="X12" s="847"/>
      <c r="Y12" s="847"/>
      <c r="Z12" s="847"/>
      <c r="AA12" s="847"/>
      <c r="AB12" s="67">
        <f>AG12*10%+1</f>
        <v>116.5</v>
      </c>
      <c r="AC12" s="67">
        <f>AG12*10%+1</f>
        <v>116.5</v>
      </c>
      <c r="AD12" s="67">
        <f>AG12*14%+1</f>
        <v>162.70000000000002</v>
      </c>
      <c r="AE12" s="67">
        <f>AG12*11%+2</f>
        <v>129.05000000000001</v>
      </c>
      <c r="AF12" s="67">
        <f>AG12*10%+1</f>
        <v>116.5</v>
      </c>
      <c r="AG12" s="67">
        <v>1155</v>
      </c>
    </row>
    <row r="13" spans="1:37" x14ac:dyDescent="0.25">
      <c r="A13" s="53">
        <v>13</v>
      </c>
      <c r="B13" s="1053"/>
      <c r="C13" s="840">
        <v>9</v>
      </c>
      <c r="D13" s="840" t="s">
        <v>240</v>
      </c>
      <c r="E13" s="840">
        <v>11</v>
      </c>
      <c r="F13" s="840">
        <v>18</v>
      </c>
      <c r="G13" s="841">
        <v>1.5</v>
      </c>
      <c r="H13" s="842">
        <v>38.299999999999997</v>
      </c>
      <c r="I13" s="843">
        <f>U13*6%</f>
        <v>39.479999999999997</v>
      </c>
      <c r="J13" s="844">
        <f>U13*7%+1</f>
        <v>47.06</v>
      </c>
      <c r="K13" s="844">
        <f>U13*7%</f>
        <v>46.06</v>
      </c>
      <c r="L13" s="844">
        <f>U13*9%</f>
        <v>59.22</v>
      </c>
      <c r="M13" s="844">
        <f>U13*8%</f>
        <v>52.64</v>
      </c>
      <c r="N13" s="845">
        <f>U13*7%</f>
        <v>46.06</v>
      </c>
      <c r="O13" s="843">
        <f>U13*7%-1</f>
        <v>45.06</v>
      </c>
      <c r="P13" s="844">
        <f>U13*8%</f>
        <v>52.64</v>
      </c>
      <c r="Q13" s="844">
        <f>U13*9%</f>
        <v>59.22</v>
      </c>
      <c r="R13" s="844">
        <f>U13*12%</f>
        <v>78.959999999999994</v>
      </c>
      <c r="S13" s="844">
        <f>U13*11%</f>
        <v>72.38</v>
      </c>
      <c r="T13" s="845">
        <f>U13*9%</f>
        <v>59.22</v>
      </c>
      <c r="U13" s="846">
        <v>658</v>
      </c>
      <c r="V13" s="847"/>
      <c r="W13" s="847"/>
      <c r="X13" s="847"/>
      <c r="Y13" s="847"/>
      <c r="Z13" s="847"/>
      <c r="AA13" s="847"/>
      <c r="AB13" s="67">
        <f t="shared" si="9"/>
        <v>65.8</v>
      </c>
      <c r="AC13" s="67">
        <f t="shared" si="10"/>
        <v>65.8</v>
      </c>
      <c r="AD13" s="67">
        <f t="shared" si="11"/>
        <v>92.12</v>
      </c>
      <c r="AE13" s="67">
        <f t="shared" si="13"/>
        <v>72.38</v>
      </c>
      <c r="AF13" s="67">
        <f t="shared" si="12"/>
        <v>65.8</v>
      </c>
      <c r="AG13" s="67">
        <v>658</v>
      </c>
    </row>
    <row r="14" spans="1:37" x14ac:dyDescent="0.25">
      <c r="A14" s="53">
        <v>14</v>
      </c>
      <c r="B14" s="1053"/>
      <c r="C14" s="840">
        <v>11</v>
      </c>
      <c r="D14" s="840" t="s">
        <v>241</v>
      </c>
      <c r="E14" s="840">
        <v>10.5</v>
      </c>
      <c r="F14" s="840">
        <v>19</v>
      </c>
      <c r="G14" s="841">
        <v>1.58</v>
      </c>
      <c r="H14" s="842">
        <v>44.5</v>
      </c>
      <c r="I14" s="843">
        <f>U14*6%</f>
        <v>48.239999999999995</v>
      </c>
      <c r="J14" s="844">
        <f>U14*7%</f>
        <v>56.280000000000008</v>
      </c>
      <c r="K14" s="844">
        <f>U14*7%</f>
        <v>56.280000000000008</v>
      </c>
      <c r="L14" s="844">
        <f>U14*9%</f>
        <v>72.36</v>
      </c>
      <c r="M14" s="844">
        <f>U14*8%</f>
        <v>64.320000000000007</v>
      </c>
      <c r="N14" s="845">
        <f>U14*7%</f>
        <v>56.280000000000008</v>
      </c>
      <c r="O14" s="843">
        <f>U14*7%+1</f>
        <v>57.280000000000008</v>
      </c>
      <c r="P14" s="844">
        <f>U14*8%+1</f>
        <v>65.320000000000007</v>
      </c>
      <c r="Q14" s="844">
        <f>U14*9%+1</f>
        <v>73.36</v>
      </c>
      <c r="R14" s="844">
        <f>U14*12%-1</f>
        <v>95.47999999999999</v>
      </c>
      <c r="S14" s="844">
        <f>U14*11%</f>
        <v>88.44</v>
      </c>
      <c r="T14" s="845">
        <f>U14*9%+1</f>
        <v>73.36</v>
      </c>
      <c r="U14" s="846">
        <v>804</v>
      </c>
      <c r="V14" s="847"/>
      <c r="W14" s="847"/>
      <c r="X14" s="847"/>
      <c r="Y14" s="847"/>
      <c r="Z14" s="847"/>
      <c r="AA14" s="847"/>
      <c r="AB14" s="67">
        <f>AG14*10%+1</f>
        <v>81.400000000000006</v>
      </c>
      <c r="AC14" s="67">
        <f>AG14*10%+1</f>
        <v>81.400000000000006</v>
      </c>
      <c r="AD14" s="67">
        <f>AG14*14%-1</f>
        <v>111.56000000000002</v>
      </c>
      <c r="AE14" s="67">
        <f t="shared" si="13"/>
        <v>88.44</v>
      </c>
      <c r="AF14" s="67">
        <f>AG14*10%+1</f>
        <v>81.400000000000006</v>
      </c>
      <c r="AG14" s="67">
        <v>804</v>
      </c>
    </row>
    <row r="15" spans="1:37" x14ac:dyDescent="0.25">
      <c r="A15" s="53">
        <v>15</v>
      </c>
      <c r="B15" s="1053"/>
      <c r="C15" s="840">
        <v>12</v>
      </c>
      <c r="D15" s="840" t="s">
        <v>35</v>
      </c>
      <c r="E15" s="840">
        <v>10</v>
      </c>
      <c r="F15" s="840">
        <v>20</v>
      </c>
      <c r="G15" s="841">
        <v>1.67</v>
      </c>
      <c r="H15" s="842">
        <v>71</v>
      </c>
      <c r="I15" s="843">
        <f>U15*6%+1</f>
        <v>81.88</v>
      </c>
      <c r="J15" s="844">
        <f>U15*7%</f>
        <v>94.360000000000014</v>
      </c>
      <c r="K15" s="844">
        <f>U15*7%</f>
        <v>94.360000000000014</v>
      </c>
      <c r="L15" s="844">
        <f>U15*9%</f>
        <v>121.32</v>
      </c>
      <c r="M15" s="844">
        <f>U15*8%</f>
        <v>107.84</v>
      </c>
      <c r="N15" s="845">
        <f>U15*7%</f>
        <v>94.360000000000014</v>
      </c>
      <c r="O15" s="843">
        <f>U15*7%</f>
        <v>94.360000000000014</v>
      </c>
      <c r="P15" s="844">
        <f>U15*8%</f>
        <v>107.84</v>
      </c>
      <c r="Q15" s="844">
        <f>U15*9%</f>
        <v>121.32</v>
      </c>
      <c r="R15" s="844">
        <f>U15*12%</f>
        <v>161.76</v>
      </c>
      <c r="S15" s="844">
        <f>U15*11%</f>
        <v>148.28</v>
      </c>
      <c r="T15" s="845">
        <f>U15*9%</f>
        <v>121.32</v>
      </c>
      <c r="U15" s="846">
        <v>1348</v>
      </c>
      <c r="V15" s="847"/>
      <c r="W15" s="847"/>
      <c r="X15" s="847"/>
      <c r="Y15" s="847"/>
      <c r="Z15" s="847"/>
      <c r="AA15" s="847"/>
      <c r="AB15" s="67">
        <f t="shared" si="9"/>
        <v>134.80000000000001</v>
      </c>
      <c r="AC15" s="67">
        <f t="shared" si="10"/>
        <v>134.80000000000001</v>
      </c>
      <c r="AD15" s="67">
        <f t="shared" si="11"/>
        <v>188.72000000000003</v>
      </c>
      <c r="AE15" s="67">
        <f t="shared" si="13"/>
        <v>148.28</v>
      </c>
      <c r="AF15" s="67">
        <f t="shared" si="12"/>
        <v>134.80000000000001</v>
      </c>
      <c r="AG15" s="67">
        <v>1348</v>
      </c>
    </row>
    <row r="16" spans="1:37" ht="15.75" thickBot="1" x14ac:dyDescent="0.3">
      <c r="A16" s="53">
        <v>16</v>
      </c>
      <c r="B16" s="1052"/>
      <c r="C16" s="840">
        <v>23</v>
      </c>
      <c r="D16" s="840" t="s">
        <v>35</v>
      </c>
      <c r="E16" s="840">
        <v>10</v>
      </c>
      <c r="F16" s="840">
        <v>21</v>
      </c>
      <c r="G16" s="841">
        <v>1.75</v>
      </c>
      <c r="H16" s="842">
        <v>14.6</v>
      </c>
      <c r="I16" s="848">
        <f>U16*6%</f>
        <v>17.34</v>
      </c>
      <c r="J16" s="849">
        <f>U16*7%-1</f>
        <v>19.23</v>
      </c>
      <c r="K16" s="849">
        <f>U16*7%</f>
        <v>20.23</v>
      </c>
      <c r="L16" s="849">
        <f>U16*9%</f>
        <v>26.009999999999998</v>
      </c>
      <c r="M16" s="849">
        <f>U16*8%</f>
        <v>23.12</v>
      </c>
      <c r="N16" s="850">
        <f>U16*7%</f>
        <v>20.23</v>
      </c>
      <c r="O16" s="848">
        <f>U16*7%+1</f>
        <v>21.23</v>
      </c>
      <c r="P16" s="849">
        <f>U16*8%</f>
        <v>23.12</v>
      </c>
      <c r="Q16" s="849">
        <f>U16*9%</f>
        <v>26.009999999999998</v>
      </c>
      <c r="R16" s="849">
        <f>U16*12%+1</f>
        <v>35.68</v>
      </c>
      <c r="S16" s="849">
        <f>U16*11%</f>
        <v>31.79</v>
      </c>
      <c r="T16" s="850">
        <f>U16*9%</f>
        <v>26.009999999999998</v>
      </c>
      <c r="U16" s="846">
        <v>289</v>
      </c>
      <c r="V16" s="847"/>
      <c r="W16" s="847"/>
      <c r="X16" s="847"/>
      <c r="Y16" s="847"/>
      <c r="Z16" s="847"/>
      <c r="AA16" s="847"/>
      <c r="AB16" s="67">
        <f t="shared" si="9"/>
        <v>28.900000000000002</v>
      </c>
      <c r="AC16" s="67">
        <f t="shared" si="10"/>
        <v>28.900000000000002</v>
      </c>
      <c r="AD16" s="67">
        <f>AG16*14%+1</f>
        <v>41.46</v>
      </c>
      <c r="AE16" s="67">
        <f t="shared" si="13"/>
        <v>31.79</v>
      </c>
      <c r="AF16" s="67">
        <f t="shared" si="12"/>
        <v>28.900000000000002</v>
      </c>
      <c r="AG16" s="67">
        <v>289</v>
      </c>
    </row>
    <row r="17" spans="1:37" s="7" customFormat="1" x14ac:dyDescent="0.25">
      <c r="A17" s="53">
        <v>17</v>
      </c>
      <c r="B17" s="831"/>
      <c r="C17" s="831"/>
      <c r="D17" s="831"/>
      <c r="E17" s="831"/>
      <c r="F17" s="831"/>
      <c r="G17" s="851" t="s">
        <v>242</v>
      </c>
      <c r="H17" s="852">
        <f>SUBTOTAL(9,H5:H16)</f>
        <v>615.5100000000001</v>
      </c>
      <c r="I17" s="853">
        <f>SUBTOTAL(9,I5:I16)</f>
        <v>694.2</v>
      </c>
      <c r="J17" s="853">
        <f>SUBTOTAL(9,J5:J16)-1</f>
        <v>806.4</v>
      </c>
      <c r="K17" s="853">
        <f>SUBTOTAL(9,K5:K16)+1</f>
        <v>803.4</v>
      </c>
      <c r="L17" s="853">
        <f>SUBTOTAL(9,L5:L16)+1</f>
        <v>1033.8</v>
      </c>
      <c r="M17" s="853">
        <f>SUBTOTAL(9,M5:M16)+1</f>
        <v>918.6</v>
      </c>
      <c r="N17" s="853">
        <f>SUBTOTAL(9,N5:N16)+1</f>
        <v>803.4</v>
      </c>
      <c r="O17" s="853">
        <f>SUBTOTAL(9,O5:O16)-1</f>
        <v>808.4</v>
      </c>
      <c r="P17" s="853">
        <f t="shared" ref="P17:T17" si="14">SUBTOTAL(9,P5:P16)</f>
        <v>923.6</v>
      </c>
      <c r="Q17" s="853">
        <f t="shared" si="14"/>
        <v>1038.8</v>
      </c>
      <c r="R17" s="853">
        <f t="shared" si="14"/>
        <v>1384.4</v>
      </c>
      <c r="S17" s="853">
        <f t="shared" si="14"/>
        <v>1267.1999999999998</v>
      </c>
      <c r="T17" s="853">
        <f t="shared" si="14"/>
        <v>1038.8</v>
      </c>
      <c r="U17" s="853">
        <f>SUBTOTAL(9,U5:U16)</f>
        <v>11520</v>
      </c>
      <c r="V17" s="854"/>
      <c r="W17" s="854"/>
      <c r="X17" s="854"/>
      <c r="Y17" s="854"/>
      <c r="Z17" s="854"/>
      <c r="AA17" s="854"/>
      <c r="AB17" s="855">
        <f t="shared" ref="AB17:AF17" si="15">SUBTOTAL(9,AB5:AB16)</f>
        <v>1154.0000000000002</v>
      </c>
      <c r="AC17" s="855">
        <f t="shared" si="15"/>
        <v>1154.0000000000002</v>
      </c>
      <c r="AD17" s="855">
        <f t="shared" si="15"/>
        <v>1614.8</v>
      </c>
      <c r="AE17" s="855">
        <f t="shared" si="15"/>
        <v>1267.1999999999998</v>
      </c>
      <c r="AF17" s="855">
        <f t="shared" si="15"/>
        <v>1154.0000000000002</v>
      </c>
      <c r="AG17" s="855">
        <f>SUBTOTAL(9,AG5:AG16)</f>
        <v>11520</v>
      </c>
      <c r="AH17" s="856"/>
      <c r="AI17" s="856"/>
      <c r="AJ17" s="856"/>
      <c r="AK17" s="856"/>
    </row>
    <row r="18" spans="1:37" ht="15.75" thickBot="1" x14ac:dyDescent="0.3">
      <c r="A18" s="53">
        <v>18</v>
      </c>
      <c r="B18" s="53"/>
      <c r="C18" s="53"/>
      <c r="D18" s="53"/>
      <c r="E18" s="53"/>
      <c r="F18" s="53"/>
      <c r="G18" s="68"/>
      <c r="H18" s="68"/>
      <c r="I18" s="53"/>
      <c r="J18" s="53"/>
      <c r="K18" s="53"/>
      <c r="L18" s="53"/>
      <c r="M18" s="53"/>
      <c r="O18" s="53"/>
      <c r="P18" s="53"/>
      <c r="Q18" s="53"/>
      <c r="R18" s="53"/>
      <c r="S18" s="53"/>
      <c r="T18" s="53"/>
      <c r="U18" s="53"/>
      <c r="V18" s="857"/>
      <c r="W18" s="857"/>
      <c r="X18" s="857"/>
      <c r="Y18" s="857"/>
      <c r="Z18" s="857"/>
      <c r="AA18" s="857"/>
    </row>
    <row r="19" spans="1:37" s="11" customFormat="1" ht="30.75" customHeight="1" x14ac:dyDescent="0.25">
      <c r="A19" s="53">
        <v>19</v>
      </c>
      <c r="B19" s="54" t="s">
        <v>14</v>
      </c>
      <c r="C19" s="54" t="s">
        <v>15</v>
      </c>
      <c r="D19" s="54" t="s">
        <v>16</v>
      </c>
      <c r="E19" s="54" t="s">
        <v>17</v>
      </c>
      <c r="F19" s="54" t="s">
        <v>18</v>
      </c>
      <c r="G19" s="832" t="s">
        <v>19</v>
      </c>
      <c r="H19" s="833" t="s">
        <v>20</v>
      </c>
      <c r="I19" s="834" t="s">
        <v>230</v>
      </c>
      <c r="J19" s="835" t="s">
        <v>231</v>
      </c>
      <c r="K19" s="835" t="s">
        <v>23</v>
      </c>
      <c r="L19" s="835" t="s">
        <v>232</v>
      </c>
      <c r="M19" s="835" t="s">
        <v>233</v>
      </c>
      <c r="N19" s="836" t="s">
        <v>26</v>
      </c>
      <c r="O19" s="834" t="s">
        <v>234</v>
      </c>
      <c r="P19" s="835" t="s">
        <v>235</v>
      </c>
      <c r="Q19" s="835" t="s">
        <v>236</v>
      </c>
      <c r="R19" s="835" t="s">
        <v>237</v>
      </c>
      <c r="S19" s="835" t="s">
        <v>238</v>
      </c>
      <c r="T19" s="836" t="s">
        <v>239</v>
      </c>
      <c r="U19" s="837" t="s">
        <v>33</v>
      </c>
      <c r="V19" s="838"/>
      <c r="W19" s="838"/>
      <c r="X19" s="838"/>
      <c r="Y19" s="838"/>
      <c r="Z19" s="838"/>
      <c r="AA19" s="838"/>
      <c r="AB19" s="839" t="s">
        <v>28</v>
      </c>
      <c r="AC19" s="839" t="s">
        <v>29</v>
      </c>
      <c r="AD19" s="839" t="s">
        <v>30</v>
      </c>
      <c r="AE19" s="839" t="s">
        <v>31</v>
      </c>
      <c r="AF19" s="839" t="s">
        <v>32</v>
      </c>
      <c r="AG19" s="839" t="s">
        <v>33</v>
      </c>
      <c r="AH19" s="839"/>
      <c r="AI19" s="839"/>
      <c r="AJ19" s="839"/>
      <c r="AK19" s="839"/>
    </row>
    <row r="20" spans="1:37" x14ac:dyDescent="0.25">
      <c r="A20" s="53">
        <v>20</v>
      </c>
      <c r="B20" s="1051" t="s">
        <v>38</v>
      </c>
      <c r="C20" s="840">
        <v>10</v>
      </c>
      <c r="D20" s="840" t="s">
        <v>243</v>
      </c>
      <c r="E20" s="840">
        <v>9.5</v>
      </c>
      <c r="F20" s="840">
        <v>19</v>
      </c>
      <c r="G20" s="841">
        <v>1.58</v>
      </c>
      <c r="H20" s="842">
        <v>19.100000000000001</v>
      </c>
      <c r="I20" s="843">
        <f t="shared" ref="I20:I26" si="16">AG20*6%</f>
        <v>20.58</v>
      </c>
      <c r="J20" s="844">
        <f t="shared" ref="J20:J26" si="17">AG20*7%</f>
        <v>24.01</v>
      </c>
      <c r="K20" s="844">
        <f>AG20*7%</f>
        <v>24.01</v>
      </c>
      <c r="L20" s="844">
        <f>AG20*9%</f>
        <v>30.869999999999997</v>
      </c>
      <c r="M20" s="844">
        <f>AG20*8%</f>
        <v>27.44</v>
      </c>
      <c r="N20" s="845">
        <f>AG20*7%</f>
        <v>24.01</v>
      </c>
      <c r="O20" s="843">
        <f>U20*7%+1</f>
        <v>25.01</v>
      </c>
      <c r="P20" s="844">
        <f t="shared" ref="P20:P26" si="18">U20*8%</f>
        <v>27.44</v>
      </c>
      <c r="Q20" s="844">
        <f t="shared" ref="Q20:Q26" si="19">U20*9%</f>
        <v>30.869999999999997</v>
      </c>
      <c r="R20" s="844">
        <f>U20*12%</f>
        <v>41.16</v>
      </c>
      <c r="S20" s="844">
        <f t="shared" ref="S20:S26" si="20">U20*11%</f>
        <v>37.729999999999997</v>
      </c>
      <c r="T20" s="845">
        <f t="shared" ref="T20:T26" si="21">U20*9%</f>
        <v>30.869999999999997</v>
      </c>
      <c r="U20" s="846">
        <v>343</v>
      </c>
      <c r="V20" s="847"/>
      <c r="W20" s="847"/>
      <c r="X20" s="847"/>
      <c r="Y20" s="847"/>
      <c r="Z20" s="847"/>
      <c r="AA20" s="847"/>
      <c r="AB20" s="67">
        <f>AG20*10%</f>
        <v>34.300000000000004</v>
      </c>
      <c r="AC20" s="67">
        <f>AG20*10%</f>
        <v>34.300000000000004</v>
      </c>
      <c r="AD20" s="67">
        <f>AG20*14%</f>
        <v>48.02</v>
      </c>
      <c r="AE20" s="67">
        <f>AG20*11%</f>
        <v>37.729999999999997</v>
      </c>
      <c r="AF20" s="67">
        <f>AG20*10%</f>
        <v>34.300000000000004</v>
      </c>
      <c r="AG20" s="67">
        <v>343</v>
      </c>
    </row>
    <row r="21" spans="1:37" x14ac:dyDescent="0.25">
      <c r="A21" s="53">
        <v>21</v>
      </c>
      <c r="B21" s="1053"/>
      <c r="C21" s="840">
        <v>13</v>
      </c>
      <c r="D21" s="840" t="s">
        <v>244</v>
      </c>
      <c r="E21" s="840">
        <v>10</v>
      </c>
      <c r="F21" s="840">
        <v>22</v>
      </c>
      <c r="G21" s="841">
        <v>1.83</v>
      </c>
      <c r="H21" s="842">
        <v>60.8</v>
      </c>
      <c r="I21" s="843">
        <f t="shared" si="16"/>
        <v>76.319999999999993</v>
      </c>
      <c r="J21" s="844">
        <f t="shared" si="17"/>
        <v>89.04</v>
      </c>
      <c r="K21" s="844">
        <f>AG21*7%</f>
        <v>89.04</v>
      </c>
      <c r="L21" s="844">
        <f>AG21*9%</f>
        <v>114.47999999999999</v>
      </c>
      <c r="M21" s="844">
        <f>AG21*8%</f>
        <v>101.76</v>
      </c>
      <c r="N21" s="845">
        <f>AG21*7%</f>
        <v>89.04</v>
      </c>
      <c r="O21" s="843">
        <f>U21*7%</f>
        <v>89.04</v>
      </c>
      <c r="P21" s="844">
        <f t="shared" si="18"/>
        <v>101.76</v>
      </c>
      <c r="Q21" s="844">
        <f t="shared" si="19"/>
        <v>114.47999999999999</v>
      </c>
      <c r="R21" s="844">
        <f>U21*12%</f>
        <v>152.63999999999999</v>
      </c>
      <c r="S21" s="844">
        <f t="shared" si="20"/>
        <v>139.91999999999999</v>
      </c>
      <c r="T21" s="845">
        <f t="shared" si="21"/>
        <v>114.47999999999999</v>
      </c>
      <c r="U21" s="846">
        <v>1272</v>
      </c>
      <c r="V21" s="847"/>
      <c r="W21" s="847"/>
      <c r="X21" s="847"/>
      <c r="Y21" s="847"/>
      <c r="Z21" s="847"/>
      <c r="AA21" s="847"/>
      <c r="AB21" s="67">
        <f t="shared" ref="AB21:AB26" si="22">AG21*10%</f>
        <v>127.2</v>
      </c>
      <c r="AC21" s="67">
        <f t="shared" ref="AC21:AC26" si="23">AG21*10%</f>
        <v>127.2</v>
      </c>
      <c r="AD21" s="67">
        <f t="shared" ref="AD21:AD25" si="24">AG21*14%</f>
        <v>178.08</v>
      </c>
      <c r="AE21" s="67">
        <f t="shared" ref="AE21:AE26" si="25">AG21*11%</f>
        <v>139.91999999999999</v>
      </c>
      <c r="AF21" s="67">
        <f t="shared" ref="AF21:AF26" si="26">AG21*10%</f>
        <v>127.2</v>
      </c>
      <c r="AG21" s="67">
        <v>1272</v>
      </c>
    </row>
    <row r="22" spans="1:37" x14ac:dyDescent="0.25">
      <c r="A22" s="53">
        <v>22</v>
      </c>
      <c r="B22" s="1053"/>
      <c r="C22" s="840">
        <v>14</v>
      </c>
      <c r="D22" s="840" t="s">
        <v>244</v>
      </c>
      <c r="E22" s="840">
        <v>10</v>
      </c>
      <c r="F22" s="840">
        <v>21</v>
      </c>
      <c r="G22" s="841">
        <v>1.75</v>
      </c>
      <c r="H22" s="842">
        <v>41.6</v>
      </c>
      <c r="I22" s="843">
        <f t="shared" si="16"/>
        <v>49.8</v>
      </c>
      <c r="J22" s="844">
        <f t="shared" si="17"/>
        <v>58.100000000000009</v>
      </c>
      <c r="K22" s="844">
        <f>AG22*7%</f>
        <v>58.100000000000009</v>
      </c>
      <c r="L22" s="844">
        <f>AG22*9%</f>
        <v>74.7</v>
      </c>
      <c r="M22" s="844">
        <f>AG22*8%</f>
        <v>66.400000000000006</v>
      </c>
      <c r="N22" s="845">
        <f>AG22*7%</f>
        <v>58.100000000000009</v>
      </c>
      <c r="O22" s="843">
        <f>U22*7%+1</f>
        <v>59.100000000000009</v>
      </c>
      <c r="P22" s="844">
        <f t="shared" si="18"/>
        <v>66.400000000000006</v>
      </c>
      <c r="Q22" s="844">
        <f t="shared" si="19"/>
        <v>74.7</v>
      </c>
      <c r="R22" s="844">
        <f>U22*12%</f>
        <v>99.6</v>
      </c>
      <c r="S22" s="844">
        <f t="shared" si="20"/>
        <v>91.3</v>
      </c>
      <c r="T22" s="845">
        <f t="shared" si="21"/>
        <v>74.7</v>
      </c>
      <c r="U22" s="846">
        <v>830</v>
      </c>
      <c r="V22" s="847"/>
      <c r="W22" s="847"/>
      <c r="X22" s="847"/>
      <c r="Y22" s="847"/>
      <c r="Z22" s="847"/>
      <c r="AA22" s="847"/>
      <c r="AB22" s="67">
        <f t="shared" si="22"/>
        <v>83</v>
      </c>
      <c r="AC22" s="67">
        <f t="shared" si="23"/>
        <v>83</v>
      </c>
      <c r="AD22" s="67">
        <f t="shared" si="24"/>
        <v>116.20000000000002</v>
      </c>
      <c r="AE22" s="67">
        <f t="shared" si="25"/>
        <v>91.3</v>
      </c>
      <c r="AF22" s="67">
        <f t="shared" si="26"/>
        <v>83</v>
      </c>
      <c r="AG22" s="67">
        <v>830</v>
      </c>
    </row>
    <row r="23" spans="1:37" x14ac:dyDescent="0.25">
      <c r="A23" s="53">
        <v>23</v>
      </c>
      <c r="B23" s="1053"/>
      <c r="C23" s="840">
        <v>15</v>
      </c>
      <c r="D23" s="840" t="s">
        <v>244</v>
      </c>
      <c r="E23" s="840">
        <v>10</v>
      </c>
      <c r="F23" s="840">
        <v>20</v>
      </c>
      <c r="G23" s="841">
        <v>1.67</v>
      </c>
      <c r="H23" s="842">
        <v>49.17</v>
      </c>
      <c r="I23" s="843">
        <f t="shared" si="16"/>
        <v>56.339999999999996</v>
      </c>
      <c r="J23" s="844">
        <f t="shared" si="17"/>
        <v>65.73</v>
      </c>
      <c r="K23" s="844">
        <f>AG23*7%</f>
        <v>65.73</v>
      </c>
      <c r="L23" s="844">
        <f>AG23*9%</f>
        <v>84.509999999999991</v>
      </c>
      <c r="M23" s="844">
        <f>AG23*8%</f>
        <v>75.12</v>
      </c>
      <c r="N23" s="845">
        <f>AG23*7%</f>
        <v>65.73</v>
      </c>
      <c r="O23" s="843">
        <f>U23*7%</f>
        <v>65.73</v>
      </c>
      <c r="P23" s="844">
        <f t="shared" si="18"/>
        <v>75.12</v>
      </c>
      <c r="Q23" s="844">
        <f t="shared" si="19"/>
        <v>84.509999999999991</v>
      </c>
      <c r="R23" s="844">
        <f>U23*12%</f>
        <v>112.67999999999999</v>
      </c>
      <c r="S23" s="844">
        <f t="shared" si="20"/>
        <v>103.29</v>
      </c>
      <c r="T23" s="845">
        <f t="shared" si="21"/>
        <v>84.509999999999991</v>
      </c>
      <c r="U23" s="846">
        <v>939</v>
      </c>
      <c r="V23" s="847"/>
      <c r="W23" s="847"/>
      <c r="X23" s="847"/>
      <c r="Y23" s="847"/>
      <c r="Z23" s="847"/>
      <c r="AA23" s="847"/>
      <c r="AB23" s="67">
        <f t="shared" si="22"/>
        <v>93.9</v>
      </c>
      <c r="AC23" s="67">
        <f t="shared" si="23"/>
        <v>93.9</v>
      </c>
      <c r="AD23" s="67">
        <f t="shared" si="24"/>
        <v>131.46</v>
      </c>
      <c r="AE23" s="67">
        <f t="shared" si="25"/>
        <v>103.29</v>
      </c>
      <c r="AF23" s="67">
        <f t="shared" si="26"/>
        <v>93.9</v>
      </c>
      <c r="AG23" s="67">
        <v>939</v>
      </c>
    </row>
    <row r="24" spans="1:37" x14ac:dyDescent="0.25">
      <c r="A24" s="53">
        <v>24</v>
      </c>
      <c r="B24" s="1053"/>
      <c r="C24" s="840">
        <v>16</v>
      </c>
      <c r="D24" s="840" t="s">
        <v>244</v>
      </c>
      <c r="E24" s="840">
        <v>9.5</v>
      </c>
      <c r="F24" s="840">
        <v>20</v>
      </c>
      <c r="G24" s="841">
        <v>1.67</v>
      </c>
      <c r="H24" s="842">
        <v>52.61</v>
      </c>
      <c r="I24" s="843">
        <f t="shared" si="16"/>
        <v>60.48</v>
      </c>
      <c r="J24" s="844">
        <f t="shared" si="17"/>
        <v>70.56</v>
      </c>
      <c r="K24" s="844">
        <f>AG24*7%-1</f>
        <v>69.56</v>
      </c>
      <c r="L24" s="844">
        <f>AG24*9%-1</f>
        <v>89.72</v>
      </c>
      <c r="M24" s="844">
        <f>AG24*8%-1</f>
        <v>79.64</v>
      </c>
      <c r="N24" s="845">
        <f>AG24*7%-1</f>
        <v>69.56</v>
      </c>
      <c r="O24" s="843">
        <f>U24*7%-1</f>
        <v>69.56</v>
      </c>
      <c r="P24" s="844">
        <f t="shared" si="18"/>
        <v>80.64</v>
      </c>
      <c r="Q24" s="844">
        <f t="shared" si="19"/>
        <v>90.72</v>
      </c>
      <c r="R24" s="844">
        <f>U24*12%+1</f>
        <v>121.96</v>
      </c>
      <c r="S24" s="844">
        <f t="shared" si="20"/>
        <v>110.88</v>
      </c>
      <c r="T24" s="845">
        <f t="shared" si="21"/>
        <v>90.72</v>
      </c>
      <c r="U24" s="846">
        <v>1008</v>
      </c>
      <c r="V24" s="847"/>
      <c r="W24" s="847"/>
      <c r="X24" s="847"/>
      <c r="Y24" s="847"/>
      <c r="Z24" s="847"/>
      <c r="AA24" s="847"/>
      <c r="AB24" s="67">
        <f t="shared" si="22"/>
        <v>100.80000000000001</v>
      </c>
      <c r="AC24" s="67">
        <f t="shared" si="23"/>
        <v>100.80000000000001</v>
      </c>
      <c r="AD24" s="67">
        <f>AG24*14%+1</f>
        <v>142.12</v>
      </c>
      <c r="AE24" s="67">
        <f t="shared" si="25"/>
        <v>110.88</v>
      </c>
      <c r="AF24" s="67">
        <f t="shared" si="26"/>
        <v>100.80000000000001</v>
      </c>
      <c r="AG24" s="67">
        <v>1008</v>
      </c>
    </row>
    <row r="25" spans="1:37" x14ac:dyDescent="0.25">
      <c r="A25" s="53">
        <v>25</v>
      </c>
      <c r="B25" s="1053"/>
      <c r="C25" s="840">
        <v>17</v>
      </c>
      <c r="D25" s="840" t="s">
        <v>243</v>
      </c>
      <c r="E25" s="840">
        <v>9.5</v>
      </c>
      <c r="F25" s="840">
        <v>22</v>
      </c>
      <c r="G25" s="841">
        <v>1.83</v>
      </c>
      <c r="H25" s="842">
        <v>45.58</v>
      </c>
      <c r="I25" s="843">
        <f t="shared" si="16"/>
        <v>57.419999999999995</v>
      </c>
      <c r="J25" s="844">
        <f t="shared" si="17"/>
        <v>66.990000000000009</v>
      </c>
      <c r="K25" s="844">
        <f>AG25*7%</f>
        <v>66.990000000000009</v>
      </c>
      <c r="L25" s="844">
        <f>AG25*9%</f>
        <v>86.13</v>
      </c>
      <c r="M25" s="844">
        <f>AG25*8%</f>
        <v>76.56</v>
      </c>
      <c r="N25" s="845">
        <f>AG25*7%</f>
        <v>66.990000000000009</v>
      </c>
      <c r="O25" s="843">
        <f>U25*7%-1</f>
        <v>65.990000000000009</v>
      </c>
      <c r="P25" s="844">
        <f t="shared" si="18"/>
        <v>76.56</v>
      </c>
      <c r="Q25" s="844">
        <f t="shared" si="19"/>
        <v>86.13</v>
      </c>
      <c r="R25" s="844">
        <f>U25*12%</f>
        <v>114.83999999999999</v>
      </c>
      <c r="S25" s="844">
        <f t="shared" si="20"/>
        <v>105.27</v>
      </c>
      <c r="T25" s="845">
        <f t="shared" si="21"/>
        <v>86.13</v>
      </c>
      <c r="U25" s="846">
        <v>957</v>
      </c>
      <c r="V25" s="847"/>
      <c r="W25" s="847"/>
      <c r="X25" s="847"/>
      <c r="Y25" s="847"/>
      <c r="Z25" s="847"/>
      <c r="AA25" s="847"/>
      <c r="AB25" s="67">
        <f t="shared" si="22"/>
        <v>95.7</v>
      </c>
      <c r="AC25" s="67">
        <f t="shared" si="23"/>
        <v>95.7</v>
      </c>
      <c r="AD25" s="67">
        <f t="shared" si="24"/>
        <v>133.98000000000002</v>
      </c>
      <c r="AE25" s="67">
        <f t="shared" si="25"/>
        <v>105.27</v>
      </c>
      <c r="AF25" s="67">
        <f t="shared" si="26"/>
        <v>95.7</v>
      </c>
      <c r="AG25" s="67">
        <v>957</v>
      </c>
    </row>
    <row r="26" spans="1:37" ht="15.75" thickBot="1" x14ac:dyDescent="0.3">
      <c r="A26" s="53">
        <v>26</v>
      </c>
      <c r="B26" s="1052"/>
      <c r="C26" s="840">
        <v>18</v>
      </c>
      <c r="D26" s="840" t="s">
        <v>243</v>
      </c>
      <c r="E26" s="840">
        <v>9.5</v>
      </c>
      <c r="F26" s="840">
        <v>22</v>
      </c>
      <c r="G26" s="841">
        <v>1.83</v>
      </c>
      <c r="H26" s="842">
        <v>40.799999999999997</v>
      </c>
      <c r="I26" s="848">
        <f t="shared" si="16"/>
        <v>51.36</v>
      </c>
      <c r="J26" s="849">
        <f t="shared" si="17"/>
        <v>59.920000000000009</v>
      </c>
      <c r="K26" s="849">
        <f>AG26*7%</f>
        <v>59.920000000000009</v>
      </c>
      <c r="L26" s="849">
        <f>AG26*9%</f>
        <v>77.039999999999992</v>
      </c>
      <c r="M26" s="849">
        <f>AG26*8%</f>
        <v>68.48</v>
      </c>
      <c r="N26" s="850">
        <f>AG26*7%</f>
        <v>59.920000000000009</v>
      </c>
      <c r="O26" s="848">
        <f>U26*7%</f>
        <v>59.920000000000009</v>
      </c>
      <c r="P26" s="849">
        <f t="shared" si="18"/>
        <v>68.48</v>
      </c>
      <c r="Q26" s="849">
        <f t="shared" si="19"/>
        <v>77.039999999999992</v>
      </c>
      <c r="R26" s="849">
        <f>U26*12%-1</f>
        <v>101.72</v>
      </c>
      <c r="S26" s="849">
        <f t="shared" si="20"/>
        <v>94.16</v>
      </c>
      <c r="T26" s="850">
        <f t="shared" si="21"/>
        <v>77.039999999999992</v>
      </c>
      <c r="U26" s="846">
        <v>856</v>
      </c>
      <c r="V26" s="847"/>
      <c r="W26" s="847"/>
      <c r="X26" s="847"/>
      <c r="Y26" s="847"/>
      <c r="Z26" s="847"/>
      <c r="AA26" s="847"/>
      <c r="AB26" s="67">
        <f t="shared" si="22"/>
        <v>85.600000000000009</v>
      </c>
      <c r="AC26" s="67">
        <f t="shared" si="23"/>
        <v>85.600000000000009</v>
      </c>
      <c r="AD26" s="67">
        <f>AG26*14%-1</f>
        <v>118.84000000000002</v>
      </c>
      <c r="AE26" s="67">
        <f t="shared" si="25"/>
        <v>94.16</v>
      </c>
      <c r="AF26" s="67">
        <f t="shared" si="26"/>
        <v>85.600000000000009</v>
      </c>
      <c r="AG26" s="67">
        <v>856</v>
      </c>
    </row>
    <row r="27" spans="1:37" s="7" customFormat="1" x14ac:dyDescent="0.25">
      <c r="A27" s="53">
        <v>27</v>
      </c>
      <c r="B27" s="831"/>
      <c r="C27" s="831"/>
      <c r="D27" s="831"/>
      <c r="E27" s="831"/>
      <c r="F27" s="831"/>
      <c r="G27" s="851" t="s">
        <v>242</v>
      </c>
      <c r="H27" s="852">
        <f>SUBTOTAL(9,H20:H26)</f>
        <v>309.66000000000003</v>
      </c>
      <c r="I27" s="853">
        <f>SUBTOTAL(9,I20:I26)+1</f>
        <v>373.3</v>
      </c>
      <c r="J27" s="853">
        <f>SUBTOTAL(9,J20:J26)</f>
        <v>434.35000000000008</v>
      </c>
      <c r="K27" s="853">
        <f>SUBTOTAL(9,K20:K26)+1</f>
        <v>434.35000000000008</v>
      </c>
      <c r="L27" s="853">
        <f>SUBTOTAL(9,L20:L26)+1</f>
        <v>558.44999999999993</v>
      </c>
      <c r="M27" s="853">
        <f>SUBTOTAL(9,M20:M26)+1</f>
        <v>496.40000000000003</v>
      </c>
      <c r="N27" s="853">
        <f>SUBTOTAL(9,N20:N26)+1</f>
        <v>434.35000000000008</v>
      </c>
      <c r="O27" s="853">
        <f>SUBTOTAL(9,O20:O26)</f>
        <v>434.35000000000008</v>
      </c>
      <c r="P27" s="853">
        <f>SUBTOTAL(9,P20:P26)</f>
        <v>496.40000000000003</v>
      </c>
      <c r="Q27" s="853">
        <f>SUBTOTAL(9,Q20:Q26)</f>
        <v>558.44999999999993</v>
      </c>
      <c r="R27" s="853">
        <f>SUBTOTAL(9,R20:R26)-1</f>
        <v>743.6</v>
      </c>
      <c r="S27" s="853">
        <f>SUBTOTAL(9,S20:S26)-1</f>
        <v>681.55</v>
      </c>
      <c r="T27" s="853">
        <f>SUBTOTAL(9,T20:T26)</f>
        <v>558.44999999999993</v>
      </c>
      <c r="U27" s="853">
        <f>SUBTOTAL(9,U20:U26)-1</f>
        <v>6204</v>
      </c>
      <c r="V27" s="854"/>
      <c r="W27" s="854"/>
      <c r="X27" s="854"/>
      <c r="Y27" s="854"/>
      <c r="Z27" s="854"/>
      <c r="AA27" s="854"/>
      <c r="AB27" s="855">
        <f>SUBTOTAL(9,AB20:AB26)</f>
        <v>620.5</v>
      </c>
      <c r="AC27" s="855">
        <f>SUBTOTAL(9,AC20:AC26)</f>
        <v>620.5</v>
      </c>
      <c r="AD27" s="855">
        <f>SUBTOTAL(9,AD20:AD26)-1</f>
        <v>867.70000000000016</v>
      </c>
      <c r="AE27" s="855">
        <f>SUBTOTAL(9,AE20:AE26)-1</f>
        <v>681.55</v>
      </c>
      <c r="AF27" s="855">
        <f>SUBTOTAL(9,AF20:AF26)</f>
        <v>620.5</v>
      </c>
      <c r="AG27" s="855">
        <f>SUBTOTAL(9,AG20:AG26)-1</f>
        <v>6204</v>
      </c>
      <c r="AH27" s="856"/>
      <c r="AI27" s="856"/>
      <c r="AJ27" s="856"/>
      <c r="AK27" s="856"/>
    </row>
    <row r="28" spans="1:37" ht="15.75" thickBot="1" x14ac:dyDescent="0.3">
      <c r="A28" s="53">
        <v>28</v>
      </c>
      <c r="B28" s="831"/>
      <c r="C28" s="53"/>
      <c r="D28" s="53"/>
      <c r="E28" s="53"/>
      <c r="F28" s="53"/>
      <c r="G28" s="68"/>
      <c r="H28" s="68"/>
      <c r="I28" s="53"/>
      <c r="J28" s="53"/>
      <c r="K28" s="53"/>
      <c r="L28" s="53"/>
      <c r="M28" s="53"/>
      <c r="O28" s="53"/>
      <c r="P28" s="53"/>
      <c r="Q28" s="53"/>
      <c r="R28" s="53"/>
      <c r="S28" s="53"/>
      <c r="T28" s="53"/>
      <c r="U28" s="53"/>
      <c r="V28" s="857"/>
      <c r="W28" s="857"/>
      <c r="X28" s="857"/>
      <c r="Y28" s="857"/>
      <c r="Z28" s="857"/>
      <c r="AA28" s="857"/>
    </row>
    <row r="29" spans="1:37" s="11" customFormat="1" ht="30.75" customHeight="1" x14ac:dyDescent="0.25">
      <c r="A29" s="53">
        <v>29</v>
      </c>
      <c r="B29" s="54" t="s">
        <v>14</v>
      </c>
      <c r="C29" s="54" t="s">
        <v>15</v>
      </c>
      <c r="D29" s="54" t="s">
        <v>16</v>
      </c>
      <c r="E29" s="54" t="s">
        <v>17</v>
      </c>
      <c r="F29" s="54" t="s">
        <v>18</v>
      </c>
      <c r="G29" s="832" t="s">
        <v>19</v>
      </c>
      <c r="H29" s="833" t="s">
        <v>20</v>
      </c>
      <c r="I29" s="834" t="s">
        <v>230</v>
      </c>
      <c r="J29" s="835" t="s">
        <v>231</v>
      </c>
      <c r="K29" s="835" t="s">
        <v>23</v>
      </c>
      <c r="L29" s="835" t="s">
        <v>232</v>
      </c>
      <c r="M29" s="835" t="s">
        <v>233</v>
      </c>
      <c r="N29" s="836" t="s">
        <v>26</v>
      </c>
      <c r="O29" s="834" t="s">
        <v>234</v>
      </c>
      <c r="P29" s="835" t="s">
        <v>235</v>
      </c>
      <c r="Q29" s="835" t="s">
        <v>236</v>
      </c>
      <c r="R29" s="835" t="s">
        <v>237</v>
      </c>
      <c r="S29" s="835" t="s">
        <v>238</v>
      </c>
      <c r="T29" s="836" t="s">
        <v>239</v>
      </c>
      <c r="U29" s="837" t="s">
        <v>33</v>
      </c>
      <c r="V29" s="838"/>
      <c r="W29" s="838"/>
      <c r="X29" s="838"/>
      <c r="Y29" s="838"/>
      <c r="Z29" s="838"/>
      <c r="AA29" s="838"/>
      <c r="AB29" s="839" t="s">
        <v>28</v>
      </c>
      <c r="AC29" s="839" t="s">
        <v>29</v>
      </c>
      <c r="AD29" s="839" t="s">
        <v>30</v>
      </c>
      <c r="AE29" s="839" t="s">
        <v>31</v>
      </c>
      <c r="AF29" s="839" t="s">
        <v>32</v>
      </c>
      <c r="AG29" s="839" t="s">
        <v>33</v>
      </c>
      <c r="AH29" s="839"/>
      <c r="AI29" s="839"/>
      <c r="AJ29" s="839"/>
      <c r="AK29" s="839"/>
    </row>
    <row r="30" spans="1:37" x14ac:dyDescent="0.25">
      <c r="A30" s="53">
        <v>30</v>
      </c>
      <c r="B30" s="1051" t="s">
        <v>40</v>
      </c>
      <c r="C30" s="840">
        <v>19</v>
      </c>
      <c r="D30" s="840" t="s">
        <v>243</v>
      </c>
      <c r="E30" s="840">
        <v>9.5</v>
      </c>
      <c r="F30" s="840">
        <v>21</v>
      </c>
      <c r="G30" s="841">
        <v>1.75</v>
      </c>
      <c r="H30" s="842">
        <v>50.6</v>
      </c>
      <c r="I30" s="843">
        <f>AG30*6%</f>
        <v>60.48</v>
      </c>
      <c r="J30" s="844">
        <f>AG30*7%+1</f>
        <v>71.56</v>
      </c>
      <c r="K30" s="844">
        <f>AG30*7%-1</f>
        <v>69.56</v>
      </c>
      <c r="L30" s="844">
        <f>AG30*9%-1</f>
        <v>89.72</v>
      </c>
      <c r="M30" s="844">
        <f>AG30*8%-1</f>
        <v>79.64</v>
      </c>
      <c r="N30" s="845">
        <f>AG30*7%-1</f>
        <v>69.56</v>
      </c>
      <c r="O30" s="843">
        <f>U30*7%</f>
        <v>70.56</v>
      </c>
      <c r="P30" s="844">
        <f>U30*8%</f>
        <v>80.64</v>
      </c>
      <c r="Q30" s="844">
        <f>U30*9%</f>
        <v>90.72</v>
      </c>
      <c r="R30" s="844">
        <f>U30*12%+1</f>
        <v>121.96</v>
      </c>
      <c r="S30" s="844">
        <f>U30*11%</f>
        <v>110.88</v>
      </c>
      <c r="T30" s="845">
        <f>U30*9%</f>
        <v>90.72</v>
      </c>
      <c r="U30" s="846">
        <v>1008</v>
      </c>
      <c r="V30" s="847"/>
      <c r="W30" s="847"/>
      <c r="X30" s="847"/>
      <c r="Y30" s="847"/>
      <c r="Z30" s="847"/>
      <c r="AA30" s="847"/>
      <c r="AB30" s="67">
        <f>AG30*10%</f>
        <v>100.80000000000001</v>
      </c>
      <c r="AC30" s="67">
        <f>AG30*10%</f>
        <v>100.80000000000001</v>
      </c>
      <c r="AD30" s="67">
        <f>AG30*14%+1</f>
        <v>142.12</v>
      </c>
      <c r="AE30" s="67">
        <f>AG30*11%</f>
        <v>110.88</v>
      </c>
      <c r="AF30" s="67">
        <f>AG30*10%</f>
        <v>100.80000000000001</v>
      </c>
      <c r="AG30" s="67">
        <v>1008</v>
      </c>
    </row>
    <row r="31" spans="1:37" x14ac:dyDescent="0.25">
      <c r="A31" s="53">
        <v>31</v>
      </c>
      <c r="B31" s="1053"/>
      <c r="C31" s="840">
        <v>20</v>
      </c>
      <c r="D31" s="840" t="s">
        <v>245</v>
      </c>
      <c r="E31" s="840">
        <v>9</v>
      </c>
      <c r="F31" s="840">
        <v>21</v>
      </c>
      <c r="G31" s="841">
        <v>1.75</v>
      </c>
      <c r="H31" s="842">
        <v>61.98</v>
      </c>
      <c r="I31" s="843">
        <f>AG31*6%</f>
        <v>74.16</v>
      </c>
      <c r="J31" s="844">
        <f>AG31*7%</f>
        <v>86.52000000000001</v>
      </c>
      <c r="K31" s="844">
        <f>AG31*7%-1</f>
        <v>85.52000000000001</v>
      </c>
      <c r="L31" s="844">
        <f>AG31*9%-1</f>
        <v>110.24</v>
      </c>
      <c r="M31" s="844">
        <f>AG31*8%-1</f>
        <v>97.88</v>
      </c>
      <c r="N31" s="845">
        <f>AG31*7%-1</f>
        <v>85.52000000000001</v>
      </c>
      <c r="O31" s="843">
        <f>U31*7%</f>
        <v>86.52000000000001</v>
      </c>
      <c r="P31" s="844">
        <f>U31*8%</f>
        <v>98.88</v>
      </c>
      <c r="Q31" s="844">
        <f>U31*9%</f>
        <v>111.24</v>
      </c>
      <c r="R31" s="844">
        <f>U31*12%+1</f>
        <v>149.32</v>
      </c>
      <c r="S31" s="844">
        <f>U31*11%</f>
        <v>135.96</v>
      </c>
      <c r="T31" s="845">
        <f>U31*9%</f>
        <v>111.24</v>
      </c>
      <c r="U31" s="846">
        <v>1236</v>
      </c>
      <c r="V31" s="847"/>
      <c r="W31" s="847"/>
      <c r="X31" s="847"/>
      <c r="Y31" s="847"/>
      <c r="Z31" s="847"/>
      <c r="AA31" s="847"/>
      <c r="AB31" s="67">
        <f t="shared" ref="AB31:AB34" si="27">AG31*10%</f>
        <v>123.60000000000001</v>
      </c>
      <c r="AC31" s="67">
        <f t="shared" ref="AC31:AC34" si="28">AG31*10%</f>
        <v>123.60000000000001</v>
      </c>
      <c r="AD31" s="67">
        <f>AG31*14%+1</f>
        <v>174.04000000000002</v>
      </c>
      <c r="AE31" s="67">
        <f t="shared" ref="AE31:AE33" si="29">AG31*11%</f>
        <v>135.96</v>
      </c>
      <c r="AF31" s="67">
        <f t="shared" ref="AF31:AF34" si="30">AG31*10%</f>
        <v>123.60000000000001</v>
      </c>
      <c r="AG31" s="67">
        <v>1236</v>
      </c>
    </row>
    <row r="32" spans="1:37" x14ac:dyDescent="0.25">
      <c r="A32" s="53">
        <v>32</v>
      </c>
      <c r="B32" s="1053"/>
      <c r="C32" s="840">
        <v>21</v>
      </c>
      <c r="D32" s="840" t="s">
        <v>245</v>
      </c>
      <c r="E32" s="840">
        <v>9</v>
      </c>
      <c r="F32" s="840">
        <v>23</v>
      </c>
      <c r="G32" s="841">
        <v>1.92</v>
      </c>
      <c r="H32" s="842">
        <v>71.59</v>
      </c>
      <c r="I32" s="843">
        <f>AG32*6%</f>
        <v>94.56</v>
      </c>
      <c r="J32" s="844">
        <f>AG32*7%</f>
        <v>110.32000000000001</v>
      </c>
      <c r="K32" s="844">
        <f>AG32*7%</f>
        <v>110.32000000000001</v>
      </c>
      <c r="L32" s="844">
        <f>AG32*9%</f>
        <v>141.84</v>
      </c>
      <c r="M32" s="844">
        <f>AG32*8%</f>
        <v>126.08</v>
      </c>
      <c r="N32" s="845">
        <f>AG32*7%</f>
        <v>110.32000000000001</v>
      </c>
      <c r="O32" s="843">
        <f>U32*7%</f>
        <v>110.32000000000001</v>
      </c>
      <c r="P32" s="844">
        <f>U32*8%</f>
        <v>126.08</v>
      </c>
      <c r="Q32" s="844">
        <f>U32*9%</f>
        <v>141.84</v>
      </c>
      <c r="R32" s="844">
        <f>U32*12%-1</f>
        <v>188.12</v>
      </c>
      <c r="S32" s="844">
        <f>U32*11%+1</f>
        <v>174.36</v>
      </c>
      <c r="T32" s="845">
        <f>U32*9%</f>
        <v>141.84</v>
      </c>
      <c r="U32" s="846">
        <v>1576</v>
      </c>
      <c r="V32" s="847"/>
      <c r="W32" s="847"/>
      <c r="X32" s="847"/>
      <c r="Y32" s="847"/>
      <c r="Z32" s="847"/>
      <c r="AA32" s="847"/>
      <c r="AB32" s="67">
        <f t="shared" si="27"/>
        <v>157.60000000000002</v>
      </c>
      <c r="AC32" s="67">
        <f t="shared" si="28"/>
        <v>157.60000000000002</v>
      </c>
      <c r="AD32" s="67">
        <f>AG32*14%-1</f>
        <v>219.64000000000001</v>
      </c>
      <c r="AE32" s="67">
        <f>AG32*11%+1</f>
        <v>174.36</v>
      </c>
      <c r="AF32" s="67">
        <f t="shared" si="30"/>
        <v>157.60000000000002</v>
      </c>
      <c r="AG32" s="67">
        <v>1576</v>
      </c>
    </row>
    <row r="33" spans="1:37" x14ac:dyDescent="0.25">
      <c r="A33" s="53">
        <v>33</v>
      </c>
      <c r="B33" s="1053"/>
      <c r="C33" s="840">
        <v>22</v>
      </c>
      <c r="D33" s="840" t="s">
        <v>245</v>
      </c>
      <c r="E33" s="840">
        <v>9</v>
      </c>
      <c r="F33" s="840">
        <v>21</v>
      </c>
      <c r="G33" s="841">
        <v>1.75</v>
      </c>
      <c r="H33" s="842">
        <v>52.08</v>
      </c>
      <c r="I33" s="843">
        <f>AG33*6%</f>
        <v>62.76</v>
      </c>
      <c r="J33" s="844">
        <f>AG33*7%</f>
        <v>73.220000000000013</v>
      </c>
      <c r="K33" s="844">
        <f>AG33*7%</f>
        <v>73.220000000000013</v>
      </c>
      <c r="L33" s="844">
        <f>AG33*9%</f>
        <v>94.14</v>
      </c>
      <c r="M33" s="844">
        <f>AG33*8%</f>
        <v>83.68</v>
      </c>
      <c r="N33" s="845">
        <f>AG33*7%</f>
        <v>73.220000000000013</v>
      </c>
      <c r="O33" s="843">
        <f>U33*7%</f>
        <v>73.220000000000013</v>
      </c>
      <c r="P33" s="844">
        <f>U33*8%</f>
        <v>83.68</v>
      </c>
      <c r="Q33" s="844">
        <f>U33*9%</f>
        <v>94.14</v>
      </c>
      <c r="R33" s="844">
        <f>U33*12%</f>
        <v>125.52</v>
      </c>
      <c r="S33" s="844">
        <f>U33*11%</f>
        <v>115.06</v>
      </c>
      <c r="T33" s="845">
        <f>U33*9%</f>
        <v>94.14</v>
      </c>
      <c r="U33" s="846">
        <v>1046</v>
      </c>
      <c r="V33" s="847"/>
      <c r="W33" s="847"/>
      <c r="X33" s="847"/>
      <c r="Y33" s="847"/>
      <c r="Z33" s="847"/>
      <c r="AA33" s="847"/>
      <c r="AB33" s="67">
        <f t="shared" si="27"/>
        <v>104.60000000000001</v>
      </c>
      <c r="AC33" s="67">
        <f t="shared" si="28"/>
        <v>104.60000000000001</v>
      </c>
      <c r="AD33" s="67">
        <f t="shared" ref="AD33:AD34" si="31">AG33*14%</f>
        <v>146.44000000000003</v>
      </c>
      <c r="AE33" s="67">
        <f t="shared" si="29"/>
        <v>115.06</v>
      </c>
      <c r="AF33" s="67">
        <f t="shared" si="30"/>
        <v>104.60000000000001</v>
      </c>
      <c r="AG33" s="67">
        <v>1046</v>
      </c>
    </row>
    <row r="34" spans="1:37" ht="15.75" thickBot="1" x14ac:dyDescent="0.3">
      <c r="A34" s="53">
        <v>34</v>
      </c>
      <c r="B34" s="1052"/>
      <c r="C34" s="840">
        <v>24</v>
      </c>
      <c r="D34" s="840" t="s">
        <v>245</v>
      </c>
      <c r="E34" s="840">
        <v>9</v>
      </c>
      <c r="F34" s="840">
        <v>18</v>
      </c>
      <c r="G34" s="841">
        <v>1.5</v>
      </c>
      <c r="H34" s="842">
        <v>44.67</v>
      </c>
      <c r="I34" s="848">
        <f>AG34*6%</f>
        <v>45.66</v>
      </c>
      <c r="J34" s="849">
        <f>AG34*7%</f>
        <v>53.27</v>
      </c>
      <c r="K34" s="849">
        <f>AG34*7%</f>
        <v>53.27</v>
      </c>
      <c r="L34" s="849">
        <f>AG34*9%</f>
        <v>68.489999999999995</v>
      </c>
      <c r="M34" s="849">
        <f>AG34*8%</f>
        <v>60.88</v>
      </c>
      <c r="N34" s="850">
        <f>AG34*7%</f>
        <v>53.27</v>
      </c>
      <c r="O34" s="848">
        <f>U34*7%</f>
        <v>53.27</v>
      </c>
      <c r="P34" s="849">
        <f>U34*8%</f>
        <v>60.88</v>
      </c>
      <c r="Q34" s="849">
        <f>U34*9%</f>
        <v>68.489999999999995</v>
      </c>
      <c r="R34" s="849">
        <f>U34*12%</f>
        <v>91.32</v>
      </c>
      <c r="S34" s="849">
        <f>U34*11%+1</f>
        <v>84.71</v>
      </c>
      <c r="T34" s="850">
        <f>U34*9%</f>
        <v>68.489999999999995</v>
      </c>
      <c r="U34" s="846">
        <v>761</v>
      </c>
      <c r="V34" s="847"/>
      <c r="W34" s="847"/>
      <c r="X34" s="847"/>
      <c r="Y34" s="847"/>
      <c r="Z34" s="847"/>
      <c r="AA34" s="847"/>
      <c r="AB34" s="67">
        <f t="shared" si="27"/>
        <v>76.100000000000009</v>
      </c>
      <c r="AC34" s="67">
        <f t="shared" si="28"/>
        <v>76.100000000000009</v>
      </c>
      <c r="AD34" s="67">
        <f t="shared" si="31"/>
        <v>106.54</v>
      </c>
      <c r="AE34" s="67">
        <f>AG34*11%+1</f>
        <v>84.71</v>
      </c>
      <c r="AF34" s="67">
        <f t="shared" si="30"/>
        <v>76.100000000000009</v>
      </c>
      <c r="AG34" s="67">
        <v>761</v>
      </c>
    </row>
    <row r="35" spans="1:37" s="7" customFormat="1" x14ac:dyDescent="0.25">
      <c r="A35" s="53">
        <v>35</v>
      </c>
      <c r="B35" s="831"/>
      <c r="C35" s="831"/>
      <c r="D35" s="831"/>
      <c r="E35" s="831"/>
      <c r="F35" s="831"/>
      <c r="G35" s="851" t="s">
        <v>242</v>
      </c>
      <c r="H35" s="852">
        <f>SUBTOTAL(9,H30:H34)</f>
        <v>280.92</v>
      </c>
      <c r="I35" s="853">
        <f>SUBTOTAL(9,I30:I34)</f>
        <v>337.62</v>
      </c>
      <c r="J35" s="853">
        <f>SUBTOTAL(9,J30:J34)-1</f>
        <v>393.89000000000004</v>
      </c>
      <c r="K35" s="853">
        <f t="shared" ref="K35:AE35" si="32">SUBTOTAL(9,K30:K34)</f>
        <v>391.89000000000004</v>
      </c>
      <c r="L35" s="853">
        <f t="shared" si="32"/>
        <v>504.42999999999995</v>
      </c>
      <c r="M35" s="853">
        <f t="shared" si="32"/>
        <v>448.15999999999997</v>
      </c>
      <c r="N35" s="853">
        <f t="shared" si="32"/>
        <v>391.89000000000004</v>
      </c>
      <c r="O35" s="853">
        <f>SUBTOTAL(9,O30:O34)+1</f>
        <v>394.89000000000004</v>
      </c>
      <c r="P35" s="853">
        <f>SUBTOTAL(9,P30:P34)+1</f>
        <v>451.15999999999997</v>
      </c>
      <c r="Q35" s="853">
        <f>SUBTOTAL(9,Q30:Q34)+1</f>
        <v>507.42999999999995</v>
      </c>
      <c r="R35" s="853">
        <f t="shared" ref="R35:S35" si="33">SUBTOTAL(9,R30:R34)</f>
        <v>676.24</v>
      </c>
      <c r="S35" s="853">
        <f t="shared" si="33"/>
        <v>620.97</v>
      </c>
      <c r="T35" s="853">
        <f>SUBTOTAL(9,T30:T34)+1</f>
        <v>507.42999999999995</v>
      </c>
      <c r="U35" s="853">
        <f>SUBTOTAL(9,U30:U34)+1</f>
        <v>5628</v>
      </c>
      <c r="V35" s="854"/>
      <c r="W35" s="854"/>
      <c r="X35" s="854"/>
      <c r="Y35" s="854"/>
      <c r="Z35" s="854"/>
      <c r="AA35" s="854"/>
      <c r="AB35" s="855">
        <f>SUBTOTAL(9,AB30:AB34)+1</f>
        <v>563.70000000000005</v>
      </c>
      <c r="AC35" s="855">
        <f>SUBTOTAL(9,AC30:AC34)+1</f>
        <v>563.70000000000005</v>
      </c>
      <c r="AD35" s="855">
        <f t="shared" si="32"/>
        <v>788.78000000000009</v>
      </c>
      <c r="AE35" s="855">
        <f t="shared" si="32"/>
        <v>620.97</v>
      </c>
      <c r="AF35" s="855">
        <f>SUBTOTAL(9,AF30:AF34)+1</f>
        <v>563.70000000000005</v>
      </c>
      <c r="AG35" s="855">
        <f>SUBTOTAL(9,AG27:AG34)</f>
        <v>5627</v>
      </c>
      <c r="AH35" s="57"/>
      <c r="AI35" s="856"/>
      <c r="AJ35" s="856"/>
      <c r="AK35" s="856"/>
    </row>
    <row r="36" spans="1:37" ht="15.75" thickBot="1" x14ac:dyDescent="0.3">
      <c r="A36" s="53">
        <v>39</v>
      </c>
      <c r="B36" s="53"/>
      <c r="C36" s="53"/>
      <c r="D36" s="53"/>
      <c r="E36" s="53"/>
      <c r="F36" s="53"/>
      <c r="G36" s="68"/>
      <c r="H36" s="68"/>
      <c r="I36" s="53"/>
      <c r="J36" s="53"/>
      <c r="K36" s="53"/>
      <c r="L36" s="53"/>
      <c r="M36" s="53"/>
      <c r="O36" s="53"/>
      <c r="P36" s="53"/>
      <c r="Q36" s="53"/>
      <c r="R36" s="53"/>
      <c r="S36" s="53"/>
      <c r="T36" s="53"/>
      <c r="U36" s="53"/>
      <c r="V36" s="857"/>
      <c r="W36" s="857"/>
      <c r="X36" s="857"/>
      <c r="Y36" s="857"/>
      <c r="Z36" s="857"/>
      <c r="AA36" s="857"/>
    </row>
    <row r="37" spans="1:37" s="11" customFormat="1" ht="30.75" customHeight="1" x14ac:dyDescent="0.25">
      <c r="A37" s="53">
        <v>40</v>
      </c>
      <c r="B37" s="54" t="s">
        <v>14</v>
      </c>
      <c r="C37" s="54" t="s">
        <v>15</v>
      </c>
      <c r="D37" s="54" t="s">
        <v>16</v>
      </c>
      <c r="E37" s="54" t="s">
        <v>17</v>
      </c>
      <c r="F37" s="54" t="s">
        <v>18</v>
      </c>
      <c r="G37" s="832" t="s">
        <v>19</v>
      </c>
      <c r="H37" s="833" t="s">
        <v>20</v>
      </c>
      <c r="I37" s="834" t="s">
        <v>230</v>
      </c>
      <c r="J37" s="835" t="s">
        <v>231</v>
      </c>
      <c r="K37" s="835" t="s">
        <v>23</v>
      </c>
      <c r="L37" s="835" t="s">
        <v>232</v>
      </c>
      <c r="M37" s="835" t="s">
        <v>233</v>
      </c>
      <c r="N37" s="836" t="s">
        <v>26</v>
      </c>
      <c r="O37" s="834" t="s">
        <v>234</v>
      </c>
      <c r="P37" s="835" t="s">
        <v>235</v>
      </c>
      <c r="Q37" s="835" t="s">
        <v>236</v>
      </c>
      <c r="R37" s="835" t="s">
        <v>237</v>
      </c>
      <c r="S37" s="835" t="s">
        <v>238</v>
      </c>
      <c r="T37" s="836" t="s">
        <v>239</v>
      </c>
      <c r="U37" s="837" t="s">
        <v>33</v>
      </c>
      <c r="V37" s="838"/>
      <c r="W37" s="838"/>
      <c r="X37" s="838"/>
      <c r="Y37" s="838"/>
      <c r="Z37" s="838"/>
      <c r="AA37" s="838"/>
      <c r="AB37" s="839" t="s">
        <v>28</v>
      </c>
      <c r="AC37" s="839" t="s">
        <v>29</v>
      </c>
      <c r="AD37" s="839" t="s">
        <v>30</v>
      </c>
      <c r="AE37" s="839" t="s">
        <v>31</v>
      </c>
      <c r="AF37" s="839" t="s">
        <v>32</v>
      </c>
      <c r="AG37" s="839" t="s">
        <v>33</v>
      </c>
      <c r="AH37" s="839"/>
      <c r="AI37" s="839"/>
      <c r="AJ37" s="839"/>
      <c r="AK37" s="839"/>
    </row>
    <row r="38" spans="1:37" x14ac:dyDescent="0.25">
      <c r="A38" s="53">
        <v>41</v>
      </c>
      <c r="B38" s="1051" t="s">
        <v>42</v>
      </c>
      <c r="C38" s="858">
        <v>25</v>
      </c>
      <c r="D38" s="840" t="s">
        <v>246</v>
      </c>
      <c r="E38" s="840">
        <v>2</v>
      </c>
      <c r="F38" s="840">
        <v>4</v>
      </c>
      <c r="G38" s="841"/>
      <c r="H38" s="842">
        <v>38.200000000000003</v>
      </c>
      <c r="I38" s="843">
        <f>AG38*6%-1</f>
        <v>8.06</v>
      </c>
      <c r="J38" s="844">
        <f>AG38*7%-1</f>
        <v>9.57</v>
      </c>
      <c r="K38" s="844">
        <f>AG38*7%</f>
        <v>10.57</v>
      </c>
      <c r="L38" s="844">
        <f>AG38*9%</f>
        <v>13.59</v>
      </c>
      <c r="M38" s="844">
        <f>AG38*8%</f>
        <v>12.08</v>
      </c>
      <c r="N38" s="845">
        <f>AG38*7%</f>
        <v>10.57</v>
      </c>
      <c r="O38" s="843">
        <f>U38*7%</f>
        <v>10.57</v>
      </c>
      <c r="P38" s="844">
        <f>U38*8%</f>
        <v>12.08</v>
      </c>
      <c r="Q38" s="844">
        <f>U38*9%</f>
        <v>13.59</v>
      </c>
      <c r="R38" s="844">
        <f>U38*12%</f>
        <v>18.12</v>
      </c>
      <c r="S38" s="844">
        <f>U38*11%</f>
        <v>16.61</v>
      </c>
      <c r="T38" s="845">
        <f>U38*9%</f>
        <v>13.59</v>
      </c>
      <c r="U38" s="846">
        <v>151</v>
      </c>
      <c r="V38" s="847"/>
      <c r="W38" s="847"/>
      <c r="X38" s="847"/>
      <c r="Y38" s="847"/>
      <c r="Z38" s="847"/>
      <c r="AA38" s="847"/>
      <c r="AB38" s="67">
        <f>AG38*10%</f>
        <v>15.100000000000001</v>
      </c>
      <c r="AC38" s="67">
        <f>AG38*10%</f>
        <v>15.100000000000001</v>
      </c>
      <c r="AD38" s="67">
        <f>AG38*14%</f>
        <v>21.14</v>
      </c>
      <c r="AE38" s="67">
        <f>AG38*11%</f>
        <v>16.61</v>
      </c>
      <c r="AF38" s="67">
        <f>AG38*10%</f>
        <v>15.100000000000001</v>
      </c>
      <c r="AG38" s="67">
        <v>151</v>
      </c>
    </row>
    <row r="39" spans="1:37" ht="15.75" thickBot="1" x14ac:dyDescent="0.3">
      <c r="A39" s="53">
        <v>42</v>
      </c>
      <c r="B39" s="1053"/>
      <c r="C39" s="858" t="s">
        <v>7</v>
      </c>
      <c r="D39" s="840" t="s">
        <v>246</v>
      </c>
      <c r="E39" s="840">
        <v>2</v>
      </c>
      <c r="F39" s="840">
        <v>6</v>
      </c>
      <c r="G39" s="841"/>
      <c r="H39" s="842">
        <v>22.7</v>
      </c>
      <c r="I39" s="848">
        <f>AG39*6%-2</f>
        <v>5.9799999999999995</v>
      </c>
      <c r="J39" s="849">
        <f>AG39*7%-1</f>
        <v>8.31</v>
      </c>
      <c r="K39" s="849">
        <f>AG39*7%+1</f>
        <v>10.31</v>
      </c>
      <c r="L39" s="849">
        <f>AG39*9%+1</f>
        <v>12.969999999999999</v>
      </c>
      <c r="M39" s="849">
        <f>AG39*8%+1</f>
        <v>11.64</v>
      </c>
      <c r="N39" s="850">
        <f>AG39*7%+1</f>
        <v>10.31</v>
      </c>
      <c r="O39" s="848">
        <f>U39*7%</f>
        <v>9.31</v>
      </c>
      <c r="P39" s="849">
        <f>U39*8%+1</f>
        <v>11.64</v>
      </c>
      <c r="Q39" s="849">
        <f>U39*9%+1</f>
        <v>12.969999999999999</v>
      </c>
      <c r="R39" s="849">
        <f>U39*12%</f>
        <v>15.959999999999999</v>
      </c>
      <c r="S39" s="849">
        <f>U39*11%</f>
        <v>14.63</v>
      </c>
      <c r="T39" s="850">
        <f>U39*9%+1</f>
        <v>12.969999999999999</v>
      </c>
      <c r="U39" s="846">
        <v>133</v>
      </c>
      <c r="V39" s="847"/>
      <c r="W39" s="847"/>
      <c r="X39" s="847"/>
      <c r="Y39" s="847"/>
      <c r="Z39" s="847"/>
      <c r="AA39" s="847"/>
      <c r="AB39" s="67">
        <f>AG39*10%+1</f>
        <v>14.3</v>
      </c>
      <c r="AC39" s="67">
        <f>AG39*10%+1</f>
        <v>14.3</v>
      </c>
      <c r="AD39" s="67">
        <f>AG39*14%</f>
        <v>18.62</v>
      </c>
      <c r="AE39" s="67">
        <f>AG39*11%</f>
        <v>14.63</v>
      </c>
      <c r="AF39" s="67">
        <f>AG39*10%+1</f>
        <v>14.3</v>
      </c>
      <c r="AG39" s="67">
        <v>133</v>
      </c>
    </row>
    <row r="40" spans="1:37" ht="15.75" hidden="1" thickBot="1" x14ac:dyDescent="0.3">
      <c r="A40" s="53">
        <v>43</v>
      </c>
      <c r="B40" s="1053"/>
      <c r="C40" s="859" t="s">
        <v>45</v>
      </c>
      <c r="D40" s="1054" t="s">
        <v>46</v>
      </c>
      <c r="E40" s="1055"/>
      <c r="F40" s="1055"/>
      <c r="G40" s="1055"/>
      <c r="H40" s="1055"/>
      <c r="I40" s="1055"/>
      <c r="J40" s="1055"/>
      <c r="K40" s="1055"/>
      <c r="L40" s="1055"/>
      <c r="M40" s="1055"/>
      <c r="N40" s="1056"/>
      <c r="O40" s="861"/>
      <c r="P40" s="861"/>
      <c r="Q40" s="861"/>
      <c r="R40" s="861"/>
      <c r="S40" s="861"/>
      <c r="T40" s="861"/>
      <c r="U40" s="862"/>
      <c r="V40" s="857"/>
      <c r="W40" s="857"/>
      <c r="X40" s="857"/>
      <c r="Y40" s="857"/>
      <c r="Z40" s="857"/>
      <c r="AA40" s="857"/>
    </row>
    <row r="41" spans="1:37" x14ac:dyDescent="0.25">
      <c r="A41" s="53">
        <v>44</v>
      </c>
      <c r="B41" s="1053"/>
      <c r="C41" s="858">
        <v>27</v>
      </c>
      <c r="D41" s="840" t="s">
        <v>246</v>
      </c>
      <c r="E41" s="840">
        <v>2</v>
      </c>
      <c r="F41" s="840">
        <v>6</v>
      </c>
      <c r="G41" s="841"/>
      <c r="H41" s="842">
        <v>14.3</v>
      </c>
      <c r="I41" s="863">
        <f>AG41*6%</f>
        <v>5.0999999999999996</v>
      </c>
      <c r="J41" s="864">
        <f>AG41*7%</f>
        <v>5.95</v>
      </c>
      <c r="K41" s="864">
        <f>AG41*7%</f>
        <v>5.95</v>
      </c>
      <c r="L41" s="864">
        <f>AG41*9%</f>
        <v>7.6499999999999995</v>
      </c>
      <c r="M41" s="864">
        <f>AG41*8%</f>
        <v>6.8</v>
      </c>
      <c r="N41" s="865">
        <f>AG41*7%</f>
        <v>5.95</v>
      </c>
      <c r="O41" s="863">
        <f>U41*7%</f>
        <v>5.95</v>
      </c>
      <c r="P41" s="864">
        <f>U41*8%</f>
        <v>6.8</v>
      </c>
      <c r="Q41" s="864">
        <f>U41*9%</f>
        <v>7.6499999999999995</v>
      </c>
      <c r="R41" s="864">
        <f>U41*12%</f>
        <v>10.199999999999999</v>
      </c>
      <c r="S41" s="864">
        <f>U41*11%</f>
        <v>9.35</v>
      </c>
      <c r="T41" s="865">
        <f>U41*9%</f>
        <v>7.6499999999999995</v>
      </c>
      <c r="U41" s="846">
        <v>85</v>
      </c>
      <c r="V41" s="847"/>
      <c r="W41" s="847"/>
      <c r="X41" s="847"/>
      <c r="Y41" s="847"/>
      <c r="Z41" s="847"/>
      <c r="AA41" s="847"/>
      <c r="AB41" s="67">
        <f t="shared" ref="AB41:AB45" si="34">AG41*10%</f>
        <v>8.5</v>
      </c>
      <c r="AC41" s="67">
        <f t="shared" ref="AC41:AC45" si="35">AG41*10%</f>
        <v>8.5</v>
      </c>
      <c r="AD41" s="67">
        <f t="shared" ref="AD41:AD45" si="36">AG41*14%</f>
        <v>11.9</v>
      </c>
      <c r="AE41" s="67">
        <f t="shared" ref="AE41:AE45" si="37">AG41*11%</f>
        <v>9.35</v>
      </c>
      <c r="AF41" s="67">
        <f t="shared" ref="AF41:AF45" si="38">AG41*10%</f>
        <v>8.5</v>
      </c>
      <c r="AG41" s="67">
        <v>85</v>
      </c>
    </row>
    <row r="42" spans="1:37" x14ac:dyDescent="0.25">
      <c r="A42" s="53">
        <v>45</v>
      </c>
      <c r="B42" s="1053"/>
      <c r="C42" s="858">
        <v>28</v>
      </c>
      <c r="D42" s="840" t="s">
        <v>247</v>
      </c>
      <c r="E42" s="840">
        <v>3</v>
      </c>
      <c r="F42" s="840">
        <v>12</v>
      </c>
      <c r="G42" s="841"/>
      <c r="H42" s="842">
        <v>21.9</v>
      </c>
      <c r="I42" s="843">
        <f>AG42*6%</f>
        <v>15.719999999999999</v>
      </c>
      <c r="J42" s="844">
        <f>AG42*7%</f>
        <v>18.340000000000003</v>
      </c>
      <c r="K42" s="844">
        <f>AG42*7%</f>
        <v>18.340000000000003</v>
      </c>
      <c r="L42" s="844">
        <f>AG42*9%</f>
        <v>23.58</v>
      </c>
      <c r="M42" s="844">
        <f>AG42*8%</f>
        <v>20.96</v>
      </c>
      <c r="N42" s="845">
        <f>AG42*7%</f>
        <v>18.340000000000003</v>
      </c>
      <c r="O42" s="843">
        <f>U42*7%</f>
        <v>18.340000000000003</v>
      </c>
      <c r="P42" s="844">
        <f>U42*8%</f>
        <v>20.96</v>
      </c>
      <c r="Q42" s="844">
        <f>U42*9%</f>
        <v>23.58</v>
      </c>
      <c r="R42" s="844">
        <f>U42*12%</f>
        <v>31.439999999999998</v>
      </c>
      <c r="S42" s="844">
        <f>U42*11%</f>
        <v>28.82</v>
      </c>
      <c r="T42" s="845">
        <f>U42*9%</f>
        <v>23.58</v>
      </c>
      <c r="U42" s="846">
        <v>262</v>
      </c>
      <c r="V42" s="847"/>
      <c r="W42" s="847"/>
      <c r="X42" s="847"/>
      <c r="Y42" s="847"/>
      <c r="Z42" s="847"/>
      <c r="AA42" s="847"/>
      <c r="AB42" s="67">
        <f t="shared" si="34"/>
        <v>26.200000000000003</v>
      </c>
      <c r="AC42" s="67">
        <f t="shared" si="35"/>
        <v>26.200000000000003</v>
      </c>
      <c r="AD42" s="67">
        <f t="shared" si="36"/>
        <v>36.680000000000007</v>
      </c>
      <c r="AE42" s="67">
        <f t="shared" si="37"/>
        <v>28.82</v>
      </c>
      <c r="AF42" s="67">
        <f t="shared" si="38"/>
        <v>26.200000000000003</v>
      </c>
      <c r="AG42" s="67">
        <v>262</v>
      </c>
    </row>
    <row r="43" spans="1:37" x14ac:dyDescent="0.25">
      <c r="A43" s="53">
        <v>46</v>
      </c>
      <c r="B43" s="1053"/>
      <c r="C43" s="858">
        <v>29</v>
      </c>
      <c r="D43" s="840" t="s">
        <v>248</v>
      </c>
      <c r="E43" s="840" t="s">
        <v>49</v>
      </c>
      <c r="F43" s="840">
        <v>4</v>
      </c>
      <c r="G43" s="841"/>
      <c r="H43" s="842">
        <v>19.2</v>
      </c>
      <c r="I43" s="843">
        <f>AG43*6%-1</f>
        <v>3.5599999999999996</v>
      </c>
      <c r="J43" s="844">
        <f>AG43*7%</f>
        <v>5.32</v>
      </c>
      <c r="K43" s="844">
        <f>AG43*7%</f>
        <v>5.32</v>
      </c>
      <c r="L43" s="844">
        <f>AG43*9%</f>
        <v>6.84</v>
      </c>
      <c r="M43" s="844">
        <f>AG43*8%</f>
        <v>6.08</v>
      </c>
      <c r="N43" s="845">
        <f>AG43*7%</f>
        <v>5.32</v>
      </c>
      <c r="O43" s="843">
        <f>U43*7%</f>
        <v>5.32</v>
      </c>
      <c r="P43" s="844">
        <f>U43*8%</f>
        <v>6.08</v>
      </c>
      <c r="Q43" s="844">
        <f>U43*9%</f>
        <v>6.84</v>
      </c>
      <c r="R43" s="844">
        <f>U43*12%</f>
        <v>9.1199999999999992</v>
      </c>
      <c r="S43" s="844">
        <f>U43*11%</f>
        <v>8.36</v>
      </c>
      <c r="T43" s="845">
        <f>U43*9%</f>
        <v>6.84</v>
      </c>
      <c r="U43" s="846">
        <v>76</v>
      </c>
      <c r="V43" s="847"/>
      <c r="W43" s="847"/>
      <c r="X43" s="847"/>
      <c r="Y43" s="847"/>
      <c r="Z43" s="847"/>
      <c r="AA43" s="847"/>
      <c r="AB43" s="67">
        <f t="shared" si="34"/>
        <v>7.6000000000000005</v>
      </c>
      <c r="AC43" s="67">
        <f t="shared" si="35"/>
        <v>7.6000000000000005</v>
      </c>
      <c r="AD43" s="67">
        <f t="shared" si="36"/>
        <v>10.64</v>
      </c>
      <c r="AE43" s="67">
        <f t="shared" si="37"/>
        <v>8.36</v>
      </c>
      <c r="AF43" s="67">
        <f t="shared" si="38"/>
        <v>7.6000000000000005</v>
      </c>
      <c r="AG43" s="67">
        <v>76</v>
      </c>
    </row>
    <row r="44" spans="1:37" x14ac:dyDescent="0.25">
      <c r="A44" s="53">
        <v>47</v>
      </c>
      <c r="B44" s="1053"/>
      <c r="C44" s="858">
        <v>30</v>
      </c>
      <c r="D44" s="840" t="s">
        <v>248</v>
      </c>
      <c r="E44" s="840" t="s">
        <v>49</v>
      </c>
      <c r="F44" s="840">
        <v>4</v>
      </c>
      <c r="G44" s="841"/>
      <c r="H44" s="842">
        <v>24.3</v>
      </c>
      <c r="I44" s="843">
        <f>AG44*6%-1</f>
        <v>4.7</v>
      </c>
      <c r="J44" s="844">
        <f>AG44*7%-1</f>
        <v>5.65</v>
      </c>
      <c r="K44" s="844">
        <f>AG44*7%</f>
        <v>6.65</v>
      </c>
      <c r="L44" s="844">
        <f>AG44*9%</f>
        <v>8.5499999999999989</v>
      </c>
      <c r="M44" s="844">
        <f>AG44*8%</f>
        <v>7.6000000000000005</v>
      </c>
      <c r="N44" s="845">
        <f>AG44*7%</f>
        <v>6.65</v>
      </c>
      <c r="O44" s="843">
        <f>U44*7%</f>
        <v>6.65</v>
      </c>
      <c r="P44" s="844">
        <f>U44*8%</f>
        <v>7.6000000000000005</v>
      </c>
      <c r="Q44" s="844">
        <f>U44*9%</f>
        <v>8.5499999999999989</v>
      </c>
      <c r="R44" s="844">
        <f>U44*12%+1</f>
        <v>12.4</v>
      </c>
      <c r="S44" s="844">
        <f>U44*11%+1</f>
        <v>11.45</v>
      </c>
      <c r="T44" s="845">
        <f>U44*9%</f>
        <v>8.5499999999999989</v>
      </c>
      <c r="U44" s="846">
        <v>95</v>
      </c>
      <c r="V44" s="847"/>
      <c r="W44" s="847"/>
      <c r="X44" s="847"/>
      <c r="Y44" s="847"/>
      <c r="Z44" s="847"/>
      <c r="AA44" s="847"/>
      <c r="AB44" s="67">
        <f t="shared" si="34"/>
        <v>9.5</v>
      </c>
      <c r="AC44" s="67">
        <f t="shared" si="35"/>
        <v>9.5</v>
      </c>
      <c r="AD44" s="67">
        <f>AG44*14%+1</f>
        <v>14.3</v>
      </c>
      <c r="AE44" s="67">
        <f>AG44*11%+1</f>
        <v>11.45</v>
      </c>
      <c r="AF44" s="67">
        <f t="shared" si="38"/>
        <v>9.5</v>
      </c>
      <c r="AG44" s="67">
        <v>95</v>
      </c>
    </row>
    <row r="45" spans="1:37" ht="15.75" thickBot="1" x14ac:dyDescent="0.3">
      <c r="A45" s="53">
        <v>48</v>
      </c>
      <c r="B45" s="1053"/>
      <c r="C45" s="858">
        <v>31</v>
      </c>
      <c r="D45" s="840" t="s">
        <v>248</v>
      </c>
      <c r="E45" s="840" t="s">
        <v>49</v>
      </c>
      <c r="F45" s="840">
        <v>4</v>
      </c>
      <c r="G45" s="841"/>
      <c r="H45" s="842">
        <v>34</v>
      </c>
      <c r="I45" s="848">
        <f>AG45*6%-1</f>
        <v>7.1</v>
      </c>
      <c r="J45" s="849">
        <f>AG45*7%</f>
        <v>9.4500000000000011</v>
      </c>
      <c r="K45" s="849">
        <f>AG45*7%+1</f>
        <v>10.450000000000001</v>
      </c>
      <c r="L45" s="849">
        <f>AG45*9%+1</f>
        <v>13.15</v>
      </c>
      <c r="M45" s="849">
        <f>AG45*8%+1</f>
        <v>11.8</v>
      </c>
      <c r="N45" s="850">
        <f>AG45*7%+1</f>
        <v>10.450000000000001</v>
      </c>
      <c r="O45" s="848">
        <f>U45*7%</f>
        <v>9.4500000000000011</v>
      </c>
      <c r="P45" s="849">
        <f>U45*8%</f>
        <v>10.8</v>
      </c>
      <c r="Q45" s="849">
        <f>U45*9%</f>
        <v>12.15</v>
      </c>
      <c r="R45" s="849">
        <f>U45*12%</f>
        <v>16.2</v>
      </c>
      <c r="S45" s="849">
        <f>U45*11%</f>
        <v>14.85</v>
      </c>
      <c r="T45" s="850">
        <f>U45*9%</f>
        <v>12.15</v>
      </c>
      <c r="U45" s="843">
        <v>135</v>
      </c>
      <c r="V45" s="847"/>
      <c r="W45" s="847"/>
      <c r="X45" s="847"/>
      <c r="Y45" s="847"/>
      <c r="Z45" s="847"/>
      <c r="AA45" s="847"/>
      <c r="AB45" s="67">
        <f t="shared" si="34"/>
        <v>13.5</v>
      </c>
      <c r="AC45" s="67">
        <f t="shared" si="35"/>
        <v>13.5</v>
      </c>
      <c r="AD45" s="67">
        <f t="shared" si="36"/>
        <v>18.900000000000002</v>
      </c>
      <c r="AE45" s="67">
        <f t="shared" si="37"/>
        <v>14.85</v>
      </c>
      <c r="AF45" s="67">
        <f t="shared" si="38"/>
        <v>13.5</v>
      </c>
      <c r="AG45" s="67">
        <v>135</v>
      </c>
    </row>
    <row r="46" spans="1:37" hidden="1" x14ac:dyDescent="0.25">
      <c r="A46" s="53">
        <v>49</v>
      </c>
      <c r="B46" s="1052"/>
      <c r="C46" s="859">
        <v>32</v>
      </c>
      <c r="D46" s="1057" t="s">
        <v>50</v>
      </c>
      <c r="E46" s="1058"/>
      <c r="F46" s="1058"/>
      <c r="G46" s="1058"/>
      <c r="H46" s="1058"/>
      <c r="I46" s="1058"/>
      <c r="J46" s="1058"/>
      <c r="K46" s="1058"/>
      <c r="L46" s="1058"/>
      <c r="M46" s="1058"/>
      <c r="N46" s="1059"/>
      <c r="O46" s="866"/>
      <c r="P46" s="866"/>
      <c r="Q46" s="866"/>
      <c r="R46" s="866"/>
      <c r="S46" s="866"/>
      <c r="T46" s="866"/>
      <c r="U46" s="867"/>
      <c r="V46" s="857"/>
      <c r="W46" s="857"/>
      <c r="X46" s="857"/>
      <c r="Y46" s="857"/>
      <c r="Z46" s="857"/>
      <c r="AA46" s="857"/>
    </row>
    <row r="47" spans="1:37" s="7" customFormat="1" x14ac:dyDescent="0.25">
      <c r="A47" s="53">
        <v>50</v>
      </c>
      <c r="B47" s="831"/>
      <c r="C47" s="831"/>
      <c r="D47" s="831"/>
      <c r="E47" s="831"/>
      <c r="F47" s="831"/>
      <c r="G47" s="851" t="s">
        <v>242</v>
      </c>
      <c r="H47" s="852">
        <f>SUBTOTAL(9,H38:H46)</f>
        <v>174.6</v>
      </c>
      <c r="I47" s="853">
        <f>SUBTOTAL(9,I38:I46)+1</f>
        <v>51.220000000000006</v>
      </c>
      <c r="J47" s="853">
        <f>SUBTOTAL(9,J38:J46)</f>
        <v>62.59</v>
      </c>
      <c r="K47" s="853">
        <f>SUBTOTAL(9,K38:K46)-2</f>
        <v>65.59</v>
      </c>
      <c r="L47" s="853">
        <f>SUBTOTAL(9,L38:L46)-2</f>
        <v>84.33</v>
      </c>
      <c r="M47" s="853">
        <f>SUBTOTAL(9,M38:M46)-2</f>
        <v>74.959999999999994</v>
      </c>
      <c r="N47" s="853">
        <f>SUBTOTAL(9,N38:N46)-2</f>
        <v>65.59</v>
      </c>
      <c r="O47" s="853">
        <f>SUBTOTAL(9,O38:O46)+1</f>
        <v>66.59</v>
      </c>
      <c r="P47" s="853">
        <f t="shared" ref="P47:Q47" si="39">SUBTOTAL(9,P38:P46)</f>
        <v>75.959999999999994</v>
      </c>
      <c r="Q47" s="853">
        <f t="shared" si="39"/>
        <v>85.33</v>
      </c>
      <c r="R47" s="853">
        <f>SUBTOTAL(9,R38:R46)+1</f>
        <v>114.44000000000001</v>
      </c>
      <c r="S47" s="853">
        <f t="shared" ref="S47:T47" si="40">SUBTOTAL(9,S38:S46)</f>
        <v>104.07</v>
      </c>
      <c r="T47" s="853">
        <f t="shared" si="40"/>
        <v>85.33</v>
      </c>
      <c r="U47" s="853">
        <f>SUBTOTAL(9,U38:U46)+1</f>
        <v>938</v>
      </c>
      <c r="V47" s="854"/>
      <c r="W47" s="854"/>
      <c r="X47" s="854"/>
      <c r="Y47" s="854"/>
      <c r="Z47" s="854"/>
      <c r="AA47" s="854"/>
      <c r="AB47" s="855">
        <f>SUBTOTAL(9,AB38:AB46)</f>
        <v>94.7</v>
      </c>
      <c r="AC47" s="855">
        <f>SUBTOTAL(9,AC38:AC46)</f>
        <v>94.7</v>
      </c>
      <c r="AD47" s="855">
        <f>SUBTOTAL(9,AD38:AD46)+1</f>
        <v>133.18</v>
      </c>
      <c r="AE47" s="855">
        <f>SUBTOTAL(9,AE38:AE46)</f>
        <v>104.07</v>
      </c>
      <c r="AF47" s="855">
        <f>SUBTOTAL(9,AF38:AF46)</f>
        <v>94.7</v>
      </c>
      <c r="AG47" s="855">
        <f>SUBTOTAL(9,AG38:AG46)+1</f>
        <v>938</v>
      </c>
      <c r="AH47" s="856"/>
      <c r="AI47" s="856"/>
      <c r="AJ47" s="856"/>
      <c r="AK47" s="856"/>
    </row>
    <row r="48" spans="1:37" ht="15.75" thickBot="1" x14ac:dyDescent="0.3">
      <c r="A48" s="53">
        <v>52</v>
      </c>
      <c r="B48" s="53"/>
      <c r="C48" s="53"/>
      <c r="D48" s="53"/>
      <c r="E48" s="53"/>
      <c r="F48" s="53"/>
      <c r="G48" s="68"/>
      <c r="H48" s="68"/>
      <c r="I48" s="53"/>
      <c r="J48" s="53"/>
      <c r="K48" s="53"/>
      <c r="L48" s="53"/>
      <c r="M48" s="53"/>
      <c r="O48" s="53"/>
      <c r="P48" s="53"/>
      <c r="Q48" s="53"/>
      <c r="R48" s="53"/>
      <c r="S48" s="53"/>
      <c r="T48" s="53"/>
      <c r="U48" s="53"/>
      <c r="V48" s="857"/>
      <c r="W48" s="857"/>
      <c r="X48" s="857"/>
      <c r="Y48" s="857"/>
      <c r="Z48" s="857"/>
      <c r="AA48" s="857"/>
    </row>
    <row r="49" spans="1:37" s="11" customFormat="1" ht="30.75" customHeight="1" x14ac:dyDescent="0.25">
      <c r="A49" s="53">
        <v>53</v>
      </c>
      <c r="B49" s="54" t="s">
        <v>14</v>
      </c>
      <c r="C49" s="54" t="s">
        <v>15</v>
      </c>
      <c r="D49" s="54" t="s">
        <v>16</v>
      </c>
      <c r="E49" s="54" t="s">
        <v>17</v>
      </c>
      <c r="F49" s="54" t="s">
        <v>18</v>
      </c>
      <c r="G49" s="832" t="s">
        <v>19</v>
      </c>
      <c r="H49" s="833" t="s">
        <v>20</v>
      </c>
      <c r="I49" s="834" t="s">
        <v>230</v>
      </c>
      <c r="J49" s="835" t="s">
        <v>231</v>
      </c>
      <c r="K49" s="835" t="s">
        <v>23</v>
      </c>
      <c r="L49" s="835" t="s">
        <v>232</v>
      </c>
      <c r="M49" s="835" t="s">
        <v>233</v>
      </c>
      <c r="N49" s="836" t="s">
        <v>26</v>
      </c>
      <c r="O49" s="834" t="s">
        <v>234</v>
      </c>
      <c r="P49" s="835" t="s">
        <v>235</v>
      </c>
      <c r="Q49" s="835" t="s">
        <v>236</v>
      </c>
      <c r="R49" s="835" t="s">
        <v>237</v>
      </c>
      <c r="S49" s="835" t="s">
        <v>238</v>
      </c>
      <c r="T49" s="836" t="s">
        <v>239</v>
      </c>
      <c r="U49" s="837" t="s">
        <v>33</v>
      </c>
      <c r="V49" s="838"/>
      <c r="W49" s="838"/>
      <c r="X49" s="838"/>
      <c r="Y49" s="838"/>
      <c r="Z49" s="838"/>
      <c r="AA49" s="838"/>
      <c r="AB49" s="839" t="s">
        <v>28</v>
      </c>
      <c r="AC49" s="839" t="s">
        <v>29</v>
      </c>
      <c r="AD49" s="839" t="s">
        <v>30</v>
      </c>
      <c r="AE49" s="839" t="s">
        <v>31</v>
      </c>
      <c r="AF49" s="839" t="s">
        <v>32</v>
      </c>
      <c r="AG49" s="839" t="s">
        <v>33</v>
      </c>
      <c r="AH49" s="839"/>
      <c r="AI49" s="839"/>
      <c r="AJ49" s="839"/>
      <c r="AK49" s="839"/>
    </row>
    <row r="50" spans="1:37" x14ac:dyDescent="0.25">
      <c r="A50" s="53">
        <v>54</v>
      </c>
      <c r="B50" s="1051" t="s">
        <v>51</v>
      </c>
      <c r="C50" s="840">
        <v>33</v>
      </c>
      <c r="D50" s="840" t="s">
        <v>247</v>
      </c>
      <c r="E50" s="840">
        <v>3</v>
      </c>
      <c r="F50" s="840">
        <v>15</v>
      </c>
      <c r="G50" s="841">
        <v>1.25</v>
      </c>
      <c r="H50" s="842">
        <v>28.4</v>
      </c>
      <c r="I50" s="843">
        <f>AG50*6%+1</f>
        <v>26.619999999999997</v>
      </c>
      <c r="J50" s="844">
        <f>AG50*7%</f>
        <v>29.890000000000004</v>
      </c>
      <c r="K50" s="844">
        <f>AG50*7%</f>
        <v>29.890000000000004</v>
      </c>
      <c r="L50" s="844">
        <f>AG50*9%</f>
        <v>38.43</v>
      </c>
      <c r="M50" s="844">
        <f>AG50*8%</f>
        <v>34.160000000000004</v>
      </c>
      <c r="N50" s="845">
        <f>AG50*7%</f>
        <v>29.890000000000004</v>
      </c>
      <c r="O50" s="843">
        <f>U50*7%</f>
        <v>29.890000000000004</v>
      </c>
      <c r="P50" s="844">
        <f>U50*8%</f>
        <v>34.160000000000004</v>
      </c>
      <c r="Q50" s="844">
        <f>U50*9%</f>
        <v>38.43</v>
      </c>
      <c r="R50" s="844">
        <f>U50*12%</f>
        <v>51.239999999999995</v>
      </c>
      <c r="S50" s="844">
        <f>U50*11%</f>
        <v>46.97</v>
      </c>
      <c r="T50" s="845">
        <f>U50*9%</f>
        <v>38.43</v>
      </c>
      <c r="U50" s="846">
        <v>427</v>
      </c>
      <c r="V50" s="847"/>
      <c r="W50" s="847"/>
      <c r="X50" s="847"/>
      <c r="Y50" s="847"/>
      <c r="Z50" s="847"/>
      <c r="AA50" s="847"/>
      <c r="AB50" s="67">
        <f>AG50*10%</f>
        <v>42.7</v>
      </c>
      <c r="AC50" s="67">
        <f>AG50*10%</f>
        <v>42.7</v>
      </c>
      <c r="AD50" s="67">
        <f>AG50*14%</f>
        <v>59.780000000000008</v>
      </c>
      <c r="AE50" s="67">
        <f>AG50*11%</f>
        <v>46.97</v>
      </c>
      <c r="AF50" s="67">
        <f>AG50*10%</f>
        <v>42.7</v>
      </c>
      <c r="AG50" s="67">
        <v>427</v>
      </c>
    </row>
    <row r="51" spans="1:37" ht="15.75" thickBot="1" x14ac:dyDescent="0.3">
      <c r="A51" s="53">
        <v>55</v>
      </c>
      <c r="B51" s="1052"/>
      <c r="C51" s="840">
        <v>39</v>
      </c>
      <c r="D51" s="840" t="s">
        <v>249</v>
      </c>
      <c r="E51" s="840">
        <v>8</v>
      </c>
      <c r="F51" s="840">
        <v>6</v>
      </c>
      <c r="G51" s="841">
        <v>0.5</v>
      </c>
      <c r="H51" s="842">
        <v>4.5</v>
      </c>
      <c r="I51" s="848">
        <f>AG51*6%-1</f>
        <v>0.61999999999999988</v>
      </c>
      <c r="J51" s="849">
        <f>AG51*7%-1</f>
        <v>0.89000000000000012</v>
      </c>
      <c r="K51" s="849">
        <f>AG51*7%</f>
        <v>1.8900000000000001</v>
      </c>
      <c r="L51" s="849">
        <f>AG51*9%</f>
        <v>2.4299999999999997</v>
      </c>
      <c r="M51" s="849">
        <f>AG51*8%</f>
        <v>2.16</v>
      </c>
      <c r="N51" s="850">
        <f>AG51*7%</f>
        <v>1.8900000000000001</v>
      </c>
      <c r="O51" s="848">
        <f>U51*7%</f>
        <v>1.8900000000000001</v>
      </c>
      <c r="P51" s="849">
        <f>U51*8%</f>
        <v>2.16</v>
      </c>
      <c r="Q51" s="849">
        <f>U51*9%</f>
        <v>2.4299999999999997</v>
      </c>
      <c r="R51" s="849">
        <f>U51*12%</f>
        <v>3.2399999999999998</v>
      </c>
      <c r="S51" s="849">
        <f>U51*11%</f>
        <v>2.97</v>
      </c>
      <c r="T51" s="850">
        <f>U51*9%</f>
        <v>2.4299999999999997</v>
      </c>
      <c r="U51" s="846">
        <v>27</v>
      </c>
      <c r="V51" s="847"/>
      <c r="W51" s="847"/>
      <c r="X51" s="847"/>
      <c r="Y51" s="847"/>
      <c r="Z51" s="847"/>
      <c r="AA51" s="847"/>
      <c r="AB51" s="67">
        <f>AG51*10%</f>
        <v>2.7</v>
      </c>
      <c r="AC51" s="67">
        <f>AG51*10%</f>
        <v>2.7</v>
      </c>
      <c r="AD51" s="67">
        <f>AG51*14%</f>
        <v>3.7800000000000002</v>
      </c>
      <c r="AE51" s="67">
        <f>AG51*11%</f>
        <v>2.97</v>
      </c>
      <c r="AF51" s="67">
        <f>AG51*10%</f>
        <v>2.7</v>
      </c>
      <c r="AG51" s="67">
        <v>27</v>
      </c>
    </row>
    <row r="52" spans="1:37" s="7" customFormat="1" x14ac:dyDescent="0.25">
      <c r="A52" s="831"/>
      <c r="B52" s="831"/>
      <c r="C52" s="831"/>
      <c r="D52" s="831"/>
      <c r="E52" s="831"/>
      <c r="F52" s="831"/>
      <c r="G52" s="851" t="s">
        <v>242</v>
      </c>
      <c r="H52" s="852">
        <f>SUBTOTAL(9,H47:H51)</f>
        <v>32.9</v>
      </c>
      <c r="I52" s="853">
        <f>SUBTOTAL(9,I50:I51)-1</f>
        <v>26.24</v>
      </c>
      <c r="J52" s="853">
        <f t="shared" ref="J52:AG52" si="41">SUBTOTAL(9,J50:J51)</f>
        <v>30.780000000000005</v>
      </c>
      <c r="K52" s="853">
        <f t="shared" si="41"/>
        <v>31.780000000000005</v>
      </c>
      <c r="L52" s="853">
        <f t="shared" si="41"/>
        <v>40.86</v>
      </c>
      <c r="M52" s="853">
        <f t="shared" si="41"/>
        <v>36.320000000000007</v>
      </c>
      <c r="N52" s="853">
        <f t="shared" si="41"/>
        <v>31.780000000000005</v>
      </c>
      <c r="O52" s="853">
        <f t="shared" si="41"/>
        <v>31.780000000000005</v>
      </c>
      <c r="P52" s="853">
        <f t="shared" si="41"/>
        <v>36.320000000000007</v>
      </c>
      <c r="Q52" s="853">
        <f t="shared" si="41"/>
        <v>40.86</v>
      </c>
      <c r="R52" s="853">
        <f t="shared" si="41"/>
        <v>54.48</v>
      </c>
      <c r="S52" s="853">
        <f t="shared" si="41"/>
        <v>49.94</v>
      </c>
      <c r="T52" s="853">
        <f t="shared" si="41"/>
        <v>40.86</v>
      </c>
      <c r="U52" s="853">
        <f t="shared" si="41"/>
        <v>454</v>
      </c>
      <c r="V52" s="854"/>
      <c r="W52" s="854"/>
      <c r="X52" s="854"/>
      <c r="Y52" s="854"/>
      <c r="Z52" s="854"/>
      <c r="AA52" s="854"/>
      <c r="AB52" s="855">
        <f t="shared" si="41"/>
        <v>45.400000000000006</v>
      </c>
      <c r="AC52" s="855">
        <f t="shared" si="41"/>
        <v>45.400000000000006</v>
      </c>
      <c r="AD52" s="855">
        <f t="shared" si="41"/>
        <v>63.560000000000009</v>
      </c>
      <c r="AE52" s="855">
        <f t="shared" si="41"/>
        <v>49.94</v>
      </c>
      <c r="AF52" s="855">
        <f t="shared" si="41"/>
        <v>45.400000000000006</v>
      </c>
      <c r="AG52" s="855">
        <f t="shared" si="41"/>
        <v>454</v>
      </c>
      <c r="AH52" s="856"/>
      <c r="AI52" s="856"/>
      <c r="AJ52" s="856"/>
      <c r="AK52" s="856"/>
    </row>
    <row r="53" spans="1:37" s="7" customFormat="1" ht="15.75" thickBot="1" x14ac:dyDescent="0.3">
      <c r="A53" s="831"/>
      <c r="B53" s="831" t="s">
        <v>110</v>
      </c>
      <c r="C53" s="831"/>
      <c r="D53" s="831"/>
      <c r="E53" s="831"/>
      <c r="F53" s="831"/>
      <c r="G53" s="851"/>
      <c r="H53" s="852"/>
      <c r="I53" s="853"/>
      <c r="J53" s="853"/>
      <c r="K53" s="853"/>
      <c r="L53" s="853"/>
      <c r="M53" s="853"/>
      <c r="N53" s="853"/>
      <c r="O53" s="853"/>
      <c r="P53" s="853"/>
      <c r="Q53" s="853"/>
      <c r="R53" s="853"/>
      <c r="S53" s="853"/>
      <c r="T53" s="853"/>
      <c r="U53" s="853"/>
      <c r="V53" s="815"/>
      <c r="W53" s="815"/>
      <c r="X53" s="815"/>
      <c r="Y53" s="815"/>
      <c r="Z53" s="815"/>
      <c r="AA53" s="815"/>
      <c r="AB53" s="855"/>
      <c r="AC53" s="855"/>
      <c r="AD53" s="855"/>
      <c r="AE53" s="855"/>
      <c r="AF53" s="855"/>
      <c r="AG53" s="855"/>
      <c r="AH53" s="856"/>
      <c r="AI53" s="856"/>
      <c r="AJ53" s="856"/>
      <c r="AK53" s="856"/>
    </row>
    <row r="54" spans="1:37" s="7" customFormat="1" ht="30" x14ac:dyDescent="0.25">
      <c r="A54" s="831"/>
      <c r="B54" s="868" t="s">
        <v>20</v>
      </c>
      <c r="C54" s="834" t="s">
        <v>230</v>
      </c>
      <c r="D54" s="835" t="s">
        <v>231</v>
      </c>
      <c r="E54" s="835" t="s">
        <v>23</v>
      </c>
      <c r="F54" s="835" t="s">
        <v>232</v>
      </c>
      <c r="G54" s="835" t="s">
        <v>233</v>
      </c>
      <c r="H54" s="836" t="s">
        <v>26</v>
      </c>
      <c r="I54" s="834" t="s">
        <v>234</v>
      </c>
      <c r="J54" s="835" t="s">
        <v>235</v>
      </c>
      <c r="K54" s="835" t="s">
        <v>236</v>
      </c>
      <c r="L54" s="835" t="s">
        <v>237</v>
      </c>
      <c r="M54" s="835" t="s">
        <v>238</v>
      </c>
      <c r="N54" s="836" t="s">
        <v>239</v>
      </c>
      <c r="O54" s="869" t="s">
        <v>33</v>
      </c>
      <c r="P54" s="870"/>
      <c r="Q54" s="870"/>
      <c r="R54" s="870"/>
      <c r="S54" s="870"/>
      <c r="T54" s="870"/>
      <c r="U54" s="870"/>
      <c r="V54" s="11"/>
      <c r="W54" s="11"/>
      <c r="X54" s="11"/>
      <c r="Y54" s="11"/>
      <c r="Z54" s="11"/>
      <c r="AA54" s="11"/>
      <c r="AB54" s="855"/>
      <c r="AC54" s="855"/>
      <c r="AD54" s="855"/>
      <c r="AE54" s="855"/>
      <c r="AF54" s="855"/>
      <c r="AG54" s="855"/>
      <c r="AH54" s="856"/>
      <c r="AI54" s="58" t="s">
        <v>250</v>
      </c>
      <c r="AJ54" s="856"/>
      <c r="AK54" s="856"/>
    </row>
    <row r="55" spans="1:37" s="871" customFormat="1" ht="15.75" customHeight="1" thickBot="1" x14ac:dyDescent="0.3">
      <c r="B55" s="872">
        <f>H17+H27+H35+H47+H52</f>
        <v>1413.5900000000001</v>
      </c>
      <c r="C55" s="873">
        <f>I17+I27+I35+I47+I52</f>
        <v>1482.58</v>
      </c>
      <c r="D55" s="874">
        <f>J17+J27+J35+J47+J52-1</f>
        <v>1727.01</v>
      </c>
      <c r="E55" s="874">
        <f t="shared" ref="E55:M55" si="42">K17+K27+K35+K47+K52</f>
        <v>1727.01</v>
      </c>
      <c r="F55" s="874">
        <f t="shared" si="42"/>
        <v>2221.87</v>
      </c>
      <c r="G55" s="874">
        <f t="shared" si="42"/>
        <v>1974.4399999999998</v>
      </c>
      <c r="H55" s="874">
        <f t="shared" si="42"/>
        <v>1727.01</v>
      </c>
      <c r="I55" s="874">
        <f t="shared" si="42"/>
        <v>1736.01</v>
      </c>
      <c r="J55" s="874">
        <f t="shared" si="42"/>
        <v>1983.4399999999998</v>
      </c>
      <c r="K55" s="874">
        <f t="shared" si="42"/>
        <v>2230.87</v>
      </c>
      <c r="L55" s="874">
        <f t="shared" si="42"/>
        <v>2973.16</v>
      </c>
      <c r="M55" s="874">
        <f t="shared" si="42"/>
        <v>2723.73</v>
      </c>
      <c r="N55" s="875">
        <f>T17+T27+T35+T47+T52+1</f>
        <v>2231.87</v>
      </c>
      <c r="O55" s="876">
        <f>AG17+AG27+AG35+AG47+AG52+1</f>
        <v>24744</v>
      </c>
      <c r="P55" s="877"/>
      <c r="Q55" s="877"/>
      <c r="R55" s="877"/>
      <c r="S55" s="877"/>
      <c r="T55" s="877"/>
      <c r="U55" s="877"/>
      <c r="V55" s="877"/>
      <c r="W55" s="877"/>
      <c r="X55" s="877"/>
      <c r="Y55" s="877"/>
      <c r="Z55" s="877"/>
      <c r="AA55" s="877"/>
      <c r="AB55" s="878"/>
      <c r="AC55" s="878"/>
      <c r="AD55" s="878"/>
      <c r="AE55" s="878"/>
      <c r="AF55" s="878"/>
      <c r="AG55" s="878"/>
      <c r="AH55" s="878"/>
      <c r="AI55" s="879">
        <f>O55/B55</f>
        <v>17.504368310471918</v>
      </c>
      <c r="AJ55" s="878"/>
      <c r="AK55" s="878"/>
    </row>
    <row r="56" spans="1:37" hidden="1" x14ac:dyDescent="0.25">
      <c r="A56" s="53"/>
      <c r="B56" s="831" t="s">
        <v>251</v>
      </c>
      <c r="C56" s="53"/>
      <c r="D56" s="53"/>
      <c r="E56" s="53"/>
      <c r="F56" s="53"/>
      <c r="G56" s="68"/>
      <c r="H56" s="68"/>
      <c r="I56" s="53"/>
      <c r="J56" s="53"/>
      <c r="K56" s="53"/>
      <c r="L56" s="53"/>
      <c r="M56" s="53"/>
      <c r="O56" s="53"/>
      <c r="P56" s="53"/>
      <c r="Q56" s="53"/>
      <c r="R56" s="53"/>
      <c r="S56" s="53"/>
      <c r="T56" s="53"/>
      <c r="U56" s="53"/>
      <c r="V56" s="857"/>
      <c r="W56" s="857"/>
      <c r="X56" s="857"/>
      <c r="Y56" s="857"/>
      <c r="Z56" s="857"/>
      <c r="AA56" s="857"/>
    </row>
    <row r="57" spans="1:37" s="11" customFormat="1" ht="30.75" hidden="1" customHeight="1" x14ac:dyDescent="0.25">
      <c r="A57" s="53">
        <v>4</v>
      </c>
      <c r="B57" s="54" t="s">
        <v>14</v>
      </c>
      <c r="C57" s="54" t="s">
        <v>15</v>
      </c>
      <c r="D57" s="54" t="s">
        <v>16</v>
      </c>
      <c r="E57" s="54" t="s">
        <v>17</v>
      </c>
      <c r="F57" s="54" t="s">
        <v>18</v>
      </c>
      <c r="G57" s="832" t="s">
        <v>19</v>
      </c>
      <c r="H57" s="833" t="s">
        <v>20</v>
      </c>
      <c r="I57" s="870"/>
      <c r="J57" s="870"/>
      <c r="K57" s="870"/>
      <c r="L57" s="870"/>
      <c r="M57" s="870"/>
      <c r="N57" s="870"/>
      <c r="O57" s="870"/>
      <c r="P57" s="870"/>
      <c r="Q57" s="870"/>
      <c r="R57" s="870"/>
      <c r="S57" s="870"/>
      <c r="T57" s="870"/>
      <c r="U57" s="870"/>
      <c r="AB57" s="839"/>
      <c r="AC57" s="839"/>
      <c r="AD57" s="839"/>
      <c r="AE57" s="839"/>
      <c r="AF57" s="839"/>
      <c r="AG57" s="839"/>
      <c r="AH57" s="839"/>
      <c r="AI57" s="58" t="s">
        <v>250</v>
      </c>
      <c r="AJ57" s="839"/>
      <c r="AK57" s="839"/>
    </row>
    <row r="58" spans="1:37" hidden="1" x14ac:dyDescent="0.25">
      <c r="A58" s="53">
        <v>5</v>
      </c>
      <c r="B58" s="1051" t="s">
        <v>34</v>
      </c>
      <c r="C58" s="840">
        <v>1</v>
      </c>
      <c r="D58" s="840" t="s">
        <v>240</v>
      </c>
      <c r="E58" s="840">
        <v>11</v>
      </c>
      <c r="F58" s="840">
        <v>20</v>
      </c>
      <c r="G58" s="841">
        <v>1.67</v>
      </c>
      <c r="H58" s="842">
        <v>53.09</v>
      </c>
      <c r="I58" s="53"/>
      <c r="J58" s="53"/>
      <c r="K58" s="53"/>
      <c r="L58" s="53"/>
      <c r="M58" s="53"/>
      <c r="O58" s="53"/>
      <c r="P58" s="69"/>
      <c r="Q58" s="69"/>
      <c r="R58" s="69"/>
      <c r="S58" s="69"/>
      <c r="T58" s="69"/>
      <c r="U58" s="69"/>
      <c r="V58" s="533"/>
      <c r="W58" s="533"/>
      <c r="X58" s="533"/>
      <c r="Y58" s="533"/>
      <c r="Z58" s="533"/>
      <c r="AA58" s="533"/>
      <c r="AC58" s="57">
        <f>(H58/H70)*U17</f>
        <v>993.64234537213031</v>
      </c>
      <c r="AI58" s="648">
        <f t="shared" ref="AI58:AI70" si="43">U5/H58</f>
        <v>19.005462422301751</v>
      </c>
    </row>
    <row r="59" spans="1:37" hidden="1" x14ac:dyDescent="0.25">
      <c r="A59" s="53">
        <v>6</v>
      </c>
      <c r="B59" s="1053"/>
      <c r="C59" s="840">
        <v>2</v>
      </c>
      <c r="D59" s="840" t="s">
        <v>240</v>
      </c>
      <c r="E59" s="840">
        <v>11</v>
      </c>
      <c r="F59" s="840">
        <v>20</v>
      </c>
      <c r="G59" s="841">
        <v>1.67</v>
      </c>
      <c r="H59" s="842">
        <v>60.27</v>
      </c>
      <c r="I59" s="53"/>
      <c r="J59" s="53"/>
      <c r="K59" s="53"/>
      <c r="L59" s="53"/>
      <c r="M59" s="53"/>
      <c r="O59" s="53"/>
      <c r="P59" s="69"/>
      <c r="Q59" s="69"/>
      <c r="R59" s="69"/>
      <c r="S59" s="69"/>
      <c r="T59" s="69"/>
      <c r="U59" s="69"/>
      <c r="V59" s="533"/>
      <c r="W59" s="533"/>
      <c r="X59" s="533"/>
      <c r="Y59" s="533"/>
      <c r="Z59" s="533"/>
      <c r="AA59" s="533"/>
      <c r="AC59" s="57">
        <f>(H59/H70)*U17</f>
        <v>1128.0245649948822</v>
      </c>
      <c r="AI59" s="648">
        <f t="shared" si="43"/>
        <v>19.097395055583206</v>
      </c>
    </row>
    <row r="60" spans="1:37" hidden="1" x14ac:dyDescent="0.25">
      <c r="A60" s="53">
        <v>7</v>
      </c>
      <c r="B60" s="1053"/>
      <c r="C60" s="840">
        <v>3</v>
      </c>
      <c r="D60" s="840" t="s">
        <v>240</v>
      </c>
      <c r="E60" s="840">
        <v>11</v>
      </c>
      <c r="F60" s="840">
        <v>20</v>
      </c>
      <c r="G60" s="841">
        <v>1.67</v>
      </c>
      <c r="H60" s="842">
        <v>69.040000000000006</v>
      </c>
      <c r="I60" s="53"/>
      <c r="J60" s="53"/>
      <c r="K60" s="53"/>
      <c r="L60" s="53"/>
      <c r="M60" s="53"/>
      <c r="O60" s="53"/>
      <c r="P60" s="69"/>
      <c r="Q60" s="69"/>
      <c r="R60" s="69"/>
      <c r="S60" s="69"/>
      <c r="T60" s="69"/>
      <c r="U60" s="69"/>
      <c r="V60" s="533"/>
      <c r="W60" s="533"/>
      <c r="X60" s="533"/>
      <c r="Y60" s="533"/>
      <c r="Z60" s="533"/>
      <c r="AA60" s="533"/>
      <c r="AC60" s="57">
        <f>(H60/H70)*U17</f>
        <v>1292.1655212750402</v>
      </c>
      <c r="AI60" s="648">
        <f t="shared" si="43"/>
        <v>19.003476245654692</v>
      </c>
    </row>
    <row r="61" spans="1:37" hidden="1" x14ac:dyDescent="0.25">
      <c r="A61" s="53">
        <v>8</v>
      </c>
      <c r="B61" s="1053"/>
      <c r="C61" s="840">
        <v>4</v>
      </c>
      <c r="D61" s="840" t="s">
        <v>240</v>
      </c>
      <c r="E61" s="840">
        <v>11</v>
      </c>
      <c r="F61" s="840">
        <v>20</v>
      </c>
      <c r="G61" s="841">
        <v>1.67</v>
      </c>
      <c r="H61" s="842">
        <v>70.510000000000005</v>
      </c>
      <c r="I61" s="53"/>
      <c r="J61" s="53"/>
      <c r="K61" s="53"/>
      <c r="L61" s="53"/>
      <c r="M61" s="53"/>
      <c r="O61" s="53"/>
      <c r="P61" s="69"/>
      <c r="Q61" s="69"/>
      <c r="R61" s="69"/>
      <c r="S61" s="69"/>
      <c r="T61" s="69"/>
      <c r="U61" s="69"/>
      <c r="V61" s="533"/>
      <c r="W61" s="533"/>
      <c r="X61" s="533"/>
      <c r="Y61" s="533"/>
      <c r="Z61" s="533"/>
      <c r="AA61" s="533"/>
      <c r="AC61" s="57">
        <f>(H61/H70)*U17</f>
        <v>1319.6783155432079</v>
      </c>
      <c r="AI61" s="648">
        <f t="shared" si="43"/>
        <v>19.018578924975181</v>
      </c>
    </row>
    <row r="62" spans="1:37" hidden="1" x14ac:dyDescent="0.25">
      <c r="A62" s="53">
        <v>9</v>
      </c>
      <c r="B62" s="1053"/>
      <c r="C62" s="840">
        <v>5</v>
      </c>
      <c r="D62" s="840" t="s">
        <v>240</v>
      </c>
      <c r="E62" s="840">
        <v>11</v>
      </c>
      <c r="F62" s="840">
        <v>20</v>
      </c>
      <c r="G62" s="841">
        <v>1.67</v>
      </c>
      <c r="H62" s="842">
        <v>50.4</v>
      </c>
      <c r="I62" s="53"/>
      <c r="J62" s="53"/>
      <c r="K62" s="53"/>
      <c r="L62" s="53"/>
      <c r="M62" s="53"/>
      <c r="O62" s="53"/>
      <c r="P62" s="69"/>
      <c r="Q62" s="69"/>
      <c r="R62" s="69"/>
      <c r="S62" s="69"/>
      <c r="T62" s="69"/>
      <c r="U62" s="69"/>
      <c r="V62" s="533"/>
      <c r="W62" s="533"/>
      <c r="X62" s="533"/>
      <c r="Y62" s="533"/>
      <c r="Z62" s="533"/>
      <c r="AA62" s="533"/>
      <c r="AC62" s="57">
        <f>(H62/H70)*U17</f>
        <v>943.29580348004072</v>
      </c>
      <c r="AI62" s="648">
        <f t="shared" si="43"/>
        <v>19.00793650793651</v>
      </c>
    </row>
    <row r="63" spans="1:37" hidden="1" x14ac:dyDescent="0.25">
      <c r="A63" s="53">
        <v>10</v>
      </c>
      <c r="B63" s="1053"/>
      <c r="C63" s="840">
        <v>6</v>
      </c>
      <c r="D63" s="840" t="s">
        <v>240</v>
      </c>
      <c r="E63" s="840">
        <v>11</v>
      </c>
      <c r="F63" s="840">
        <v>20</v>
      </c>
      <c r="G63" s="841">
        <v>1.67</v>
      </c>
      <c r="H63" s="842">
        <v>58.6</v>
      </c>
      <c r="I63" s="53"/>
      <c r="J63" s="53"/>
      <c r="K63" s="53"/>
      <c r="L63" s="53"/>
      <c r="M63" s="53"/>
      <c r="O63" s="53"/>
      <c r="P63" s="69"/>
      <c r="Q63" s="69"/>
      <c r="R63" s="69"/>
      <c r="S63" s="69"/>
      <c r="T63" s="69"/>
      <c r="U63" s="69"/>
      <c r="V63" s="533"/>
      <c r="W63" s="533"/>
      <c r="X63" s="533"/>
      <c r="Y63" s="533"/>
      <c r="Z63" s="533"/>
      <c r="AA63" s="533"/>
      <c r="AC63" s="57">
        <f>(H63/H70)*U17</f>
        <v>1096.7685334113173</v>
      </c>
      <c r="AI63" s="648">
        <f t="shared" si="43"/>
        <v>19.010238907849828</v>
      </c>
    </row>
    <row r="64" spans="1:37" hidden="1" x14ac:dyDescent="0.25">
      <c r="A64" s="53">
        <v>11</v>
      </c>
      <c r="B64" s="1053"/>
      <c r="C64" s="840">
        <v>7</v>
      </c>
      <c r="D64" s="840" t="s">
        <v>240</v>
      </c>
      <c r="E64" s="840">
        <v>11</v>
      </c>
      <c r="F64" s="840">
        <v>17</v>
      </c>
      <c r="G64" s="841">
        <v>1.42</v>
      </c>
      <c r="H64" s="842">
        <v>23.6</v>
      </c>
      <c r="I64" s="53"/>
      <c r="J64" s="53"/>
      <c r="K64" s="53"/>
      <c r="L64" s="53"/>
      <c r="M64" s="53"/>
      <c r="O64" s="53"/>
      <c r="P64" s="69"/>
      <c r="Q64" s="69"/>
      <c r="R64" s="69"/>
      <c r="S64" s="69"/>
      <c r="T64" s="69"/>
      <c r="U64" s="69"/>
      <c r="V64" s="533"/>
      <c r="W64" s="533"/>
      <c r="X64" s="533"/>
      <c r="Y64" s="533"/>
      <c r="Z64" s="533"/>
      <c r="AA64" s="533"/>
      <c r="AC64" s="57">
        <f>(H64/H70)*U17</f>
        <v>441.70200321684456</v>
      </c>
      <c r="AI64" s="648">
        <f t="shared" si="43"/>
        <v>16.14406779661017</v>
      </c>
    </row>
    <row r="65" spans="1:37" hidden="1" x14ac:dyDescent="0.25">
      <c r="A65" s="53">
        <v>12</v>
      </c>
      <c r="B65" s="1053"/>
      <c r="C65" s="840">
        <v>8</v>
      </c>
      <c r="D65" s="840" t="s">
        <v>240</v>
      </c>
      <c r="E65" s="840">
        <v>11</v>
      </c>
      <c r="F65" s="840">
        <v>20</v>
      </c>
      <c r="G65" s="841">
        <v>1.67</v>
      </c>
      <c r="H65" s="842">
        <v>61.6</v>
      </c>
      <c r="I65" s="53"/>
      <c r="J65" s="53"/>
      <c r="K65" s="53"/>
      <c r="L65" s="53"/>
      <c r="M65" s="53"/>
      <c r="O65" s="53"/>
      <c r="P65" s="69"/>
      <c r="Q65" s="69"/>
      <c r="R65" s="69"/>
      <c r="S65" s="69"/>
      <c r="T65" s="69"/>
      <c r="U65" s="69"/>
      <c r="V65" s="533"/>
      <c r="W65" s="533"/>
      <c r="X65" s="533"/>
      <c r="Y65" s="533"/>
      <c r="Z65" s="533"/>
      <c r="AA65" s="533"/>
      <c r="AC65" s="57">
        <f>(H65/H70)*U17</f>
        <v>1152.9170931422721</v>
      </c>
      <c r="AI65" s="648">
        <f t="shared" si="43"/>
        <v>18.75</v>
      </c>
    </row>
    <row r="66" spans="1:37" hidden="1" x14ac:dyDescent="0.25">
      <c r="A66" s="53">
        <v>13</v>
      </c>
      <c r="B66" s="1053"/>
      <c r="C66" s="840">
        <v>9</v>
      </c>
      <c r="D66" s="840" t="s">
        <v>240</v>
      </c>
      <c r="E66" s="840">
        <v>11</v>
      </c>
      <c r="F66" s="840">
        <v>18</v>
      </c>
      <c r="G66" s="841">
        <v>1.5</v>
      </c>
      <c r="H66" s="842">
        <v>38.299999999999997</v>
      </c>
      <c r="I66" s="53"/>
      <c r="J66" s="53"/>
      <c r="K66" s="53"/>
      <c r="L66" s="53"/>
      <c r="M66" s="53"/>
      <c r="O66" s="53"/>
      <c r="P66" s="69"/>
      <c r="Q66" s="69"/>
      <c r="R66" s="69"/>
      <c r="S66" s="69"/>
      <c r="T66" s="69"/>
      <c r="U66" s="69"/>
      <c r="V66" s="533"/>
      <c r="W66" s="533"/>
      <c r="X66" s="533"/>
      <c r="Y66" s="533"/>
      <c r="Z66" s="533"/>
      <c r="AA66" s="533"/>
      <c r="AC66" s="57">
        <f>(H66/H70)*U17</f>
        <v>716.82994589852308</v>
      </c>
      <c r="AI66" s="648">
        <f t="shared" si="43"/>
        <v>17.180156657963447</v>
      </c>
    </row>
    <row r="67" spans="1:37" hidden="1" x14ac:dyDescent="0.25">
      <c r="A67" s="53">
        <v>14</v>
      </c>
      <c r="B67" s="1053"/>
      <c r="C67" s="840">
        <v>11</v>
      </c>
      <c r="D67" s="840" t="s">
        <v>241</v>
      </c>
      <c r="E67" s="840">
        <v>10.5</v>
      </c>
      <c r="F67" s="840">
        <v>19</v>
      </c>
      <c r="G67" s="841">
        <v>1.58</v>
      </c>
      <c r="H67" s="842">
        <v>44.5</v>
      </c>
      <c r="I67" s="53"/>
      <c r="J67" s="53"/>
      <c r="K67" s="53"/>
      <c r="L67" s="53"/>
      <c r="M67" s="53"/>
      <c r="O67" s="53"/>
      <c r="P67" s="69"/>
      <c r="Q67" s="69"/>
      <c r="R67" s="69"/>
      <c r="S67" s="69"/>
      <c r="T67" s="69"/>
      <c r="U67" s="69"/>
      <c r="V67" s="533"/>
      <c r="W67" s="533"/>
      <c r="X67" s="533"/>
      <c r="Y67" s="533"/>
      <c r="Z67" s="533"/>
      <c r="AA67" s="533"/>
      <c r="AC67" s="57">
        <f>(H67/H70)*U17</f>
        <v>832.87030267582975</v>
      </c>
      <c r="AI67" s="648">
        <f t="shared" si="43"/>
        <v>18.067415730337078</v>
      </c>
    </row>
    <row r="68" spans="1:37" hidden="1" x14ac:dyDescent="0.25">
      <c r="A68" s="53">
        <v>15</v>
      </c>
      <c r="B68" s="1053"/>
      <c r="C68" s="840">
        <v>12</v>
      </c>
      <c r="D68" s="840" t="s">
        <v>35</v>
      </c>
      <c r="E68" s="840">
        <v>10</v>
      </c>
      <c r="F68" s="840">
        <v>20</v>
      </c>
      <c r="G68" s="841">
        <v>1.67</v>
      </c>
      <c r="H68" s="842">
        <v>71</v>
      </c>
      <c r="I68" s="53"/>
      <c r="J68" s="53"/>
      <c r="K68" s="53"/>
      <c r="L68" s="53"/>
      <c r="M68" s="53"/>
      <c r="O68" s="53"/>
      <c r="P68" s="69"/>
      <c r="Q68" s="69"/>
      <c r="R68" s="69"/>
      <c r="S68" s="69"/>
      <c r="T68" s="69"/>
      <c r="U68" s="69"/>
      <c r="V68" s="533"/>
      <c r="W68" s="533"/>
      <c r="X68" s="533"/>
      <c r="Y68" s="533"/>
      <c r="Z68" s="533"/>
      <c r="AA68" s="533"/>
      <c r="AC68" s="57">
        <f>(H68/H70)*U17</f>
        <v>1328.8492469659304</v>
      </c>
      <c r="AI68" s="648">
        <f t="shared" si="43"/>
        <v>18.985915492957748</v>
      </c>
    </row>
    <row r="69" spans="1:37" hidden="1" x14ac:dyDescent="0.25">
      <c r="A69" s="53">
        <v>16</v>
      </c>
      <c r="B69" s="1052"/>
      <c r="C69" s="840">
        <v>23</v>
      </c>
      <c r="D69" s="840" t="s">
        <v>35</v>
      </c>
      <c r="E69" s="840">
        <v>10</v>
      </c>
      <c r="F69" s="840">
        <v>21</v>
      </c>
      <c r="G69" s="841">
        <v>1.75</v>
      </c>
      <c r="H69" s="842">
        <v>14.6</v>
      </c>
      <c r="I69" s="53"/>
      <c r="J69" s="53"/>
      <c r="K69" s="53"/>
      <c r="L69" s="53"/>
      <c r="M69" s="53"/>
      <c r="O69" s="53"/>
      <c r="P69" s="69"/>
      <c r="Q69" s="69"/>
      <c r="R69" s="69"/>
      <c r="S69" s="69"/>
      <c r="T69" s="69"/>
      <c r="U69" s="69"/>
      <c r="V69" s="533"/>
      <c r="W69" s="533"/>
      <c r="X69" s="533"/>
      <c r="Y69" s="533"/>
      <c r="Z69" s="533"/>
      <c r="AA69" s="533"/>
      <c r="AC69" s="57">
        <f>(H69/H70)*U17</f>
        <v>273.25632402398008</v>
      </c>
      <c r="AI69" s="648">
        <f t="shared" si="43"/>
        <v>19.794520547945204</v>
      </c>
    </row>
    <row r="70" spans="1:37" s="7" customFormat="1" hidden="1" x14ac:dyDescent="0.25">
      <c r="A70" s="53">
        <v>17</v>
      </c>
      <c r="B70" s="831"/>
      <c r="C70" s="831"/>
      <c r="D70" s="831"/>
      <c r="E70" s="831"/>
      <c r="F70" s="831"/>
      <c r="G70" s="851" t="s">
        <v>242</v>
      </c>
      <c r="H70" s="852">
        <f>SUBTOTAL(9,H58:H69)</f>
        <v>615.5100000000001</v>
      </c>
      <c r="I70" s="831"/>
      <c r="J70" s="831"/>
      <c r="K70" s="831"/>
      <c r="L70" s="831"/>
      <c r="M70" s="831"/>
      <c r="N70" s="831"/>
      <c r="O70" s="831"/>
      <c r="P70" s="853"/>
      <c r="Q70" s="853"/>
      <c r="R70" s="853"/>
      <c r="S70" s="853"/>
      <c r="T70" s="853"/>
      <c r="U70" s="853"/>
      <c r="V70" s="815"/>
      <c r="W70" s="815"/>
      <c r="X70" s="815"/>
      <c r="Y70" s="815"/>
      <c r="Z70" s="815"/>
      <c r="AA70" s="815"/>
      <c r="AB70" s="856"/>
      <c r="AC70" s="856"/>
      <c r="AD70" s="856"/>
      <c r="AE70" s="856"/>
      <c r="AF70" s="856"/>
      <c r="AG70" s="856"/>
      <c r="AH70" s="856"/>
      <c r="AI70" s="880">
        <f t="shared" si="43"/>
        <v>18.716186576984935</v>
      </c>
      <c r="AJ70" s="856"/>
      <c r="AK70" s="856"/>
    </row>
    <row r="71" spans="1:37" hidden="1" x14ac:dyDescent="0.25">
      <c r="A71" s="53">
        <v>18</v>
      </c>
      <c r="B71" s="53"/>
      <c r="C71" s="53"/>
      <c r="D71" s="53"/>
      <c r="E71" s="53"/>
      <c r="F71" s="53"/>
      <c r="G71" s="68"/>
      <c r="H71" s="68"/>
      <c r="I71" s="53"/>
      <c r="J71" s="53"/>
      <c r="K71" s="53"/>
      <c r="L71" s="53"/>
      <c r="M71" s="53"/>
      <c r="O71" s="53"/>
      <c r="P71" s="53"/>
      <c r="Q71" s="53"/>
      <c r="R71" s="53"/>
      <c r="S71" s="53"/>
      <c r="T71" s="53"/>
      <c r="U71" s="53"/>
      <c r="AI71" s="881"/>
    </row>
    <row r="72" spans="1:37" s="11" customFormat="1" ht="30.75" hidden="1" customHeight="1" x14ac:dyDescent="0.25">
      <c r="A72" s="53">
        <v>19</v>
      </c>
      <c r="B72" s="54" t="s">
        <v>14</v>
      </c>
      <c r="C72" s="54" t="s">
        <v>15</v>
      </c>
      <c r="D72" s="54" t="s">
        <v>16</v>
      </c>
      <c r="E72" s="54" t="s">
        <v>17</v>
      </c>
      <c r="F72" s="54" t="s">
        <v>18</v>
      </c>
      <c r="G72" s="832" t="s">
        <v>19</v>
      </c>
      <c r="H72" s="833" t="s">
        <v>20</v>
      </c>
      <c r="I72" s="870"/>
      <c r="J72" s="870"/>
      <c r="K72" s="870"/>
      <c r="L72" s="870"/>
      <c r="M72" s="870"/>
      <c r="N72" s="870"/>
      <c r="O72" s="870"/>
      <c r="P72" s="870"/>
      <c r="Q72" s="870"/>
      <c r="R72" s="870"/>
      <c r="S72" s="870"/>
      <c r="T72" s="870"/>
      <c r="U72" s="870"/>
      <c r="AB72" s="839"/>
      <c r="AC72" s="839"/>
      <c r="AD72" s="839"/>
      <c r="AE72" s="839"/>
      <c r="AF72" s="839"/>
      <c r="AG72" s="839"/>
      <c r="AH72" s="839"/>
      <c r="AI72" s="58" t="s">
        <v>250</v>
      </c>
      <c r="AJ72" s="839"/>
      <c r="AK72" s="839"/>
    </row>
    <row r="73" spans="1:37" hidden="1" x14ac:dyDescent="0.25">
      <c r="A73" s="53">
        <v>20</v>
      </c>
      <c r="B73" s="1051" t="s">
        <v>38</v>
      </c>
      <c r="C73" s="840">
        <v>10</v>
      </c>
      <c r="D73" s="840" t="s">
        <v>243</v>
      </c>
      <c r="E73" s="840">
        <v>9.5</v>
      </c>
      <c r="F73" s="840">
        <v>19</v>
      </c>
      <c r="G73" s="841">
        <v>1.58</v>
      </c>
      <c r="H73" s="842">
        <v>19.100000000000001</v>
      </c>
      <c r="I73" s="53"/>
      <c r="J73" s="53"/>
      <c r="K73" s="53"/>
      <c r="L73" s="53"/>
      <c r="M73" s="53"/>
      <c r="O73" s="53"/>
      <c r="P73" s="69"/>
      <c r="Q73" s="69"/>
      <c r="R73" s="69"/>
      <c r="S73" s="69"/>
      <c r="T73" s="69"/>
      <c r="U73" s="69"/>
      <c r="V73" s="533"/>
      <c r="W73" s="533"/>
      <c r="X73" s="533"/>
      <c r="Y73" s="533"/>
      <c r="Z73" s="533"/>
      <c r="AA73" s="533"/>
      <c r="AI73" s="648">
        <f t="shared" ref="AI73:AI80" si="44">U20/H73</f>
        <v>17.958115183246072</v>
      </c>
    </row>
    <row r="74" spans="1:37" hidden="1" x14ac:dyDescent="0.25">
      <c r="A74" s="53">
        <v>21</v>
      </c>
      <c r="B74" s="1053"/>
      <c r="C74" s="840">
        <v>13</v>
      </c>
      <c r="D74" s="840" t="s">
        <v>244</v>
      </c>
      <c r="E74" s="840">
        <v>10</v>
      </c>
      <c r="F74" s="840">
        <v>22</v>
      </c>
      <c r="G74" s="841">
        <v>1.83</v>
      </c>
      <c r="H74" s="842">
        <v>60.8</v>
      </c>
      <c r="I74" s="53"/>
      <c r="J74" s="53"/>
      <c r="K74" s="53"/>
      <c r="L74" s="53"/>
      <c r="M74" s="53"/>
      <c r="O74" s="53"/>
      <c r="P74" s="69"/>
      <c r="Q74" s="69"/>
      <c r="R74" s="69"/>
      <c r="S74" s="69"/>
      <c r="T74" s="69"/>
      <c r="U74" s="69"/>
      <c r="V74" s="533"/>
      <c r="W74" s="533"/>
      <c r="X74" s="533"/>
      <c r="Y74" s="533"/>
      <c r="Z74" s="533"/>
      <c r="AA74" s="533"/>
      <c r="AI74" s="648">
        <f t="shared" si="44"/>
        <v>20.921052631578949</v>
      </c>
    </row>
    <row r="75" spans="1:37" hidden="1" x14ac:dyDescent="0.25">
      <c r="A75" s="53">
        <v>22</v>
      </c>
      <c r="B75" s="1053"/>
      <c r="C75" s="840">
        <v>14</v>
      </c>
      <c r="D75" s="840" t="s">
        <v>244</v>
      </c>
      <c r="E75" s="840">
        <v>10</v>
      </c>
      <c r="F75" s="840">
        <v>21</v>
      </c>
      <c r="G75" s="841">
        <v>1.75</v>
      </c>
      <c r="H75" s="842">
        <v>41.6</v>
      </c>
      <c r="I75" s="53"/>
      <c r="J75" s="53"/>
      <c r="K75" s="53"/>
      <c r="L75" s="53"/>
      <c r="M75" s="53"/>
      <c r="O75" s="53"/>
      <c r="P75" s="69"/>
      <c r="Q75" s="69"/>
      <c r="R75" s="69"/>
      <c r="S75" s="69"/>
      <c r="T75" s="69"/>
      <c r="U75" s="69"/>
      <c r="V75" s="533"/>
      <c r="W75" s="533"/>
      <c r="X75" s="533"/>
      <c r="Y75" s="533"/>
      <c r="Z75" s="533"/>
      <c r="AA75" s="533"/>
      <c r="AI75" s="648">
        <f t="shared" si="44"/>
        <v>19.951923076923077</v>
      </c>
    </row>
    <row r="76" spans="1:37" hidden="1" x14ac:dyDescent="0.25">
      <c r="A76" s="53">
        <v>23</v>
      </c>
      <c r="B76" s="1053"/>
      <c r="C76" s="840">
        <v>15</v>
      </c>
      <c r="D76" s="840" t="s">
        <v>244</v>
      </c>
      <c r="E76" s="840">
        <v>10</v>
      </c>
      <c r="F76" s="840">
        <v>20</v>
      </c>
      <c r="G76" s="841">
        <v>1.67</v>
      </c>
      <c r="H76" s="842">
        <v>49.17</v>
      </c>
      <c r="I76" s="53"/>
      <c r="J76" s="53"/>
      <c r="K76" s="53"/>
      <c r="L76" s="53"/>
      <c r="M76" s="53"/>
      <c r="O76" s="53"/>
      <c r="P76" s="69"/>
      <c r="Q76" s="69"/>
      <c r="R76" s="69"/>
      <c r="S76" s="69"/>
      <c r="T76" s="69"/>
      <c r="U76" s="69"/>
      <c r="V76" s="533"/>
      <c r="W76" s="533"/>
      <c r="X76" s="533"/>
      <c r="Y76" s="533"/>
      <c r="Z76" s="533"/>
      <c r="AA76" s="533"/>
      <c r="AI76" s="648">
        <f t="shared" si="44"/>
        <v>19.097010372178158</v>
      </c>
    </row>
    <row r="77" spans="1:37" hidden="1" x14ac:dyDescent="0.25">
      <c r="A77" s="53">
        <v>24</v>
      </c>
      <c r="B77" s="1053"/>
      <c r="C77" s="840">
        <v>16</v>
      </c>
      <c r="D77" s="840" t="s">
        <v>244</v>
      </c>
      <c r="E77" s="840">
        <v>9.5</v>
      </c>
      <c r="F77" s="840">
        <v>20</v>
      </c>
      <c r="G77" s="841">
        <v>1.67</v>
      </c>
      <c r="H77" s="842">
        <v>52.61</v>
      </c>
      <c r="I77" s="53"/>
      <c r="J77" s="53"/>
      <c r="K77" s="53"/>
      <c r="L77" s="53"/>
      <c r="M77" s="53"/>
      <c r="O77" s="53"/>
      <c r="P77" s="69"/>
      <c r="Q77" s="69"/>
      <c r="R77" s="69"/>
      <c r="S77" s="69"/>
      <c r="T77" s="69"/>
      <c r="U77" s="69"/>
      <c r="V77" s="533"/>
      <c r="W77" s="533"/>
      <c r="X77" s="533"/>
      <c r="Y77" s="533"/>
      <c r="Z77" s="533"/>
      <c r="AA77" s="533"/>
      <c r="AI77" s="648">
        <f t="shared" si="44"/>
        <v>19.159855540771716</v>
      </c>
    </row>
    <row r="78" spans="1:37" hidden="1" x14ac:dyDescent="0.25">
      <c r="A78" s="53">
        <v>25</v>
      </c>
      <c r="B78" s="1053"/>
      <c r="C78" s="840">
        <v>17</v>
      </c>
      <c r="D78" s="840" t="s">
        <v>243</v>
      </c>
      <c r="E78" s="840">
        <v>9.5</v>
      </c>
      <c r="F78" s="840">
        <v>22</v>
      </c>
      <c r="G78" s="841">
        <v>1.83</v>
      </c>
      <c r="H78" s="842">
        <v>45.58</v>
      </c>
      <c r="I78" s="53"/>
      <c r="J78" s="53"/>
      <c r="K78" s="53"/>
      <c r="L78" s="53"/>
      <c r="M78" s="53"/>
      <c r="O78" s="53"/>
      <c r="P78" s="69"/>
      <c r="Q78" s="69"/>
      <c r="R78" s="69"/>
      <c r="S78" s="69"/>
      <c r="T78" s="69"/>
      <c r="U78" s="69"/>
      <c r="V78" s="533"/>
      <c r="W78" s="533"/>
      <c r="X78" s="533"/>
      <c r="Y78" s="533"/>
      <c r="Z78" s="533"/>
      <c r="AA78" s="533"/>
      <c r="AI78" s="648">
        <f t="shared" si="44"/>
        <v>20.996050899517332</v>
      </c>
    </row>
    <row r="79" spans="1:37" hidden="1" x14ac:dyDescent="0.25">
      <c r="A79" s="53">
        <v>26</v>
      </c>
      <c r="B79" s="1052"/>
      <c r="C79" s="840">
        <v>18</v>
      </c>
      <c r="D79" s="840" t="s">
        <v>243</v>
      </c>
      <c r="E79" s="840">
        <v>9.5</v>
      </c>
      <c r="F79" s="840">
        <v>22</v>
      </c>
      <c r="G79" s="841">
        <v>1.83</v>
      </c>
      <c r="H79" s="842">
        <v>40.799999999999997</v>
      </c>
      <c r="I79" s="53"/>
      <c r="J79" s="53"/>
      <c r="K79" s="53"/>
      <c r="L79" s="53"/>
      <c r="M79" s="53"/>
      <c r="O79" s="53"/>
      <c r="P79" s="69"/>
      <c r="Q79" s="69"/>
      <c r="R79" s="69"/>
      <c r="S79" s="69"/>
      <c r="T79" s="69"/>
      <c r="U79" s="69"/>
      <c r="V79" s="533"/>
      <c r="W79" s="533"/>
      <c r="X79" s="533"/>
      <c r="Y79" s="533"/>
      <c r="Z79" s="533"/>
      <c r="AA79" s="533"/>
      <c r="AI79" s="648">
        <f t="shared" si="44"/>
        <v>20.980392156862745</v>
      </c>
    </row>
    <row r="80" spans="1:37" s="7" customFormat="1" hidden="1" x14ac:dyDescent="0.25">
      <c r="A80" s="53">
        <v>27</v>
      </c>
      <c r="B80" s="831"/>
      <c r="C80" s="831"/>
      <c r="D80" s="831"/>
      <c r="E80" s="831"/>
      <c r="F80" s="831"/>
      <c r="G80" s="851" t="s">
        <v>242</v>
      </c>
      <c r="H80" s="852">
        <f>SUBTOTAL(9,H73:H79)</f>
        <v>309.66000000000003</v>
      </c>
      <c r="I80" s="831"/>
      <c r="J80" s="831"/>
      <c r="K80" s="831"/>
      <c r="L80" s="831"/>
      <c r="M80" s="831"/>
      <c r="N80" s="831"/>
      <c r="O80" s="831"/>
      <c r="P80" s="853"/>
      <c r="Q80" s="853"/>
      <c r="R80" s="853"/>
      <c r="S80" s="853"/>
      <c r="T80" s="853"/>
      <c r="U80" s="853"/>
      <c r="V80" s="815"/>
      <c r="W80" s="815"/>
      <c r="X80" s="815"/>
      <c r="Y80" s="815"/>
      <c r="Z80" s="815"/>
      <c r="AA80" s="815"/>
      <c r="AB80" s="856"/>
      <c r="AC80" s="856"/>
      <c r="AD80" s="856"/>
      <c r="AE80" s="856"/>
      <c r="AF80" s="856"/>
      <c r="AG80" s="856"/>
      <c r="AH80" s="856"/>
      <c r="AI80" s="880">
        <f t="shared" si="44"/>
        <v>20.034876961829102</v>
      </c>
      <c r="AJ80" s="856"/>
      <c r="AK80" s="856"/>
    </row>
    <row r="81" spans="1:37" hidden="1" x14ac:dyDescent="0.25">
      <c r="A81" s="53">
        <v>28</v>
      </c>
      <c r="B81" s="831" t="s">
        <v>251</v>
      </c>
      <c r="C81" s="53"/>
      <c r="D81" s="53"/>
      <c r="E81" s="53"/>
      <c r="F81" s="53"/>
      <c r="G81" s="68"/>
      <c r="H81" s="68"/>
      <c r="I81" s="53"/>
      <c r="J81" s="53"/>
      <c r="K81" s="53"/>
      <c r="L81" s="53"/>
      <c r="M81" s="53"/>
      <c r="O81" s="53"/>
      <c r="P81" s="53"/>
      <c r="Q81" s="53"/>
      <c r="R81" s="53"/>
      <c r="S81" s="53"/>
      <c r="T81" s="53"/>
      <c r="U81" s="53"/>
      <c r="AI81" s="881"/>
    </row>
    <row r="82" spans="1:37" s="11" customFormat="1" ht="30.75" hidden="1" customHeight="1" x14ac:dyDescent="0.25">
      <c r="A82" s="53">
        <v>29</v>
      </c>
      <c r="B82" s="54" t="s">
        <v>14</v>
      </c>
      <c r="C82" s="54" t="s">
        <v>15</v>
      </c>
      <c r="D82" s="54" t="s">
        <v>16</v>
      </c>
      <c r="E82" s="54" t="s">
        <v>17</v>
      </c>
      <c r="F82" s="54" t="s">
        <v>18</v>
      </c>
      <c r="G82" s="832" t="s">
        <v>19</v>
      </c>
      <c r="H82" s="833" t="s">
        <v>20</v>
      </c>
      <c r="I82" s="870"/>
      <c r="J82" s="870"/>
      <c r="K82" s="870"/>
      <c r="L82" s="870"/>
      <c r="M82" s="870"/>
      <c r="N82" s="870"/>
      <c r="O82" s="870"/>
      <c r="P82" s="870"/>
      <c r="Q82" s="870"/>
      <c r="R82" s="870"/>
      <c r="S82" s="870"/>
      <c r="T82" s="870"/>
      <c r="U82" s="870"/>
      <c r="AB82" s="839"/>
      <c r="AC82" s="839"/>
      <c r="AD82" s="839"/>
      <c r="AE82" s="839"/>
      <c r="AF82" s="839"/>
      <c r="AG82" s="839"/>
      <c r="AH82" s="839"/>
      <c r="AI82" s="58" t="s">
        <v>250</v>
      </c>
      <c r="AJ82" s="839"/>
      <c r="AK82" s="839"/>
    </row>
    <row r="83" spans="1:37" hidden="1" x14ac:dyDescent="0.25">
      <c r="A83" s="53">
        <v>30</v>
      </c>
      <c r="B83" s="1051" t="s">
        <v>40</v>
      </c>
      <c r="C83" s="840">
        <v>19</v>
      </c>
      <c r="D83" s="840" t="s">
        <v>243</v>
      </c>
      <c r="E83" s="840">
        <v>9.5</v>
      </c>
      <c r="F83" s="840">
        <v>21</v>
      </c>
      <c r="G83" s="841">
        <v>1.75</v>
      </c>
      <c r="H83" s="842">
        <v>50.6</v>
      </c>
      <c r="I83" s="53"/>
      <c r="J83" s="53"/>
      <c r="K83" s="53"/>
      <c r="L83" s="53"/>
      <c r="M83" s="53"/>
      <c r="O83" s="53"/>
      <c r="P83" s="69"/>
      <c r="Q83" s="69"/>
      <c r="R83" s="69"/>
      <c r="S83" s="69"/>
      <c r="T83" s="69"/>
      <c r="U83" s="69"/>
      <c r="V83" s="533"/>
      <c r="W83" s="533"/>
      <c r="X83" s="533"/>
      <c r="Y83" s="533"/>
      <c r="Z83" s="533"/>
      <c r="AA83" s="533"/>
      <c r="AI83" s="648">
        <f t="shared" ref="AI83:AI88" si="45">U30/H83</f>
        <v>19.920948616600789</v>
      </c>
    </row>
    <row r="84" spans="1:37" hidden="1" x14ac:dyDescent="0.25">
      <c r="A84" s="53">
        <v>31</v>
      </c>
      <c r="B84" s="1053"/>
      <c r="C84" s="840">
        <v>20</v>
      </c>
      <c r="D84" s="840" t="s">
        <v>245</v>
      </c>
      <c r="E84" s="840">
        <v>9</v>
      </c>
      <c r="F84" s="840">
        <v>21</v>
      </c>
      <c r="G84" s="841">
        <v>1.75</v>
      </c>
      <c r="H84" s="842">
        <v>61.98</v>
      </c>
      <c r="I84" s="53"/>
      <c r="J84" s="53"/>
      <c r="K84" s="53"/>
      <c r="L84" s="53"/>
      <c r="M84" s="53"/>
      <c r="O84" s="53"/>
      <c r="P84" s="69"/>
      <c r="Q84" s="69"/>
      <c r="R84" s="69"/>
      <c r="S84" s="69"/>
      <c r="T84" s="69"/>
      <c r="U84" s="69"/>
      <c r="V84" s="533"/>
      <c r="W84" s="533"/>
      <c r="X84" s="533"/>
      <c r="Y84" s="533"/>
      <c r="Z84" s="533"/>
      <c r="AA84" s="533"/>
      <c r="AI84" s="648">
        <f t="shared" si="45"/>
        <v>19.941916747337853</v>
      </c>
    </row>
    <row r="85" spans="1:37" hidden="1" x14ac:dyDescent="0.25">
      <c r="A85" s="53">
        <v>32</v>
      </c>
      <c r="B85" s="1053"/>
      <c r="C85" s="840">
        <v>21</v>
      </c>
      <c r="D85" s="840" t="s">
        <v>245</v>
      </c>
      <c r="E85" s="840">
        <v>9</v>
      </c>
      <c r="F85" s="840">
        <v>23</v>
      </c>
      <c r="G85" s="841">
        <v>1.92</v>
      </c>
      <c r="H85" s="842">
        <v>71.59</v>
      </c>
      <c r="I85" s="53"/>
      <c r="J85" s="53"/>
      <c r="K85" s="53"/>
      <c r="L85" s="53"/>
      <c r="M85" s="53"/>
      <c r="O85" s="53"/>
      <c r="P85" s="69"/>
      <c r="Q85" s="69"/>
      <c r="R85" s="69"/>
      <c r="S85" s="69"/>
      <c r="T85" s="69"/>
      <c r="U85" s="69"/>
      <c r="V85" s="533"/>
      <c r="W85" s="533"/>
      <c r="X85" s="533"/>
      <c r="Y85" s="533"/>
      <c r="Z85" s="533"/>
      <c r="AA85" s="533"/>
      <c r="AI85" s="648">
        <f t="shared" si="45"/>
        <v>22.014247799972061</v>
      </c>
    </row>
    <row r="86" spans="1:37" hidden="1" x14ac:dyDescent="0.25">
      <c r="A86" s="53">
        <v>33</v>
      </c>
      <c r="B86" s="1053"/>
      <c r="C86" s="840">
        <v>22</v>
      </c>
      <c r="D86" s="840" t="s">
        <v>245</v>
      </c>
      <c r="E86" s="840">
        <v>9</v>
      </c>
      <c r="F86" s="840">
        <v>21</v>
      </c>
      <c r="G86" s="841">
        <v>1.75</v>
      </c>
      <c r="H86" s="842">
        <v>52.08</v>
      </c>
      <c r="I86" s="53"/>
      <c r="J86" s="53"/>
      <c r="K86" s="53"/>
      <c r="L86" s="53"/>
      <c r="M86" s="53"/>
      <c r="O86" s="53"/>
      <c r="P86" s="69"/>
      <c r="Q86" s="69"/>
      <c r="R86" s="69"/>
      <c r="S86" s="69"/>
      <c r="T86" s="69"/>
      <c r="U86" s="69"/>
      <c r="V86" s="533"/>
      <c r="W86" s="533"/>
      <c r="X86" s="533"/>
      <c r="Y86" s="533"/>
      <c r="Z86" s="533"/>
      <c r="AA86" s="533"/>
      <c r="AI86" s="648">
        <f t="shared" si="45"/>
        <v>20.084485407066055</v>
      </c>
    </row>
    <row r="87" spans="1:37" hidden="1" x14ac:dyDescent="0.25">
      <c r="A87" s="53">
        <v>34</v>
      </c>
      <c r="B87" s="1052"/>
      <c r="C87" s="840">
        <v>24</v>
      </c>
      <c r="D87" s="840" t="s">
        <v>245</v>
      </c>
      <c r="E87" s="840">
        <v>9</v>
      </c>
      <c r="F87" s="840">
        <v>18</v>
      </c>
      <c r="G87" s="841">
        <v>1.5</v>
      </c>
      <c r="H87" s="842">
        <v>44.67</v>
      </c>
      <c r="I87" s="53"/>
      <c r="J87" s="53"/>
      <c r="K87" s="53"/>
      <c r="L87" s="53"/>
      <c r="M87" s="53"/>
      <c r="O87" s="53"/>
      <c r="P87" s="69"/>
      <c r="Q87" s="69"/>
      <c r="R87" s="69"/>
      <c r="S87" s="69"/>
      <c r="T87" s="69"/>
      <c r="U87" s="69"/>
      <c r="V87" s="533"/>
      <c r="W87" s="533"/>
      <c r="X87" s="533"/>
      <c r="Y87" s="533"/>
      <c r="Z87" s="533"/>
      <c r="AA87" s="533"/>
      <c r="AI87" s="648">
        <f t="shared" si="45"/>
        <v>17.036042086411459</v>
      </c>
    </row>
    <row r="88" spans="1:37" s="7" customFormat="1" hidden="1" x14ac:dyDescent="0.25">
      <c r="A88" s="53">
        <v>35</v>
      </c>
      <c r="B88" s="831"/>
      <c r="C88" s="831"/>
      <c r="D88" s="831"/>
      <c r="E88" s="831"/>
      <c r="F88" s="831"/>
      <c r="G88" s="851" t="s">
        <v>242</v>
      </c>
      <c r="H88" s="852">
        <f>SUBTOTAL(9,H83:H87)</f>
        <v>280.92</v>
      </c>
      <c r="I88" s="831"/>
      <c r="J88" s="831"/>
      <c r="K88" s="831"/>
      <c r="L88" s="831"/>
      <c r="M88" s="831"/>
      <c r="N88" s="831"/>
      <c r="O88" s="831"/>
      <c r="P88" s="853"/>
      <c r="Q88" s="853"/>
      <c r="R88" s="853"/>
      <c r="S88" s="853"/>
      <c r="T88" s="853"/>
      <c r="U88" s="853"/>
      <c r="V88" s="815"/>
      <c r="W88" s="815"/>
      <c r="X88" s="815"/>
      <c r="Y88" s="815"/>
      <c r="Z88" s="815"/>
      <c r="AA88" s="815"/>
      <c r="AB88" s="57"/>
      <c r="AC88" s="856"/>
      <c r="AD88" s="856"/>
      <c r="AE88" s="856"/>
      <c r="AF88" s="856"/>
      <c r="AG88" s="856"/>
      <c r="AH88" s="856"/>
      <c r="AI88" s="880">
        <f t="shared" si="45"/>
        <v>20.034173430158052</v>
      </c>
      <c r="AJ88" s="856"/>
      <c r="AK88" s="856"/>
    </row>
    <row r="89" spans="1:37" hidden="1" x14ac:dyDescent="0.25">
      <c r="A89" s="53">
        <v>36</v>
      </c>
      <c r="B89" s="53"/>
      <c r="C89" s="53"/>
      <c r="D89" s="53"/>
      <c r="E89" s="53"/>
      <c r="F89" s="53"/>
      <c r="G89" s="68"/>
      <c r="H89" s="68"/>
      <c r="I89" s="53"/>
      <c r="J89" s="53"/>
      <c r="K89" s="53"/>
      <c r="L89" s="53"/>
      <c r="M89" s="53"/>
      <c r="O89" s="53"/>
      <c r="P89" s="53"/>
      <c r="Q89" s="53"/>
      <c r="R89" s="53"/>
      <c r="S89" s="53"/>
      <c r="T89" s="53"/>
      <c r="U89" s="53"/>
      <c r="AI89" s="881"/>
    </row>
    <row r="90" spans="1:37" s="11" customFormat="1" ht="30.75" hidden="1" customHeight="1" x14ac:dyDescent="0.25">
      <c r="A90" s="53">
        <v>40</v>
      </c>
      <c r="B90" s="54" t="s">
        <v>14</v>
      </c>
      <c r="C90" s="54" t="s">
        <v>15</v>
      </c>
      <c r="D90" s="54" t="s">
        <v>16</v>
      </c>
      <c r="E90" s="54" t="s">
        <v>17</v>
      </c>
      <c r="F90" s="54" t="s">
        <v>18</v>
      </c>
      <c r="G90" s="832" t="s">
        <v>19</v>
      </c>
      <c r="H90" s="833" t="s">
        <v>20</v>
      </c>
      <c r="I90" s="870"/>
      <c r="J90" s="870"/>
      <c r="K90" s="870"/>
      <c r="L90" s="870"/>
      <c r="M90" s="870"/>
      <c r="N90" s="870"/>
      <c r="O90" s="870"/>
      <c r="P90" s="870"/>
      <c r="Q90" s="870"/>
      <c r="R90" s="870"/>
      <c r="S90" s="870"/>
      <c r="T90" s="870"/>
      <c r="U90" s="870"/>
      <c r="AB90" s="839"/>
      <c r="AC90" s="839"/>
      <c r="AD90" s="839"/>
      <c r="AE90" s="839"/>
      <c r="AF90" s="839"/>
      <c r="AG90" s="839"/>
      <c r="AH90" s="839"/>
      <c r="AI90" s="58" t="s">
        <v>250</v>
      </c>
      <c r="AJ90" s="839"/>
      <c r="AK90" s="839"/>
    </row>
    <row r="91" spans="1:37" hidden="1" x14ac:dyDescent="0.25">
      <c r="A91" s="53">
        <v>41</v>
      </c>
      <c r="B91" s="1051" t="s">
        <v>42</v>
      </c>
      <c r="C91" s="858">
        <v>25</v>
      </c>
      <c r="D91" s="840" t="s">
        <v>246</v>
      </c>
      <c r="E91" s="840">
        <v>2</v>
      </c>
      <c r="F91" s="840">
        <v>4</v>
      </c>
      <c r="G91" s="841"/>
      <c r="H91" s="842">
        <v>38.200000000000003</v>
      </c>
      <c r="I91" s="53"/>
      <c r="J91" s="53"/>
      <c r="K91" s="53"/>
      <c r="L91" s="53"/>
      <c r="M91" s="53"/>
      <c r="O91" s="53"/>
      <c r="P91" s="69"/>
      <c r="Q91" s="69"/>
      <c r="R91" s="69"/>
      <c r="S91" s="69"/>
      <c r="T91" s="69"/>
      <c r="U91" s="69"/>
      <c r="V91" s="533"/>
      <c r="W91" s="533"/>
      <c r="X91" s="533"/>
      <c r="Y91" s="533"/>
      <c r="Z91" s="533"/>
      <c r="AA91" s="533"/>
      <c r="AI91" s="648">
        <f>U38/H91</f>
        <v>3.9528795811518322</v>
      </c>
    </row>
    <row r="92" spans="1:37" hidden="1" x14ac:dyDescent="0.25">
      <c r="A92" s="53">
        <v>42</v>
      </c>
      <c r="B92" s="1053"/>
      <c r="C92" s="858" t="s">
        <v>7</v>
      </c>
      <c r="D92" s="840" t="s">
        <v>246</v>
      </c>
      <c r="E92" s="840">
        <v>2</v>
      </c>
      <c r="F92" s="840">
        <v>6</v>
      </c>
      <c r="G92" s="841"/>
      <c r="H92" s="842">
        <v>22.7</v>
      </c>
      <c r="I92" s="53"/>
      <c r="J92" s="53"/>
      <c r="K92" s="53"/>
      <c r="L92" s="53"/>
      <c r="M92" s="53"/>
      <c r="O92" s="53"/>
      <c r="P92" s="69"/>
      <c r="Q92" s="69"/>
      <c r="R92" s="69"/>
      <c r="S92" s="69"/>
      <c r="T92" s="69"/>
      <c r="U92" s="69"/>
      <c r="V92" s="533"/>
      <c r="W92" s="533"/>
      <c r="X92" s="533"/>
      <c r="Y92" s="533"/>
      <c r="Z92" s="533"/>
      <c r="AA92" s="533"/>
      <c r="AI92" s="648">
        <f>U39/H92</f>
        <v>5.8590308370044051</v>
      </c>
    </row>
    <row r="93" spans="1:37" hidden="1" x14ac:dyDescent="0.25">
      <c r="A93" s="53">
        <v>43</v>
      </c>
      <c r="B93" s="1053"/>
      <c r="C93" s="859" t="s">
        <v>45</v>
      </c>
      <c r="D93" s="882" t="s">
        <v>46</v>
      </c>
      <c r="E93" s="883"/>
      <c r="F93" s="883"/>
      <c r="G93" s="883"/>
      <c r="H93" s="883"/>
      <c r="I93" s="53"/>
      <c r="J93" s="53"/>
      <c r="K93" s="53"/>
      <c r="L93" s="53"/>
      <c r="M93" s="53"/>
      <c r="O93" s="53"/>
      <c r="P93" s="860"/>
      <c r="Q93" s="860"/>
      <c r="R93" s="860"/>
      <c r="S93" s="860"/>
      <c r="T93" s="860"/>
      <c r="U93" s="860"/>
      <c r="V93" s="884"/>
      <c r="W93" s="884"/>
      <c r="X93" s="884"/>
      <c r="Y93" s="884"/>
      <c r="Z93" s="884"/>
      <c r="AA93" s="884"/>
      <c r="AI93" s="648"/>
    </row>
    <row r="94" spans="1:37" hidden="1" x14ac:dyDescent="0.25">
      <c r="A94" s="53">
        <v>44</v>
      </c>
      <c r="B94" s="1053"/>
      <c r="C94" s="858">
        <v>27</v>
      </c>
      <c r="D94" s="840" t="s">
        <v>246</v>
      </c>
      <c r="E94" s="840">
        <v>2</v>
      </c>
      <c r="F94" s="840">
        <v>6</v>
      </c>
      <c r="G94" s="841"/>
      <c r="H94" s="885">
        <v>14.3</v>
      </c>
      <c r="I94" s="53"/>
      <c r="J94" s="53"/>
      <c r="K94" s="53"/>
      <c r="L94" s="53"/>
      <c r="M94" s="53"/>
      <c r="O94" s="53"/>
      <c r="P94" s="69"/>
      <c r="Q94" s="69"/>
      <c r="R94" s="69"/>
      <c r="S94" s="69"/>
      <c r="T94" s="69"/>
      <c r="U94" s="69"/>
      <c r="V94" s="533"/>
      <c r="W94" s="533"/>
      <c r="X94" s="533"/>
      <c r="Y94" s="533"/>
      <c r="Z94" s="533"/>
      <c r="AA94" s="533"/>
      <c r="AI94" s="648">
        <f>U41/H94</f>
        <v>5.9440559440559442</v>
      </c>
    </row>
    <row r="95" spans="1:37" hidden="1" x14ac:dyDescent="0.25">
      <c r="A95" s="53">
        <v>45</v>
      </c>
      <c r="B95" s="1053"/>
      <c r="C95" s="858">
        <v>28</v>
      </c>
      <c r="D95" s="840" t="s">
        <v>247</v>
      </c>
      <c r="E95" s="840">
        <v>3</v>
      </c>
      <c r="F95" s="840">
        <v>12</v>
      </c>
      <c r="G95" s="841"/>
      <c r="H95" s="885">
        <v>21.9</v>
      </c>
      <c r="I95" s="53"/>
      <c r="J95" s="53"/>
      <c r="K95" s="53"/>
      <c r="L95" s="53"/>
      <c r="M95" s="53"/>
      <c r="O95" s="53"/>
      <c r="P95" s="69"/>
      <c r="Q95" s="69"/>
      <c r="R95" s="69"/>
      <c r="S95" s="69"/>
      <c r="T95" s="69"/>
      <c r="U95" s="69"/>
      <c r="V95" s="533"/>
      <c r="W95" s="533"/>
      <c r="X95" s="533"/>
      <c r="Y95" s="533"/>
      <c r="Z95" s="533"/>
      <c r="AA95" s="533"/>
      <c r="AI95" s="648">
        <f>U42/H95</f>
        <v>11.963470319634704</v>
      </c>
    </row>
    <row r="96" spans="1:37" hidden="1" x14ac:dyDescent="0.25">
      <c r="A96" s="53">
        <v>46</v>
      </c>
      <c r="B96" s="1053"/>
      <c r="C96" s="858">
        <v>29</v>
      </c>
      <c r="D96" s="840" t="s">
        <v>248</v>
      </c>
      <c r="E96" s="840" t="s">
        <v>49</v>
      </c>
      <c r="F96" s="840">
        <v>4</v>
      </c>
      <c r="G96" s="841"/>
      <c r="H96" s="885">
        <v>19.2</v>
      </c>
      <c r="I96" s="53"/>
      <c r="J96" s="53"/>
      <c r="K96" s="53"/>
      <c r="L96" s="53"/>
      <c r="M96" s="53"/>
      <c r="O96" s="53"/>
      <c r="P96" s="69"/>
      <c r="Q96" s="69"/>
      <c r="R96" s="69"/>
      <c r="S96" s="69"/>
      <c r="T96" s="69"/>
      <c r="U96" s="69"/>
      <c r="V96" s="533"/>
      <c r="W96" s="533"/>
      <c r="X96" s="533"/>
      <c r="Y96" s="533"/>
      <c r="Z96" s="533"/>
      <c r="AA96" s="533"/>
      <c r="AI96" s="648">
        <f>U43/H96</f>
        <v>3.9583333333333335</v>
      </c>
    </row>
    <row r="97" spans="1:37" hidden="1" x14ac:dyDescent="0.25">
      <c r="A97" s="53">
        <v>47</v>
      </c>
      <c r="B97" s="1053"/>
      <c r="C97" s="858">
        <v>30</v>
      </c>
      <c r="D97" s="840" t="s">
        <v>248</v>
      </c>
      <c r="E97" s="840" t="s">
        <v>49</v>
      </c>
      <c r="F97" s="840">
        <v>4</v>
      </c>
      <c r="G97" s="841"/>
      <c r="H97" s="885">
        <v>24.3</v>
      </c>
      <c r="I97" s="53"/>
      <c r="J97" s="53"/>
      <c r="K97" s="53"/>
      <c r="L97" s="53"/>
      <c r="M97" s="53"/>
      <c r="O97" s="53"/>
      <c r="P97" s="69"/>
      <c r="Q97" s="69"/>
      <c r="R97" s="69"/>
      <c r="S97" s="69"/>
      <c r="T97" s="69"/>
      <c r="U97" s="69"/>
      <c r="V97" s="533"/>
      <c r="W97" s="533"/>
      <c r="X97" s="533"/>
      <c r="Y97" s="533"/>
      <c r="Z97" s="533"/>
      <c r="AA97" s="533"/>
      <c r="AI97" s="648">
        <f>U44/H97</f>
        <v>3.9094650205761314</v>
      </c>
    </row>
    <row r="98" spans="1:37" hidden="1" x14ac:dyDescent="0.25">
      <c r="A98" s="53">
        <v>48</v>
      </c>
      <c r="B98" s="1053"/>
      <c r="C98" s="858">
        <v>31</v>
      </c>
      <c r="D98" s="840" t="s">
        <v>248</v>
      </c>
      <c r="E98" s="840" t="s">
        <v>49</v>
      </c>
      <c r="F98" s="840">
        <v>4</v>
      </c>
      <c r="G98" s="841"/>
      <c r="H98" s="885">
        <v>34</v>
      </c>
      <c r="I98" s="53"/>
      <c r="J98" s="53"/>
      <c r="K98" s="53"/>
      <c r="L98" s="53"/>
      <c r="M98" s="53"/>
      <c r="O98" s="53"/>
      <c r="P98" s="69"/>
      <c r="Q98" s="69"/>
      <c r="R98" s="69"/>
      <c r="S98" s="69"/>
      <c r="T98" s="69"/>
      <c r="U98" s="69"/>
      <c r="V98" s="533"/>
      <c r="W98" s="533"/>
      <c r="X98" s="533"/>
      <c r="Y98" s="533"/>
      <c r="Z98" s="533"/>
      <c r="AA98" s="533"/>
      <c r="AI98" s="886">
        <f>U45/H98</f>
        <v>3.9705882352941178</v>
      </c>
    </row>
    <row r="99" spans="1:37" hidden="1" x14ac:dyDescent="0.25">
      <c r="A99" s="53">
        <v>49</v>
      </c>
      <c r="B99" s="1052"/>
      <c r="C99" s="859">
        <v>32</v>
      </c>
      <c r="D99" s="867" t="s">
        <v>50</v>
      </c>
      <c r="E99" s="867"/>
      <c r="F99" s="867"/>
      <c r="G99" s="867"/>
      <c r="H99" s="867"/>
      <c r="I99" s="53"/>
      <c r="J99" s="53"/>
      <c r="K99" s="53"/>
      <c r="L99" s="53"/>
      <c r="M99" s="53"/>
      <c r="O99" s="53"/>
      <c r="P99" s="867"/>
      <c r="Q99" s="867"/>
      <c r="R99" s="867"/>
      <c r="S99" s="867"/>
      <c r="T99" s="867"/>
      <c r="U99" s="867"/>
      <c r="V99" s="887"/>
      <c r="W99" s="887"/>
      <c r="X99" s="887"/>
      <c r="Y99" s="887"/>
      <c r="Z99" s="887"/>
      <c r="AA99" s="887"/>
      <c r="AB99" s="887"/>
      <c r="AC99" s="887"/>
      <c r="AD99" s="887"/>
      <c r="AE99" s="887"/>
      <c r="AF99" s="887"/>
      <c r="AG99" s="887"/>
      <c r="AH99" s="887"/>
      <c r="AI99" s="887"/>
    </row>
    <row r="100" spans="1:37" s="7" customFormat="1" hidden="1" x14ac:dyDescent="0.25">
      <c r="A100" s="53">
        <v>50</v>
      </c>
      <c r="B100" s="831"/>
      <c r="C100" s="831"/>
      <c r="D100" s="831"/>
      <c r="E100" s="831"/>
      <c r="F100" s="831"/>
      <c r="G100" s="851" t="s">
        <v>242</v>
      </c>
      <c r="H100" s="852">
        <f>SUBTOTAL(9,H91:H99)</f>
        <v>174.6</v>
      </c>
      <c r="I100" s="831"/>
      <c r="J100" s="831"/>
      <c r="K100" s="831"/>
      <c r="L100" s="831"/>
      <c r="M100" s="831"/>
      <c r="N100" s="831"/>
      <c r="O100" s="831"/>
      <c r="P100" s="853"/>
      <c r="Q100" s="853"/>
      <c r="R100" s="853"/>
      <c r="S100" s="853"/>
      <c r="T100" s="853"/>
      <c r="U100" s="853"/>
      <c r="V100" s="815"/>
      <c r="W100" s="815"/>
      <c r="X100" s="815"/>
      <c r="Y100" s="815"/>
      <c r="Z100" s="815"/>
      <c r="AA100" s="815"/>
      <c r="AB100" s="856"/>
      <c r="AC100" s="856"/>
      <c r="AD100" s="856"/>
      <c r="AE100" s="856"/>
      <c r="AF100" s="856"/>
      <c r="AG100" s="856"/>
      <c r="AH100" s="856"/>
      <c r="AI100" s="880">
        <f>U47/H100</f>
        <v>5.3722794959908367</v>
      </c>
      <c r="AJ100" s="856"/>
      <c r="AK100" s="856"/>
    </row>
    <row r="101" spans="1:37" hidden="1" x14ac:dyDescent="0.25">
      <c r="A101" s="53">
        <v>51</v>
      </c>
      <c r="B101" s="53"/>
      <c r="C101" s="53"/>
      <c r="D101" s="53"/>
      <c r="E101" s="53"/>
      <c r="F101" s="53"/>
      <c r="G101" s="68"/>
      <c r="H101" s="68"/>
      <c r="I101" s="53"/>
      <c r="J101" s="53"/>
      <c r="K101" s="53"/>
      <c r="L101" s="53"/>
      <c r="M101" s="53"/>
      <c r="O101" s="53"/>
      <c r="P101" s="53"/>
      <c r="Q101" s="53"/>
      <c r="R101" s="53"/>
      <c r="S101" s="53"/>
      <c r="T101" s="53"/>
      <c r="U101" s="53"/>
      <c r="AI101" s="881"/>
    </row>
    <row r="102" spans="1:37" hidden="1" x14ac:dyDescent="0.25">
      <c r="A102" s="53">
        <v>52</v>
      </c>
      <c r="B102" s="53"/>
      <c r="C102" s="53"/>
      <c r="D102" s="53"/>
      <c r="E102" s="53"/>
      <c r="F102" s="53"/>
      <c r="G102" s="68"/>
      <c r="H102" s="68"/>
      <c r="I102" s="53"/>
      <c r="J102" s="53"/>
      <c r="K102" s="53"/>
      <c r="L102" s="53"/>
      <c r="M102" s="53"/>
      <c r="O102" s="53"/>
      <c r="P102" s="53"/>
      <c r="Q102" s="53"/>
      <c r="R102" s="53"/>
      <c r="S102" s="53"/>
      <c r="T102" s="53"/>
      <c r="U102" s="53"/>
      <c r="AI102" s="881"/>
    </row>
    <row r="103" spans="1:37" s="11" customFormat="1" ht="30.75" hidden="1" customHeight="1" x14ac:dyDescent="0.25">
      <c r="A103" s="53">
        <v>53</v>
      </c>
      <c r="B103" s="54" t="s">
        <v>14</v>
      </c>
      <c r="C103" s="54" t="s">
        <v>15</v>
      </c>
      <c r="D103" s="54" t="s">
        <v>16</v>
      </c>
      <c r="E103" s="54" t="s">
        <v>17</v>
      </c>
      <c r="F103" s="54" t="s">
        <v>18</v>
      </c>
      <c r="G103" s="832" t="s">
        <v>19</v>
      </c>
      <c r="H103" s="833" t="s">
        <v>20</v>
      </c>
      <c r="I103" s="870"/>
      <c r="J103" s="870"/>
      <c r="K103" s="870"/>
      <c r="L103" s="870"/>
      <c r="M103" s="870"/>
      <c r="N103" s="870"/>
      <c r="O103" s="870"/>
      <c r="P103" s="870"/>
      <c r="Q103" s="870"/>
      <c r="R103" s="870"/>
      <c r="S103" s="870"/>
      <c r="T103" s="870"/>
      <c r="U103" s="870"/>
      <c r="AB103" s="839"/>
      <c r="AC103" s="839"/>
      <c r="AD103" s="839"/>
      <c r="AE103" s="839"/>
      <c r="AF103" s="839"/>
      <c r="AG103" s="839"/>
      <c r="AH103" s="839"/>
      <c r="AI103" s="58" t="s">
        <v>250</v>
      </c>
      <c r="AJ103" s="839"/>
      <c r="AK103" s="839"/>
    </row>
    <row r="104" spans="1:37" hidden="1" x14ac:dyDescent="0.25">
      <c r="A104" s="53">
        <v>54</v>
      </c>
      <c r="B104" s="1051" t="s">
        <v>51</v>
      </c>
      <c r="C104" s="840">
        <v>33</v>
      </c>
      <c r="D104" s="840" t="s">
        <v>247</v>
      </c>
      <c r="E104" s="840">
        <v>3</v>
      </c>
      <c r="F104" s="840">
        <v>15</v>
      </c>
      <c r="G104" s="841">
        <v>1.25</v>
      </c>
      <c r="H104" s="842">
        <v>28.4</v>
      </c>
      <c r="I104" s="53"/>
      <c r="J104" s="53"/>
      <c r="K104" s="53"/>
      <c r="L104" s="53"/>
      <c r="M104" s="53"/>
      <c r="O104" s="53"/>
      <c r="P104" s="69"/>
      <c r="Q104" s="69"/>
      <c r="R104" s="69"/>
      <c r="S104" s="69"/>
      <c r="T104" s="69"/>
      <c r="U104" s="69"/>
      <c r="V104" s="533"/>
      <c r="W104" s="533"/>
      <c r="X104" s="533"/>
      <c r="Y104" s="533"/>
      <c r="Z104" s="533"/>
      <c r="AA104" s="533"/>
      <c r="AI104" s="648">
        <f>U50/H104</f>
        <v>15.035211267605634</v>
      </c>
    </row>
    <row r="105" spans="1:37" hidden="1" x14ac:dyDescent="0.25">
      <c r="A105" s="53">
        <v>55</v>
      </c>
      <c r="B105" s="1052"/>
      <c r="C105" s="840">
        <v>39</v>
      </c>
      <c r="D105" s="840" t="s">
        <v>249</v>
      </c>
      <c r="E105" s="840">
        <v>8</v>
      </c>
      <c r="F105" s="840">
        <v>6</v>
      </c>
      <c r="G105" s="841">
        <v>0.5</v>
      </c>
      <c r="H105" s="842">
        <v>4.5</v>
      </c>
      <c r="I105" s="53"/>
      <c r="J105" s="53"/>
      <c r="K105" s="53"/>
      <c r="L105" s="53"/>
      <c r="M105" s="53"/>
      <c r="O105" s="53"/>
      <c r="P105" s="69"/>
      <c r="Q105" s="69"/>
      <c r="R105" s="69"/>
      <c r="S105" s="69"/>
      <c r="T105" s="69"/>
      <c r="U105" s="69"/>
      <c r="V105" s="67"/>
      <c r="W105" s="67"/>
      <c r="X105" s="67"/>
      <c r="Y105" s="67"/>
      <c r="Z105" s="67"/>
      <c r="AA105" s="67"/>
      <c r="AI105" s="648">
        <f>U51/H105</f>
        <v>6</v>
      </c>
    </row>
    <row r="106" spans="1:37" s="7" customFormat="1" hidden="1" x14ac:dyDescent="0.25">
      <c r="A106" s="831"/>
      <c r="B106" s="831"/>
      <c r="C106" s="831"/>
      <c r="D106" s="831"/>
      <c r="E106" s="831"/>
      <c r="F106" s="831"/>
      <c r="G106" s="851" t="s">
        <v>242</v>
      </c>
      <c r="H106" s="852">
        <f>SUBTOTAL(9,H100:H105)</f>
        <v>32.9</v>
      </c>
      <c r="I106" s="831"/>
      <c r="J106" s="831"/>
      <c r="K106" s="831"/>
      <c r="L106" s="831"/>
      <c r="M106" s="831"/>
      <c r="N106" s="831"/>
      <c r="O106" s="831"/>
      <c r="P106" s="853"/>
      <c r="Q106" s="853"/>
      <c r="R106" s="853"/>
      <c r="S106" s="853"/>
      <c r="T106" s="853"/>
      <c r="U106" s="853"/>
      <c r="V106" s="815"/>
      <c r="W106" s="815"/>
      <c r="X106" s="815"/>
      <c r="Y106" s="815"/>
      <c r="Z106" s="815"/>
      <c r="AA106" s="815"/>
      <c r="AB106" s="856"/>
      <c r="AC106" s="856"/>
      <c r="AD106" s="856"/>
      <c r="AE106" s="856"/>
      <c r="AF106" s="856"/>
      <c r="AG106" s="856"/>
      <c r="AH106" s="856"/>
      <c r="AI106" s="880">
        <f>U52/H106</f>
        <v>13.799392097264437</v>
      </c>
      <c r="AJ106" s="856"/>
      <c r="AK106" s="856"/>
    </row>
    <row r="107" spans="1:37" s="7" customFormat="1" hidden="1" x14ac:dyDescent="0.25">
      <c r="G107" s="888"/>
      <c r="H107" s="6"/>
      <c r="I107" s="815"/>
      <c r="J107" s="815"/>
      <c r="K107" s="815"/>
      <c r="L107" s="815"/>
      <c r="M107" s="815"/>
      <c r="N107" s="853"/>
      <c r="O107" s="815"/>
      <c r="P107" s="815"/>
      <c r="Q107" s="815"/>
      <c r="R107" s="815"/>
      <c r="S107" s="815"/>
      <c r="T107" s="815"/>
      <c r="U107" s="815"/>
      <c r="V107" s="815"/>
      <c r="W107" s="815"/>
      <c r="X107" s="815"/>
      <c r="Y107" s="815"/>
      <c r="Z107" s="815"/>
      <c r="AA107" s="815"/>
      <c r="AB107" s="855"/>
      <c r="AC107" s="855"/>
      <c r="AD107" s="855"/>
      <c r="AE107" s="855"/>
      <c r="AF107" s="855"/>
      <c r="AG107" s="855"/>
      <c r="AH107" s="856"/>
      <c r="AI107" s="856"/>
      <c r="AJ107" s="856"/>
      <c r="AK107" s="856"/>
    </row>
  </sheetData>
  <mergeCells count="12">
    <mergeCell ref="D40:N40"/>
    <mergeCell ref="D46:N46"/>
    <mergeCell ref="B104:B105"/>
    <mergeCell ref="B5:B16"/>
    <mergeCell ref="B20:B26"/>
    <mergeCell ref="B30:B34"/>
    <mergeCell ref="B38:B46"/>
    <mergeCell ref="B50:B51"/>
    <mergeCell ref="B58:B69"/>
    <mergeCell ref="B73:B79"/>
    <mergeCell ref="B83:B87"/>
    <mergeCell ref="B91:B99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31</vt:i4>
      </vt:variant>
    </vt:vector>
  </HeadingPairs>
  <TitlesOfParts>
    <vt:vector size="48" baseType="lpstr">
      <vt:lpstr>OVERALL BY GANG COMPARISON YTD2</vt:lpstr>
      <vt:lpstr>OVERALL BY GANG COMPARISON V3</vt:lpstr>
      <vt:lpstr>OVERALL</vt:lpstr>
      <vt:lpstr>OVERALL BY GANG</vt:lpstr>
      <vt:lpstr>YUVENTUS UN GANG</vt:lpstr>
      <vt:lpstr>DARSO GANG</vt:lpstr>
      <vt:lpstr>YUDI GANG</vt:lpstr>
      <vt:lpstr>SOFIO GANG</vt:lpstr>
      <vt:lpstr>NU AZANI GANG</vt:lpstr>
      <vt:lpstr>WENDERLINUS GANG </vt:lpstr>
      <vt:lpstr>FFB interval 2025 vs 2026</vt:lpstr>
      <vt:lpstr>HARVESTING INTERVAL- Dec 25</vt:lpstr>
      <vt:lpstr>HARVESTING INTERVAL- JAN 26</vt:lpstr>
      <vt:lpstr>HARVESTING ROUND</vt:lpstr>
      <vt:lpstr>Harvesting Round Record</vt:lpstr>
      <vt:lpstr>FFB Budget 2025</vt:lpstr>
      <vt:lpstr>FFB Budget 2026 - 2 summary</vt:lpstr>
      <vt:lpstr>'FFB Budget 2026 - 2 summary'!budget2024</vt:lpstr>
      <vt:lpstr>budget2026</vt:lpstr>
      <vt:lpstr>coupe</vt:lpstr>
      <vt:lpstr>DARSO</vt:lpstr>
      <vt:lpstr>ERDI</vt:lpstr>
      <vt:lpstr>'FFB Budget 2026 - 2 summary'!ffbbudgettwofive</vt:lpstr>
      <vt:lpstr>ffbbudgettwofive</vt:lpstr>
      <vt:lpstr>harvestinground</vt:lpstr>
      <vt:lpstr>july</vt:lpstr>
      <vt:lpstr>manday</vt:lpstr>
      <vt:lpstr>NURAZANI</vt:lpstr>
      <vt:lpstr>october2024</vt:lpstr>
      <vt:lpstr>'DARSO GANG'!Print_Area</vt:lpstr>
      <vt:lpstr>'FFB Budget 2026 - 2 summary'!Print_Area</vt:lpstr>
      <vt:lpstr>'HARVESTING INTERVAL- Dec 25'!Print_Area</vt:lpstr>
      <vt:lpstr>'Harvesting Round Record'!Print_Area</vt:lpstr>
      <vt:lpstr>'NU AZANI GANG'!Print_Area</vt:lpstr>
      <vt:lpstr>OVERALL!Print_Area</vt:lpstr>
      <vt:lpstr>'OVERALL BY GANG'!Print_Area</vt:lpstr>
      <vt:lpstr>'OVERALL BY GANG COMPARISON V3'!Print_Area</vt:lpstr>
      <vt:lpstr>'OVERALL BY GANG COMPARISON YTD2'!Print_Area</vt:lpstr>
      <vt:lpstr>'SOFIO GANG'!Print_Area</vt:lpstr>
      <vt:lpstr>'WENDERLINUS GANG '!Print_Area</vt:lpstr>
      <vt:lpstr>'YUDI GANG'!Print_Area</vt:lpstr>
      <vt:lpstr>'YUVENTUS UN GANG'!Print_Area</vt:lpstr>
      <vt:lpstr>'FFB Budget 2025'!Print_Titles</vt:lpstr>
      <vt:lpstr>'FFB Budget 2026 - 2 summary'!Print_Titles</vt:lpstr>
      <vt:lpstr>SERAN</vt:lpstr>
      <vt:lpstr>WENDERLINUS</vt:lpstr>
      <vt:lpstr>year2022to23</vt:lpstr>
      <vt:lpstr>YUVENTUS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CHAN</cp:lastModifiedBy>
  <cp:lastPrinted>2026-02-02T03:13:46Z</cp:lastPrinted>
  <dcterms:created xsi:type="dcterms:W3CDTF">2025-07-09T08:25:59Z</dcterms:created>
  <dcterms:modified xsi:type="dcterms:W3CDTF">2026-02-02T03:56:25Z</dcterms:modified>
</cp:coreProperties>
</file>