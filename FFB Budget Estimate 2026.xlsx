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KEVIN\2026\POLIMA FOREST\OIL PALM\FFB Budget\"/>
    </mc:Choice>
  </mc:AlternateContent>
  <xr:revisionPtr revIDLastSave="0" documentId="13_ncr:1_{325E3CEE-53B8-43A5-B6D9-D042F75DD55C}" xr6:coauthVersionLast="47" xr6:coauthVersionMax="47" xr10:uidLastSave="{00000000-0000-0000-0000-000000000000}"/>
  <bookViews>
    <workbookView xWindow="-120" yWindow="-120" windowWidth="29040" windowHeight="15720" activeTab="2" xr2:uid="{D02023FA-F105-40AC-BC2E-F71AA49C6C6A}"/>
  </bookViews>
  <sheets>
    <sheet name="FFB Budget 2026" sheetId="1" r:id="rId1"/>
    <sheet name="FFB Budget 2026 - 2" sheetId="2" r:id="rId2"/>
    <sheet name="FFB Budget 2026 - 2 summary" sheetId="3" r:id="rId3"/>
  </sheets>
  <externalReferences>
    <externalReference r:id="rId4"/>
    <externalReference r:id="rId5"/>
    <externalReference r:id="rId6"/>
  </externalReferences>
  <definedNames>
    <definedName name="budget2024" localSheetId="1">'FFB Budget 2026 - 2'!$C$5:$U$52</definedName>
    <definedName name="budget2024" localSheetId="2">'FFB Budget 2026 - 2 summary'!$C$5:$AI$52</definedName>
    <definedName name="budget2024">'FFB Budget 2026'!$C$5:$U$52</definedName>
    <definedName name="coupe" localSheetId="0">'FFB Budget 2026'!#REF!</definedName>
    <definedName name="coupe" localSheetId="1">'FFB Budget 2026 - 2'!#REF!</definedName>
    <definedName name="coupe" localSheetId="2">'FFB Budget 2026 - 2 summary'!#REF!</definedName>
    <definedName name="coupe">'[1]FFB Budget 2025'!$W$5:$Z$55</definedName>
    <definedName name="DARSO">'[1]DARSO GANG'!$A$7:$BH$14</definedName>
    <definedName name="ERDI">'[1]YUDI GANG'!$A$7:$BH$9</definedName>
    <definedName name="fbticket" localSheetId="0">'[2]FFB TICKET(DAY BY DAY) (2)'!$G$6:$R$303+'FFB Budget 2026'!$C$5:$U$52</definedName>
    <definedName name="fbticket" localSheetId="1">'[2]FFB TICKET(DAY BY DAY) (2)'!$G$6:$R$303+'FFB Budget 2026 - 2'!$C$5:$U$52</definedName>
    <definedName name="fbticket" localSheetId="2">'[2]FFB TICKET(DAY BY DAY) (2)'!$G$6:$R$303+'FFB Budget 2026 - 2 summary'!$C$5:$AI$52</definedName>
    <definedName name="fbticket">'[2]FFB TICKET(DAY BY DAY) (2)'!$G$6:$R$303+'[1]FFB Budget 2025'!$C$5:$U$56</definedName>
    <definedName name="ffbbudgettwofive" localSheetId="0">'FFB Budget 2026'!$C$5:$U$146</definedName>
    <definedName name="ffbbudgettwofive" localSheetId="1">'FFB Budget 2026 - 2'!$C$5:$U$146</definedName>
    <definedName name="ffbbudgettwofive" localSheetId="2">'FFB Budget 2026 - 2 summary'!$C$5:$AI$145</definedName>
    <definedName name="ffbbudgettwofive">'[1]FFB Budget 2025'!$C$5:$U$100</definedName>
    <definedName name="harvestinground">'[1]HARVESTING ROUND'!$B$3:$J$36</definedName>
    <definedName name="ironhorsediesel">'[2]REPORT DIESEL'!$B$97:$AO$119</definedName>
    <definedName name="july">'[1]HARVESTING ROUND'!$N$3:$Y$37</definedName>
    <definedName name="machinestatus">'[2]DAILY MACHINE REPORT'!$B$76:$AQ$97</definedName>
    <definedName name="manday">'[1]HARVESTING INTERVAL- Dec'!$C$5:$BG$76</definedName>
    <definedName name="NURAZANI">'[1]NU AZANI GANG'!$A$7:$BH$12</definedName>
    <definedName name="october2024">'[1]HARVESTING INTERVAL- NOV 24'!$C$5:$BG$76</definedName>
    <definedName name="_xlnm.Print_Area" localSheetId="0">'FFB Budget 2026'!$A$1:$W$108</definedName>
    <definedName name="_xlnm.Print_Area" localSheetId="1">'FFB Budget 2026 - 2'!$A$1:$W$108</definedName>
    <definedName name="_xlnm.Print_Area" localSheetId="2">'FFB Budget 2026 - 2 summary'!$A$1:$AK$106</definedName>
    <definedName name="_xlnm.Print_Titles" localSheetId="0">'FFB Budget 2026'!$1:$2</definedName>
    <definedName name="_xlnm.Print_Titles" localSheetId="1">'FFB Budget 2026 - 2'!$1:$2</definedName>
    <definedName name="_xlnm.Print_Titles" localSheetId="2">'FFB Budget 2026 - 2 summary'!$1:$2</definedName>
    <definedName name="SERAN">'[1]SOFIO GANG'!$A$7:$BH$12</definedName>
    <definedName name="WENDERLINUS">'[1]WENDERLINUS GANG '!$A$7:$BH$14</definedName>
    <definedName name="year2022to23">'[1]4.4 Harvesting Round Record'!$B$9:$XFD$50</definedName>
    <definedName name="YUVENTUS">'[1]YUVENTUS UN GANG'!$A$7:$BH$9</definedName>
    <definedName name="yuventus2">'[3]YUVENTUS UN GANG'!$A$7:$BH$9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33" i="3"/>
  <c r="F32" i="3"/>
  <c r="F31" i="3"/>
  <c r="F30" i="3"/>
  <c r="F26" i="3"/>
  <c r="F25" i="3"/>
  <c r="F20" i="3"/>
  <c r="F14" i="3"/>
  <c r="G51" i="3"/>
  <c r="G50" i="3"/>
  <c r="G42" i="3"/>
  <c r="G41" i="3"/>
  <c r="G39" i="3"/>
  <c r="G38" i="3"/>
  <c r="G34" i="3"/>
  <c r="G33" i="3"/>
  <c r="G32" i="3"/>
  <c r="G31" i="3"/>
  <c r="G30" i="3"/>
  <c r="G26" i="3"/>
  <c r="G25" i="3"/>
  <c r="G24" i="3"/>
  <c r="G23" i="3"/>
  <c r="G22" i="3"/>
  <c r="G21" i="3"/>
  <c r="G20" i="3"/>
  <c r="G16" i="3"/>
  <c r="G15" i="3"/>
  <c r="G14" i="3"/>
  <c r="G13" i="3"/>
  <c r="G12" i="3"/>
  <c r="G11" i="3"/>
  <c r="G10" i="3"/>
  <c r="G9" i="3"/>
  <c r="G8" i="3"/>
  <c r="G7" i="3"/>
  <c r="G6" i="3"/>
  <c r="G5" i="3"/>
  <c r="F51" i="3"/>
  <c r="F50" i="3"/>
  <c r="F45" i="3"/>
  <c r="F44" i="3"/>
  <c r="F43" i="3"/>
  <c r="F42" i="3"/>
  <c r="F41" i="3"/>
  <c r="F39" i="3"/>
  <c r="F38" i="3"/>
  <c r="F24" i="3"/>
  <c r="F23" i="3"/>
  <c r="F22" i="3"/>
  <c r="F21" i="3"/>
  <c r="F16" i="3"/>
  <c r="F15" i="3"/>
  <c r="F13" i="3"/>
  <c r="F12" i="3"/>
  <c r="F11" i="3"/>
  <c r="F10" i="3"/>
  <c r="F9" i="3"/>
  <c r="F8" i="3"/>
  <c r="F7" i="3"/>
  <c r="F6" i="3"/>
  <c r="F5" i="3"/>
  <c r="W47" i="3"/>
  <c r="W35" i="3"/>
  <c r="W27" i="3"/>
  <c r="W17" i="3"/>
  <c r="W52" i="3"/>
  <c r="AK105" i="3"/>
  <c r="V51" i="3"/>
  <c r="U51" i="3"/>
  <c r="T51" i="3"/>
  <c r="S51" i="3"/>
  <c r="R51" i="3"/>
  <c r="Q51" i="3"/>
  <c r="AK104" i="3"/>
  <c r="V50" i="3"/>
  <c r="U50" i="3"/>
  <c r="T50" i="3"/>
  <c r="S50" i="3"/>
  <c r="R50" i="3"/>
  <c r="Q50" i="3"/>
  <c r="J100" i="3"/>
  <c r="J106" i="3" s="1"/>
  <c r="AK98" i="3"/>
  <c r="V45" i="3"/>
  <c r="U45" i="3"/>
  <c r="T45" i="3"/>
  <c r="S45" i="3"/>
  <c r="R45" i="3"/>
  <c r="Q45" i="3"/>
  <c r="AK97" i="3"/>
  <c r="V44" i="3"/>
  <c r="U44" i="3"/>
  <c r="T44" i="3"/>
  <c r="S44" i="3"/>
  <c r="R44" i="3"/>
  <c r="Q44" i="3"/>
  <c r="AK96" i="3"/>
  <c r="V43" i="3"/>
  <c r="U43" i="3"/>
  <c r="T43" i="3"/>
  <c r="S43" i="3"/>
  <c r="R43" i="3"/>
  <c r="Q43" i="3"/>
  <c r="AK95" i="3"/>
  <c r="V42" i="3"/>
  <c r="U42" i="3"/>
  <c r="T42" i="3"/>
  <c r="S42" i="3"/>
  <c r="R42" i="3"/>
  <c r="Q42" i="3"/>
  <c r="AK94" i="3"/>
  <c r="V41" i="3"/>
  <c r="U41" i="3"/>
  <c r="T41" i="3"/>
  <c r="S41" i="3"/>
  <c r="R41" i="3"/>
  <c r="Q41" i="3"/>
  <c r="AK92" i="3"/>
  <c r="V39" i="3"/>
  <c r="U39" i="3"/>
  <c r="T39" i="3"/>
  <c r="S39" i="3"/>
  <c r="R39" i="3"/>
  <c r="Q39" i="3"/>
  <c r="AK91" i="3"/>
  <c r="V38" i="3"/>
  <c r="U38" i="3"/>
  <c r="T38" i="3"/>
  <c r="S38" i="3"/>
  <c r="R38" i="3"/>
  <c r="Q38" i="3"/>
  <c r="J88" i="3"/>
  <c r="AK87" i="3"/>
  <c r="V34" i="3"/>
  <c r="U34" i="3"/>
  <c r="T34" i="3"/>
  <c r="S34" i="3"/>
  <c r="R34" i="3"/>
  <c r="Q34" i="3"/>
  <c r="AK86" i="3"/>
  <c r="V33" i="3"/>
  <c r="U33" i="3"/>
  <c r="T33" i="3"/>
  <c r="S33" i="3"/>
  <c r="R33" i="3"/>
  <c r="Q33" i="3"/>
  <c r="AK85" i="3"/>
  <c r="V32" i="3"/>
  <c r="U32" i="3"/>
  <c r="T32" i="3"/>
  <c r="S32" i="3"/>
  <c r="R32" i="3"/>
  <c r="Q32" i="3"/>
  <c r="AK84" i="3"/>
  <c r="V31" i="3"/>
  <c r="U31" i="3"/>
  <c r="T31" i="3"/>
  <c r="S31" i="3"/>
  <c r="R31" i="3"/>
  <c r="Q31" i="3"/>
  <c r="AK83" i="3"/>
  <c r="V30" i="3"/>
  <c r="U30" i="3"/>
  <c r="T30" i="3"/>
  <c r="S30" i="3"/>
  <c r="R30" i="3"/>
  <c r="Q30" i="3"/>
  <c r="J80" i="3"/>
  <c r="AK79" i="3"/>
  <c r="V26" i="3"/>
  <c r="U26" i="3"/>
  <c r="T26" i="3"/>
  <c r="S26" i="3"/>
  <c r="R26" i="3"/>
  <c r="Q26" i="3"/>
  <c r="AK78" i="3"/>
  <c r="V25" i="3"/>
  <c r="U25" i="3"/>
  <c r="T25" i="3"/>
  <c r="S25" i="3"/>
  <c r="R25" i="3"/>
  <c r="Q25" i="3"/>
  <c r="AK77" i="3"/>
  <c r="V24" i="3"/>
  <c r="U24" i="3"/>
  <c r="T24" i="3"/>
  <c r="S24" i="3"/>
  <c r="R24" i="3"/>
  <c r="Q24" i="3"/>
  <c r="AK76" i="3"/>
  <c r="V23" i="3"/>
  <c r="U23" i="3"/>
  <c r="T23" i="3"/>
  <c r="S23" i="3"/>
  <c r="R23" i="3"/>
  <c r="Q23" i="3"/>
  <c r="AK75" i="3"/>
  <c r="V22" i="3"/>
  <c r="U22" i="3"/>
  <c r="T22" i="3"/>
  <c r="S22" i="3"/>
  <c r="R22" i="3"/>
  <c r="Q22" i="3"/>
  <c r="AK74" i="3"/>
  <c r="V21" i="3"/>
  <c r="U21" i="3"/>
  <c r="T21" i="3"/>
  <c r="S21" i="3"/>
  <c r="R21" i="3"/>
  <c r="Q21" i="3"/>
  <c r="AK73" i="3"/>
  <c r="V20" i="3"/>
  <c r="U20" i="3"/>
  <c r="T20" i="3"/>
  <c r="S20" i="3"/>
  <c r="R20" i="3"/>
  <c r="Q20" i="3"/>
  <c r="J70" i="3"/>
  <c r="AE69" i="3" s="1"/>
  <c r="AK69" i="3"/>
  <c r="V16" i="3"/>
  <c r="U16" i="3"/>
  <c r="T16" i="3"/>
  <c r="S16" i="3"/>
  <c r="R16" i="3"/>
  <c r="Q16" i="3"/>
  <c r="AK68" i="3"/>
  <c r="V15" i="3"/>
  <c r="U15" i="3"/>
  <c r="T15" i="3"/>
  <c r="S15" i="3"/>
  <c r="R15" i="3"/>
  <c r="Q15" i="3"/>
  <c r="AK67" i="3"/>
  <c r="V14" i="3"/>
  <c r="U14" i="3"/>
  <c r="T14" i="3"/>
  <c r="S14" i="3"/>
  <c r="R14" i="3"/>
  <c r="Q14" i="3"/>
  <c r="AK66" i="3"/>
  <c r="V13" i="3"/>
  <c r="U13" i="3"/>
  <c r="T13" i="3"/>
  <c r="S13" i="3"/>
  <c r="R13" i="3"/>
  <c r="Q13" i="3"/>
  <c r="AK65" i="3"/>
  <c r="V12" i="3"/>
  <c r="U12" i="3"/>
  <c r="T12" i="3"/>
  <c r="S12" i="3"/>
  <c r="R12" i="3"/>
  <c r="Q12" i="3"/>
  <c r="AK64" i="3"/>
  <c r="V11" i="3"/>
  <c r="U11" i="3"/>
  <c r="T11" i="3"/>
  <c r="S11" i="3"/>
  <c r="R11" i="3"/>
  <c r="Q11" i="3"/>
  <c r="AK63" i="3"/>
  <c r="V10" i="3"/>
  <c r="U10" i="3"/>
  <c r="T10" i="3"/>
  <c r="S10" i="3"/>
  <c r="R10" i="3"/>
  <c r="Q10" i="3"/>
  <c r="AK62" i="3"/>
  <c r="V9" i="3"/>
  <c r="U9" i="3"/>
  <c r="T9" i="3"/>
  <c r="S9" i="3"/>
  <c r="R9" i="3"/>
  <c r="Q9" i="3"/>
  <c r="AK61" i="3"/>
  <c r="V8" i="3"/>
  <c r="U8" i="3"/>
  <c r="T8" i="3"/>
  <c r="S8" i="3"/>
  <c r="R8" i="3"/>
  <c r="Q8" i="3"/>
  <c r="AK60" i="3"/>
  <c r="V7" i="3"/>
  <c r="U7" i="3"/>
  <c r="T7" i="3"/>
  <c r="S7" i="3"/>
  <c r="R7" i="3"/>
  <c r="Q7" i="3"/>
  <c r="AK59" i="3"/>
  <c r="V6" i="3"/>
  <c r="U6" i="3"/>
  <c r="T6" i="3"/>
  <c r="S6" i="3"/>
  <c r="R6" i="3"/>
  <c r="Q6" i="3"/>
  <c r="AK58" i="3"/>
  <c r="V5" i="3"/>
  <c r="U5" i="3"/>
  <c r="T5" i="3"/>
  <c r="S5" i="3"/>
  <c r="R5" i="3"/>
  <c r="Q5" i="3"/>
  <c r="AI52" i="3"/>
  <c r="AH51" i="3"/>
  <c r="AG51" i="3"/>
  <c r="AF51" i="3"/>
  <c r="AE51" i="3"/>
  <c r="AD51" i="3"/>
  <c r="P51" i="3"/>
  <c r="O51" i="3"/>
  <c r="N51" i="3"/>
  <c r="M51" i="3"/>
  <c r="L51" i="3"/>
  <c r="K51" i="3"/>
  <c r="AH50" i="3"/>
  <c r="AG50" i="3"/>
  <c r="AF50" i="3"/>
  <c r="AE50" i="3"/>
  <c r="AD50" i="3"/>
  <c r="P50" i="3"/>
  <c r="O50" i="3"/>
  <c r="N50" i="3"/>
  <c r="M50" i="3"/>
  <c r="L50" i="3"/>
  <c r="K50" i="3"/>
  <c r="AI47" i="3"/>
  <c r="J47" i="3"/>
  <c r="J52" i="3" s="1"/>
  <c r="AH45" i="3"/>
  <c r="AG45" i="3"/>
  <c r="AF45" i="3"/>
  <c r="AE45" i="3"/>
  <c r="AD45" i="3"/>
  <c r="P45" i="3"/>
  <c r="O45" i="3"/>
  <c r="N45" i="3"/>
  <c r="M45" i="3"/>
  <c r="L45" i="3"/>
  <c r="K45" i="3"/>
  <c r="AH44" i="3"/>
  <c r="AG44" i="3"/>
  <c r="AF44" i="3"/>
  <c r="AE44" i="3"/>
  <c r="AD44" i="3"/>
  <c r="P44" i="3"/>
  <c r="O44" i="3"/>
  <c r="N44" i="3"/>
  <c r="M44" i="3"/>
  <c r="L44" i="3"/>
  <c r="K44" i="3"/>
  <c r="AH43" i="3"/>
  <c r="AG43" i="3"/>
  <c r="AF43" i="3"/>
  <c r="AE43" i="3"/>
  <c r="AD43" i="3"/>
  <c r="P43" i="3"/>
  <c r="O43" i="3"/>
  <c r="N43" i="3"/>
  <c r="M43" i="3"/>
  <c r="L43" i="3"/>
  <c r="K43" i="3"/>
  <c r="AH42" i="3"/>
  <c r="AG42" i="3"/>
  <c r="AF42" i="3"/>
  <c r="AE42" i="3"/>
  <c r="AD42" i="3"/>
  <c r="P42" i="3"/>
  <c r="O42" i="3"/>
  <c r="N42" i="3"/>
  <c r="M42" i="3"/>
  <c r="L42" i="3"/>
  <c r="K42" i="3"/>
  <c r="AH41" i="3"/>
  <c r="AG41" i="3"/>
  <c r="AF41" i="3"/>
  <c r="AE41" i="3"/>
  <c r="AD41" i="3"/>
  <c r="P41" i="3"/>
  <c r="O41" i="3"/>
  <c r="N41" i="3"/>
  <c r="M41" i="3"/>
  <c r="L41" i="3"/>
  <c r="K41" i="3"/>
  <c r="AH39" i="3"/>
  <c r="AG39" i="3"/>
  <c r="AF39" i="3"/>
  <c r="AE39" i="3"/>
  <c r="AD39" i="3"/>
  <c r="P39" i="3"/>
  <c r="O39" i="3"/>
  <c r="N39" i="3"/>
  <c r="M39" i="3"/>
  <c r="L39" i="3"/>
  <c r="K39" i="3"/>
  <c r="AH38" i="3"/>
  <c r="AG38" i="3"/>
  <c r="AF38" i="3"/>
  <c r="AE38" i="3"/>
  <c r="AD38" i="3"/>
  <c r="P38" i="3"/>
  <c r="O38" i="3"/>
  <c r="N38" i="3"/>
  <c r="M38" i="3"/>
  <c r="L38" i="3"/>
  <c r="K38" i="3"/>
  <c r="J35" i="3"/>
  <c r="AH34" i="3"/>
  <c r="AG34" i="3"/>
  <c r="AF34" i="3"/>
  <c r="AE34" i="3"/>
  <c r="AD34" i="3"/>
  <c r="P34" i="3"/>
  <c r="O34" i="3"/>
  <c r="N34" i="3"/>
  <c r="M34" i="3"/>
  <c r="L34" i="3"/>
  <c r="K34" i="3"/>
  <c r="AH33" i="3"/>
  <c r="AG33" i="3"/>
  <c r="AF33" i="3"/>
  <c r="AE33" i="3"/>
  <c r="AD33" i="3"/>
  <c r="P33" i="3"/>
  <c r="O33" i="3"/>
  <c r="N33" i="3"/>
  <c r="M33" i="3"/>
  <c r="L33" i="3"/>
  <c r="K33" i="3"/>
  <c r="AH32" i="3"/>
  <c r="AG32" i="3"/>
  <c r="AF32" i="3"/>
  <c r="AE32" i="3"/>
  <c r="AD32" i="3"/>
  <c r="P32" i="3"/>
  <c r="O32" i="3"/>
  <c r="N32" i="3"/>
  <c r="M32" i="3"/>
  <c r="L32" i="3"/>
  <c r="K32" i="3"/>
  <c r="AH31" i="3"/>
  <c r="AG31" i="3"/>
  <c r="AF31" i="3"/>
  <c r="AE31" i="3"/>
  <c r="AD31" i="3"/>
  <c r="P31" i="3"/>
  <c r="O31" i="3"/>
  <c r="N31" i="3"/>
  <c r="M31" i="3"/>
  <c r="L31" i="3"/>
  <c r="K31" i="3"/>
  <c r="AH30" i="3"/>
  <c r="AG30" i="3"/>
  <c r="AF30" i="3"/>
  <c r="AE30" i="3"/>
  <c r="AD30" i="3"/>
  <c r="P30" i="3"/>
  <c r="O30" i="3"/>
  <c r="N30" i="3"/>
  <c r="M30" i="3"/>
  <c r="L30" i="3"/>
  <c r="K30" i="3"/>
  <c r="AI27" i="3"/>
  <c r="AI35" i="3" s="1"/>
  <c r="J27" i="3"/>
  <c r="AH26" i="3"/>
  <c r="AG26" i="3"/>
  <c r="AF26" i="3"/>
  <c r="AE26" i="3"/>
  <c r="AD26" i="3"/>
  <c r="P26" i="3"/>
  <c r="O26" i="3"/>
  <c r="N26" i="3"/>
  <c r="M26" i="3"/>
  <c r="L26" i="3"/>
  <c r="K26" i="3"/>
  <c r="AH25" i="3"/>
  <c r="AG25" i="3"/>
  <c r="AF25" i="3"/>
  <c r="AE25" i="3"/>
  <c r="AD25" i="3"/>
  <c r="P25" i="3"/>
  <c r="O25" i="3"/>
  <c r="N25" i="3"/>
  <c r="M25" i="3"/>
  <c r="L25" i="3"/>
  <c r="K25" i="3"/>
  <c r="AH24" i="3"/>
  <c r="AG24" i="3"/>
  <c r="AF24" i="3"/>
  <c r="AE24" i="3"/>
  <c r="AD24" i="3"/>
  <c r="P24" i="3"/>
  <c r="O24" i="3"/>
  <c r="N24" i="3"/>
  <c r="M24" i="3"/>
  <c r="L24" i="3"/>
  <c r="K24" i="3"/>
  <c r="AH23" i="3"/>
  <c r="AG23" i="3"/>
  <c r="AF23" i="3"/>
  <c r="AE23" i="3"/>
  <c r="AD23" i="3"/>
  <c r="P23" i="3"/>
  <c r="O23" i="3"/>
  <c r="N23" i="3"/>
  <c r="M23" i="3"/>
  <c r="L23" i="3"/>
  <c r="K23" i="3"/>
  <c r="AH22" i="3"/>
  <c r="AG22" i="3"/>
  <c r="AF22" i="3"/>
  <c r="AE22" i="3"/>
  <c r="AD22" i="3"/>
  <c r="P22" i="3"/>
  <c r="O22" i="3"/>
  <c r="N22" i="3"/>
  <c r="M22" i="3"/>
  <c r="L22" i="3"/>
  <c r="K22" i="3"/>
  <c r="AH21" i="3"/>
  <c r="AG21" i="3"/>
  <c r="AF21" i="3"/>
  <c r="AE21" i="3"/>
  <c r="AD21" i="3"/>
  <c r="P21" i="3"/>
  <c r="O21" i="3"/>
  <c r="N21" i="3"/>
  <c r="M21" i="3"/>
  <c r="L21" i="3"/>
  <c r="K21" i="3"/>
  <c r="AH20" i="3"/>
  <c r="AG20" i="3"/>
  <c r="AF20" i="3"/>
  <c r="AE20" i="3"/>
  <c r="AD20" i="3"/>
  <c r="P20" i="3"/>
  <c r="O20" i="3"/>
  <c r="N20" i="3"/>
  <c r="M20" i="3"/>
  <c r="L20" i="3"/>
  <c r="K20" i="3"/>
  <c r="AI17" i="3"/>
  <c r="J17" i="3"/>
  <c r="AH16" i="3"/>
  <c r="AG16" i="3"/>
  <c r="AF16" i="3"/>
  <c r="AE16" i="3"/>
  <c r="AD16" i="3"/>
  <c r="P16" i="3"/>
  <c r="O16" i="3"/>
  <c r="N16" i="3"/>
  <c r="M16" i="3"/>
  <c r="L16" i="3"/>
  <c r="K16" i="3"/>
  <c r="AH15" i="3"/>
  <c r="AG15" i="3"/>
  <c r="AF15" i="3"/>
  <c r="AE15" i="3"/>
  <c r="AD15" i="3"/>
  <c r="P15" i="3"/>
  <c r="O15" i="3"/>
  <c r="N15" i="3"/>
  <c r="M15" i="3"/>
  <c r="L15" i="3"/>
  <c r="K15" i="3"/>
  <c r="AH14" i="3"/>
  <c r="AG14" i="3"/>
  <c r="AF14" i="3"/>
  <c r="AE14" i="3"/>
  <c r="AD14" i="3"/>
  <c r="P14" i="3"/>
  <c r="O14" i="3"/>
  <c r="N14" i="3"/>
  <c r="M14" i="3"/>
  <c r="L14" i="3"/>
  <c r="K14" i="3"/>
  <c r="AH13" i="3"/>
  <c r="AG13" i="3"/>
  <c r="AF13" i="3"/>
  <c r="AE13" i="3"/>
  <c r="AD13" i="3"/>
  <c r="P13" i="3"/>
  <c r="O13" i="3"/>
  <c r="N13" i="3"/>
  <c r="M13" i="3"/>
  <c r="L13" i="3"/>
  <c r="K13" i="3"/>
  <c r="AH12" i="3"/>
  <c r="AG12" i="3"/>
  <c r="AF12" i="3"/>
  <c r="AE12" i="3"/>
  <c r="AD12" i="3"/>
  <c r="P12" i="3"/>
  <c r="O12" i="3"/>
  <c r="N12" i="3"/>
  <c r="M12" i="3"/>
  <c r="L12" i="3"/>
  <c r="K12" i="3"/>
  <c r="AH11" i="3"/>
  <c r="AG11" i="3"/>
  <c r="AF11" i="3"/>
  <c r="AE11" i="3"/>
  <c r="AD11" i="3"/>
  <c r="P11" i="3"/>
  <c r="O11" i="3"/>
  <c r="N11" i="3"/>
  <c r="M11" i="3"/>
  <c r="L11" i="3"/>
  <c r="K11" i="3"/>
  <c r="AH10" i="3"/>
  <c r="AG10" i="3"/>
  <c r="AF10" i="3"/>
  <c r="AE10" i="3"/>
  <c r="AD10" i="3"/>
  <c r="P10" i="3"/>
  <c r="O10" i="3"/>
  <c r="N10" i="3"/>
  <c r="M10" i="3"/>
  <c r="L10" i="3"/>
  <c r="K10" i="3"/>
  <c r="AH9" i="3"/>
  <c r="AG9" i="3"/>
  <c r="AF9" i="3"/>
  <c r="AE9" i="3"/>
  <c r="AD9" i="3"/>
  <c r="P9" i="3"/>
  <c r="O9" i="3"/>
  <c r="N9" i="3"/>
  <c r="M9" i="3"/>
  <c r="L9" i="3"/>
  <c r="K9" i="3"/>
  <c r="AH8" i="3"/>
  <c r="AG8" i="3"/>
  <c r="AF8" i="3"/>
  <c r="AE8" i="3"/>
  <c r="AD8" i="3"/>
  <c r="P8" i="3"/>
  <c r="O8" i="3"/>
  <c r="N8" i="3"/>
  <c r="M8" i="3"/>
  <c r="L8" i="3"/>
  <c r="K8" i="3"/>
  <c r="AH7" i="3"/>
  <c r="AG7" i="3"/>
  <c r="AF7" i="3"/>
  <c r="AE7" i="3"/>
  <c r="AD7" i="3"/>
  <c r="P7" i="3"/>
  <c r="O7" i="3"/>
  <c r="N7" i="3"/>
  <c r="M7" i="3"/>
  <c r="L7" i="3"/>
  <c r="K7" i="3"/>
  <c r="AH6" i="3"/>
  <c r="AG6" i="3"/>
  <c r="AF6" i="3"/>
  <c r="AE6" i="3"/>
  <c r="AD6" i="3"/>
  <c r="P6" i="3"/>
  <c r="O6" i="3"/>
  <c r="N6" i="3"/>
  <c r="M6" i="3"/>
  <c r="L6" i="3"/>
  <c r="K6" i="3"/>
  <c r="AH5" i="3"/>
  <c r="AG5" i="3"/>
  <c r="AF5" i="3"/>
  <c r="AE5" i="3"/>
  <c r="AD5" i="3"/>
  <c r="P5" i="3"/>
  <c r="O5" i="3"/>
  <c r="N5" i="3"/>
  <c r="M5" i="3"/>
  <c r="L5" i="3"/>
  <c r="K5" i="3"/>
  <c r="N108" i="2"/>
  <c r="L103" i="2"/>
  <c r="L102" i="2"/>
  <c r="L96" i="2"/>
  <c r="L95" i="2"/>
  <c r="L94" i="2"/>
  <c r="L93" i="2"/>
  <c r="L92" i="2"/>
  <c r="L90" i="2"/>
  <c r="L89" i="2"/>
  <c r="L85" i="2"/>
  <c r="L84" i="2"/>
  <c r="L83" i="2"/>
  <c r="L82" i="2"/>
  <c r="L81" i="2"/>
  <c r="L77" i="2"/>
  <c r="L76" i="2"/>
  <c r="L75" i="2"/>
  <c r="L74" i="2"/>
  <c r="L73" i="2"/>
  <c r="L72" i="2"/>
  <c r="L71" i="2"/>
  <c r="L67" i="2"/>
  <c r="L66" i="2"/>
  <c r="L65" i="2"/>
  <c r="L64" i="2"/>
  <c r="L63" i="2"/>
  <c r="L62" i="2"/>
  <c r="L61" i="2"/>
  <c r="L60" i="2"/>
  <c r="L59" i="2"/>
  <c r="L58" i="2"/>
  <c r="L57" i="2"/>
  <c r="L56" i="2"/>
  <c r="N38" i="2"/>
  <c r="K51" i="2"/>
  <c r="K50" i="2"/>
  <c r="K45" i="2"/>
  <c r="K44" i="2"/>
  <c r="K43" i="2"/>
  <c r="K42" i="2"/>
  <c r="K41" i="2"/>
  <c r="K39" i="2"/>
  <c r="K38" i="2"/>
  <c r="K34" i="2"/>
  <c r="K33" i="2"/>
  <c r="K32" i="2"/>
  <c r="K31" i="2"/>
  <c r="K30" i="2"/>
  <c r="K26" i="2"/>
  <c r="K25" i="2"/>
  <c r="K24" i="2"/>
  <c r="K23" i="2"/>
  <c r="K22" i="2"/>
  <c r="K21" i="2"/>
  <c r="K20" i="2"/>
  <c r="K16" i="2"/>
  <c r="K15" i="2"/>
  <c r="K14" i="2"/>
  <c r="K13" i="2"/>
  <c r="K12" i="2"/>
  <c r="K11" i="2"/>
  <c r="K10" i="2"/>
  <c r="K9" i="2"/>
  <c r="K8" i="2"/>
  <c r="K7" i="2"/>
  <c r="K6" i="2"/>
  <c r="K5" i="2"/>
  <c r="R52" i="3" l="1"/>
  <c r="V35" i="3"/>
  <c r="S52" i="3"/>
  <c r="AK106" i="3"/>
  <c r="U52" i="3"/>
  <c r="M47" i="3"/>
  <c r="S35" i="3"/>
  <c r="O35" i="3"/>
  <c r="AK80" i="3"/>
  <c r="AD17" i="3"/>
  <c r="AD35" i="3"/>
  <c r="R17" i="3"/>
  <c r="Q52" i="3"/>
  <c r="AG27" i="3"/>
  <c r="AD27" i="3"/>
  <c r="AH35" i="3"/>
  <c r="U27" i="3"/>
  <c r="AE17" i="3"/>
  <c r="AF17" i="3"/>
  <c r="M27" i="3"/>
  <c r="AH27" i="3"/>
  <c r="AE27" i="3"/>
  <c r="N35" i="3"/>
  <c r="T35" i="3"/>
  <c r="O27" i="3"/>
  <c r="L27" i="3"/>
  <c r="AG47" i="3"/>
  <c r="O52" i="3"/>
  <c r="N27" i="3"/>
  <c r="K27" i="3"/>
  <c r="AF27" i="3"/>
  <c r="P27" i="3"/>
  <c r="AH47" i="3"/>
  <c r="P52" i="3"/>
  <c r="AD47" i="3"/>
  <c r="N47" i="3"/>
  <c r="AD52" i="3"/>
  <c r="T52" i="3"/>
  <c r="R35" i="3"/>
  <c r="Q35" i="3"/>
  <c r="T27" i="3"/>
  <c r="V27" i="3"/>
  <c r="K17" i="3"/>
  <c r="L17" i="3"/>
  <c r="Q47" i="3"/>
  <c r="R47" i="3"/>
  <c r="AE47" i="3"/>
  <c r="K52" i="3"/>
  <c r="AK100" i="3"/>
  <c r="Q55" i="3"/>
  <c r="K35" i="3"/>
  <c r="AE35" i="3"/>
  <c r="L47" i="3"/>
  <c r="AF47" i="3"/>
  <c r="P47" i="3"/>
  <c r="L52" i="3"/>
  <c r="AF52" i="3"/>
  <c r="Q27" i="3"/>
  <c r="T47" i="3"/>
  <c r="S17" i="3"/>
  <c r="T17" i="3"/>
  <c r="U17" i="3"/>
  <c r="M17" i="3"/>
  <c r="O47" i="3"/>
  <c r="AE52" i="3"/>
  <c r="V17" i="3"/>
  <c r="S47" i="3"/>
  <c r="N17" i="3"/>
  <c r="O17" i="3"/>
  <c r="L35" i="3"/>
  <c r="AF35" i="3"/>
  <c r="P35" i="3"/>
  <c r="M52" i="3"/>
  <c r="AG52" i="3"/>
  <c r="R27" i="3"/>
  <c r="U35" i="3"/>
  <c r="U47" i="3"/>
  <c r="B55" i="3"/>
  <c r="V52" i="3"/>
  <c r="AG17" i="3"/>
  <c r="K47" i="3"/>
  <c r="AK70" i="3"/>
  <c r="AH17" i="3"/>
  <c r="P17" i="3"/>
  <c r="M35" i="3"/>
  <c r="AG35" i="3"/>
  <c r="N52" i="3"/>
  <c r="AH52" i="3"/>
  <c r="Q17" i="3"/>
  <c r="S27" i="3"/>
  <c r="V47" i="3"/>
  <c r="AK88" i="3"/>
  <c r="AE58" i="3"/>
  <c r="AE59" i="3"/>
  <c r="AE60" i="3"/>
  <c r="AE61" i="3"/>
  <c r="AE62" i="3"/>
  <c r="AE63" i="3"/>
  <c r="AE64" i="3"/>
  <c r="AE65" i="3"/>
  <c r="AE66" i="3"/>
  <c r="AE67" i="3"/>
  <c r="AE68" i="3"/>
  <c r="H55" i="3" l="1"/>
  <c r="C55" i="3"/>
  <c r="J55" i="3"/>
  <c r="I55" i="3"/>
  <c r="O55" i="3"/>
  <c r="AK55" i="3"/>
  <c r="G55" i="3"/>
  <c r="F55" i="3"/>
  <c r="L55" i="3"/>
  <c r="K55" i="3"/>
  <c r="P55" i="3"/>
  <c r="N55" i="3"/>
  <c r="M55" i="3"/>
  <c r="N16" i="2" l="1"/>
  <c r="M16" i="2"/>
  <c r="L16" i="2"/>
  <c r="J16" i="2"/>
  <c r="I16" i="2"/>
  <c r="N15" i="2"/>
  <c r="M15" i="2"/>
  <c r="L15" i="2"/>
  <c r="J15" i="2"/>
  <c r="I15" i="2"/>
  <c r="N14" i="2"/>
  <c r="M14" i="2"/>
  <c r="L14" i="2"/>
  <c r="J14" i="2"/>
  <c r="I14" i="2"/>
  <c r="N13" i="2"/>
  <c r="M13" i="2"/>
  <c r="L13" i="2"/>
  <c r="J13" i="2"/>
  <c r="I13" i="2"/>
  <c r="N12" i="2"/>
  <c r="M12" i="2"/>
  <c r="L12" i="2"/>
  <c r="J12" i="2"/>
  <c r="I12" i="2"/>
  <c r="N11" i="2"/>
  <c r="M11" i="2"/>
  <c r="L11" i="2"/>
  <c r="J11" i="2"/>
  <c r="I11" i="2"/>
  <c r="N10" i="2"/>
  <c r="M10" i="2"/>
  <c r="L10" i="2"/>
  <c r="J10" i="2"/>
  <c r="I10" i="2"/>
  <c r="N9" i="2"/>
  <c r="M9" i="2"/>
  <c r="L9" i="2"/>
  <c r="J9" i="2"/>
  <c r="I9" i="2"/>
  <c r="N8" i="2"/>
  <c r="M8" i="2"/>
  <c r="L8" i="2"/>
  <c r="J8" i="2"/>
  <c r="I8" i="2"/>
  <c r="N7" i="2"/>
  <c r="M7" i="2"/>
  <c r="L7" i="2"/>
  <c r="J7" i="2"/>
  <c r="I7" i="2"/>
  <c r="N6" i="2"/>
  <c r="M6" i="2"/>
  <c r="L6" i="2"/>
  <c r="J6" i="2"/>
  <c r="I6" i="2"/>
  <c r="N5" i="2"/>
  <c r="M5" i="2"/>
  <c r="L5" i="2"/>
  <c r="J5" i="2"/>
  <c r="I5" i="2"/>
  <c r="I56" i="2"/>
  <c r="I20" i="2"/>
  <c r="Q67" i="2"/>
  <c r="Q66" i="2"/>
  <c r="Q65" i="2"/>
  <c r="Q64" i="2"/>
  <c r="Q63" i="2"/>
  <c r="Q62" i="2"/>
  <c r="Q61" i="2"/>
  <c r="Q60" i="2"/>
  <c r="Q59" i="2"/>
  <c r="Q58" i="2"/>
  <c r="Q57" i="2"/>
  <c r="Q56" i="2"/>
  <c r="O68" i="2"/>
  <c r="N56" i="2"/>
  <c r="O108" i="2" l="1"/>
  <c r="M108" i="2"/>
  <c r="K108" i="2"/>
  <c r="J108" i="2"/>
  <c r="I108" i="2"/>
  <c r="N103" i="2"/>
  <c r="N102" i="2"/>
  <c r="N96" i="2"/>
  <c r="N95" i="2"/>
  <c r="N94" i="2"/>
  <c r="N93" i="2"/>
  <c r="N92" i="2"/>
  <c r="N90" i="2"/>
  <c r="N98" i="2" s="1"/>
  <c r="N89" i="2"/>
  <c r="N85" i="2"/>
  <c r="N84" i="2"/>
  <c r="N83" i="2"/>
  <c r="N82" i="2"/>
  <c r="N81" i="2"/>
  <c r="N86" i="2" s="1"/>
  <c r="N77" i="2"/>
  <c r="N76" i="2"/>
  <c r="N75" i="2"/>
  <c r="N74" i="2"/>
  <c r="N73" i="2"/>
  <c r="N72" i="2"/>
  <c r="N71" i="2"/>
  <c r="N78" i="2" s="1"/>
  <c r="N67" i="2"/>
  <c r="N66" i="2"/>
  <c r="N65" i="2"/>
  <c r="N64" i="2"/>
  <c r="N63" i="2"/>
  <c r="N62" i="2"/>
  <c r="N61" i="2"/>
  <c r="N60" i="2"/>
  <c r="N59" i="2"/>
  <c r="N58" i="2"/>
  <c r="N57" i="2"/>
  <c r="N68" i="2" s="1"/>
  <c r="L98" i="2"/>
  <c r="L108" i="2" s="1"/>
  <c r="L78" i="2"/>
  <c r="K103" i="2"/>
  <c r="K102" i="2"/>
  <c r="K96" i="2"/>
  <c r="K95" i="2"/>
  <c r="K94" i="2"/>
  <c r="K93" i="2"/>
  <c r="K92" i="2"/>
  <c r="K90" i="2"/>
  <c r="K98" i="2" s="1"/>
  <c r="K89" i="2"/>
  <c r="K85" i="2"/>
  <c r="K84" i="2"/>
  <c r="K83" i="2"/>
  <c r="K82" i="2"/>
  <c r="K81" i="2"/>
  <c r="K86" i="2" s="1"/>
  <c r="K77" i="2"/>
  <c r="K76" i="2"/>
  <c r="K75" i="2"/>
  <c r="K74" i="2"/>
  <c r="K73" i="2"/>
  <c r="K72" i="2"/>
  <c r="K71" i="2"/>
  <c r="K78" i="2" s="1"/>
  <c r="K67" i="2"/>
  <c r="K66" i="2"/>
  <c r="K65" i="2"/>
  <c r="K64" i="2"/>
  <c r="K63" i="2"/>
  <c r="K62" i="2"/>
  <c r="K61" i="2"/>
  <c r="K60" i="2"/>
  <c r="K59" i="2"/>
  <c r="K58" i="2"/>
  <c r="K57" i="2"/>
  <c r="K68" i="2" s="1"/>
  <c r="K56" i="2"/>
  <c r="J103" i="2"/>
  <c r="J102" i="2"/>
  <c r="J96" i="2"/>
  <c r="J95" i="2"/>
  <c r="J94" i="2"/>
  <c r="J93" i="2"/>
  <c r="J92" i="2"/>
  <c r="J90" i="2"/>
  <c r="J98" i="2" s="1"/>
  <c r="J89" i="2"/>
  <c r="J85" i="2"/>
  <c r="J84" i="2"/>
  <c r="J83" i="2"/>
  <c r="J82" i="2"/>
  <c r="J81" i="2"/>
  <c r="J86" i="2" s="1"/>
  <c r="J77" i="2"/>
  <c r="J76" i="2"/>
  <c r="J78" i="2" s="1"/>
  <c r="J75" i="2"/>
  <c r="J74" i="2"/>
  <c r="J73" i="2"/>
  <c r="J72" i="2"/>
  <c r="J71" i="2"/>
  <c r="J67" i="2"/>
  <c r="J66" i="2"/>
  <c r="J65" i="2"/>
  <c r="J64" i="2"/>
  <c r="J63" i="2"/>
  <c r="J62" i="2"/>
  <c r="J61" i="2"/>
  <c r="J60" i="2"/>
  <c r="J59" i="2"/>
  <c r="J58" i="2"/>
  <c r="J57" i="2"/>
  <c r="J68" i="2" s="1"/>
  <c r="J56" i="2"/>
  <c r="I103" i="2"/>
  <c r="I102" i="2"/>
  <c r="I96" i="2"/>
  <c r="I95" i="2"/>
  <c r="I94" i="2"/>
  <c r="I93" i="2"/>
  <c r="I92" i="2"/>
  <c r="I90" i="2"/>
  <c r="I98" i="2" s="1"/>
  <c r="I89" i="2"/>
  <c r="I85" i="2"/>
  <c r="I84" i="2"/>
  <c r="I83" i="2"/>
  <c r="I82" i="2"/>
  <c r="I81" i="2"/>
  <c r="I86" i="2" s="1"/>
  <c r="I77" i="2"/>
  <c r="I76" i="2"/>
  <c r="I75" i="2"/>
  <c r="I74" i="2"/>
  <c r="I73" i="2"/>
  <c r="I72" i="2"/>
  <c r="I71" i="2"/>
  <c r="I78" i="2" s="1"/>
  <c r="I67" i="2"/>
  <c r="I66" i="2"/>
  <c r="I65" i="2"/>
  <c r="I64" i="2"/>
  <c r="I63" i="2"/>
  <c r="I62" i="2"/>
  <c r="I61" i="2"/>
  <c r="I60" i="2"/>
  <c r="I59" i="2"/>
  <c r="I58" i="2"/>
  <c r="I57" i="2"/>
  <c r="I68" i="2" s="1"/>
  <c r="I52" i="2"/>
  <c r="M51" i="2"/>
  <c r="M52" i="2" s="1"/>
  <c r="M50" i="2"/>
  <c r="M45" i="2"/>
  <c r="M44" i="2"/>
  <c r="M43" i="2"/>
  <c r="M42" i="2"/>
  <c r="M41" i="2"/>
  <c r="M39" i="2"/>
  <c r="M38" i="2"/>
  <c r="M47" i="2" s="1"/>
  <c r="M34" i="2"/>
  <c r="M33" i="2"/>
  <c r="M32" i="2"/>
  <c r="M31" i="2"/>
  <c r="M30" i="2"/>
  <c r="M26" i="2"/>
  <c r="M25" i="2"/>
  <c r="M24" i="2"/>
  <c r="M23" i="2"/>
  <c r="M22" i="2"/>
  <c r="M21" i="2"/>
  <c r="M20" i="2"/>
  <c r="M27" i="2" s="1"/>
  <c r="M17" i="2"/>
  <c r="L51" i="2"/>
  <c r="L50" i="2"/>
  <c r="L45" i="2"/>
  <c r="L44" i="2"/>
  <c r="L43" i="2"/>
  <c r="L42" i="2"/>
  <c r="L41" i="2"/>
  <c r="L39" i="2"/>
  <c r="L47" i="2" s="1"/>
  <c r="L38" i="2"/>
  <c r="L34" i="2"/>
  <c r="L33" i="2"/>
  <c r="L32" i="2"/>
  <c r="L31" i="2"/>
  <c r="L30" i="2"/>
  <c r="L35" i="2" s="1"/>
  <c r="L26" i="2"/>
  <c r="L25" i="2"/>
  <c r="L24" i="2"/>
  <c r="L23" i="2"/>
  <c r="L22" i="2"/>
  <c r="L21" i="2"/>
  <c r="L20" i="2"/>
  <c r="L27" i="2" s="1"/>
  <c r="L17" i="2"/>
  <c r="K47" i="2"/>
  <c r="K35" i="2"/>
  <c r="K27" i="2"/>
  <c r="J51" i="2"/>
  <c r="J50" i="2"/>
  <c r="J45" i="2"/>
  <c r="J44" i="2"/>
  <c r="J43" i="2"/>
  <c r="J42" i="2"/>
  <c r="J41" i="2"/>
  <c r="J39" i="2"/>
  <c r="J47" i="2" s="1"/>
  <c r="J38" i="2"/>
  <c r="J34" i="2"/>
  <c r="J33" i="2"/>
  <c r="J32" i="2"/>
  <c r="J31" i="2"/>
  <c r="J30" i="2"/>
  <c r="J35" i="2" s="1"/>
  <c r="J26" i="2"/>
  <c r="J25" i="2"/>
  <c r="J24" i="2"/>
  <c r="J23" i="2"/>
  <c r="J22" i="2"/>
  <c r="J21" i="2"/>
  <c r="J20" i="2"/>
  <c r="J27" i="2" s="1"/>
  <c r="J17" i="2"/>
  <c r="D108" i="2" s="1"/>
  <c r="I47" i="2"/>
  <c r="I51" i="2"/>
  <c r="I50" i="2"/>
  <c r="I45" i="2"/>
  <c r="I44" i="2"/>
  <c r="I43" i="2"/>
  <c r="I42" i="2"/>
  <c r="I41" i="2"/>
  <c r="I39" i="2"/>
  <c r="I38" i="2"/>
  <c r="I34" i="2"/>
  <c r="I33" i="2"/>
  <c r="I32" i="2"/>
  <c r="I31" i="2"/>
  <c r="I30" i="2"/>
  <c r="I26" i="2"/>
  <c r="I25" i="2"/>
  <c r="I24" i="2"/>
  <c r="I23" i="2"/>
  <c r="I22" i="2"/>
  <c r="I21" i="2"/>
  <c r="I27" i="2"/>
  <c r="I17" i="2"/>
  <c r="C108" i="2" s="1"/>
  <c r="O104" i="2"/>
  <c r="H104" i="2"/>
  <c r="W104" i="2" s="1"/>
  <c r="W103" i="2"/>
  <c r="M103" i="2"/>
  <c r="L104" i="2"/>
  <c r="I104" i="2"/>
  <c r="W102" i="2"/>
  <c r="N104" i="2"/>
  <c r="M102" i="2"/>
  <c r="M104" i="2" s="1"/>
  <c r="K104" i="2"/>
  <c r="J104" i="2"/>
  <c r="O98" i="2"/>
  <c r="W98" i="2" s="1"/>
  <c r="H98" i="2"/>
  <c r="W96" i="2"/>
  <c r="M96" i="2"/>
  <c r="W95" i="2"/>
  <c r="M95" i="2"/>
  <c r="W94" i="2"/>
  <c r="M94" i="2"/>
  <c r="W93" i="2"/>
  <c r="M93" i="2"/>
  <c r="W92" i="2"/>
  <c r="M92" i="2"/>
  <c r="W90" i="2"/>
  <c r="M90" i="2"/>
  <c r="W89" i="2"/>
  <c r="M89" i="2"/>
  <c r="M98" i="2" s="1"/>
  <c r="H86" i="2"/>
  <c r="W85" i="2"/>
  <c r="M85" i="2"/>
  <c r="W84" i="2"/>
  <c r="M84" i="2"/>
  <c r="L86" i="2"/>
  <c r="W83" i="2"/>
  <c r="M83" i="2"/>
  <c r="W82" i="2"/>
  <c r="M82" i="2"/>
  <c r="W81" i="2"/>
  <c r="M81" i="2"/>
  <c r="M86" i="2" s="1"/>
  <c r="O78" i="2"/>
  <c r="O86" i="2" s="1"/>
  <c r="W86" i="2" s="1"/>
  <c r="M78" i="2"/>
  <c r="H78" i="2"/>
  <c r="W78" i="2" s="1"/>
  <c r="W77" i="2"/>
  <c r="M77" i="2"/>
  <c r="W76" i="2"/>
  <c r="M76" i="2"/>
  <c r="W75" i="2"/>
  <c r="M75" i="2"/>
  <c r="W74" i="2"/>
  <c r="M74" i="2"/>
  <c r="W73" i="2"/>
  <c r="M73" i="2"/>
  <c r="W72" i="2"/>
  <c r="M72" i="2"/>
  <c r="W71" i="2"/>
  <c r="M71" i="2"/>
  <c r="W68" i="2"/>
  <c r="H68" i="2"/>
  <c r="W67" i="2"/>
  <c r="M67" i="2"/>
  <c r="W66" i="2"/>
  <c r="M66" i="2"/>
  <c r="W65" i="2"/>
  <c r="M65" i="2"/>
  <c r="W64" i="2"/>
  <c r="M64" i="2"/>
  <c r="W63" i="2"/>
  <c r="M63" i="2"/>
  <c r="W62" i="2"/>
  <c r="M62" i="2"/>
  <c r="W61" i="2"/>
  <c r="M61" i="2"/>
  <c r="W60" i="2"/>
  <c r="M60" i="2"/>
  <c r="W59" i="2"/>
  <c r="M59" i="2"/>
  <c r="W58" i="2"/>
  <c r="M58" i="2"/>
  <c r="W57" i="2"/>
  <c r="M57" i="2"/>
  <c r="W56" i="2"/>
  <c r="M56" i="2"/>
  <c r="M68" i="2" s="1"/>
  <c r="L68" i="2"/>
  <c r="U52" i="2"/>
  <c r="T52" i="2"/>
  <c r="Q52" i="2"/>
  <c r="L52" i="2"/>
  <c r="T51" i="2"/>
  <c r="S51" i="2"/>
  <c r="R51" i="2"/>
  <c r="Q51" i="2"/>
  <c r="P51" i="2"/>
  <c r="O51" i="2"/>
  <c r="N51" i="2"/>
  <c r="T50" i="2"/>
  <c r="S50" i="2"/>
  <c r="S52" i="2" s="1"/>
  <c r="R50" i="2"/>
  <c r="R52" i="2" s="1"/>
  <c r="Q50" i="2"/>
  <c r="P50" i="2"/>
  <c r="P52" i="2" s="1"/>
  <c r="O50" i="2"/>
  <c r="O52" i="2" s="1"/>
  <c r="N50" i="2"/>
  <c r="N52" i="2" s="1"/>
  <c r="K52" i="2"/>
  <c r="J52" i="2"/>
  <c r="U47" i="2"/>
  <c r="S47" i="2"/>
  <c r="R47" i="2"/>
  <c r="O47" i="2"/>
  <c r="H47" i="2"/>
  <c r="H52" i="2" s="1"/>
  <c r="T45" i="2"/>
  <c r="S45" i="2"/>
  <c r="R45" i="2"/>
  <c r="Q45" i="2"/>
  <c r="P45" i="2"/>
  <c r="O45" i="2"/>
  <c r="N45" i="2"/>
  <c r="T44" i="2"/>
  <c r="S44" i="2"/>
  <c r="R44" i="2"/>
  <c r="Q44" i="2"/>
  <c r="P44" i="2"/>
  <c r="O44" i="2"/>
  <c r="N44" i="2"/>
  <c r="T43" i="2"/>
  <c r="S43" i="2"/>
  <c r="R43" i="2"/>
  <c r="Q43" i="2"/>
  <c r="P43" i="2"/>
  <c r="O43" i="2"/>
  <c r="N43" i="2"/>
  <c r="T42" i="2"/>
  <c r="S42" i="2"/>
  <c r="R42" i="2"/>
  <c r="Q42" i="2"/>
  <c r="P42" i="2"/>
  <c r="O42" i="2"/>
  <c r="N42" i="2"/>
  <c r="T41" i="2"/>
  <c r="S41" i="2"/>
  <c r="R41" i="2"/>
  <c r="Q41" i="2"/>
  <c r="P41" i="2"/>
  <c r="O41" i="2"/>
  <c r="N41" i="2"/>
  <c r="T39" i="2"/>
  <c r="S39" i="2"/>
  <c r="R39" i="2"/>
  <c r="Q39" i="2"/>
  <c r="P39" i="2"/>
  <c r="P47" i="2" s="1"/>
  <c r="O39" i="2"/>
  <c r="N39" i="2"/>
  <c r="T38" i="2"/>
  <c r="T47" i="2" s="1"/>
  <c r="S38" i="2"/>
  <c r="R38" i="2"/>
  <c r="Q38" i="2"/>
  <c r="Q47" i="2" s="1"/>
  <c r="P38" i="2"/>
  <c r="O38" i="2"/>
  <c r="N47" i="2"/>
  <c r="U35" i="2"/>
  <c r="T35" i="2"/>
  <c r="Q35" i="2"/>
  <c r="M35" i="2"/>
  <c r="I35" i="2"/>
  <c r="H35" i="2"/>
  <c r="T34" i="2"/>
  <c r="S34" i="2"/>
  <c r="R34" i="2"/>
  <c r="Q34" i="2"/>
  <c r="P34" i="2"/>
  <c r="O34" i="2"/>
  <c r="N34" i="2"/>
  <c r="T33" i="2"/>
  <c r="S33" i="2"/>
  <c r="R33" i="2"/>
  <c r="Q33" i="2"/>
  <c r="P33" i="2"/>
  <c r="O33" i="2"/>
  <c r="N33" i="2"/>
  <c r="T32" i="2"/>
  <c r="S32" i="2"/>
  <c r="R32" i="2"/>
  <c r="Q32" i="2"/>
  <c r="P32" i="2"/>
  <c r="O32" i="2"/>
  <c r="N32" i="2"/>
  <c r="T31" i="2"/>
  <c r="S31" i="2"/>
  <c r="R31" i="2"/>
  <c r="R35" i="2" s="1"/>
  <c r="Q31" i="2"/>
  <c r="P31" i="2"/>
  <c r="O31" i="2"/>
  <c r="N31" i="2"/>
  <c r="T30" i="2"/>
  <c r="S30" i="2"/>
  <c r="S35" i="2" s="1"/>
  <c r="R30" i="2"/>
  <c r="Q30" i="2"/>
  <c r="P30" i="2"/>
  <c r="P35" i="2" s="1"/>
  <c r="O30" i="2"/>
  <c r="O35" i="2" s="1"/>
  <c r="N30" i="2"/>
  <c r="N35" i="2" s="1"/>
  <c r="U27" i="2"/>
  <c r="S27" i="2"/>
  <c r="O27" i="2"/>
  <c r="N27" i="2"/>
  <c r="H27" i="2"/>
  <c r="T26" i="2"/>
  <c r="S26" i="2"/>
  <c r="R26" i="2"/>
  <c r="Q26" i="2"/>
  <c r="P26" i="2"/>
  <c r="O26" i="2"/>
  <c r="N26" i="2"/>
  <c r="T25" i="2"/>
  <c r="S25" i="2"/>
  <c r="R25" i="2"/>
  <c r="Q25" i="2"/>
  <c r="P25" i="2"/>
  <c r="O25" i="2"/>
  <c r="N25" i="2"/>
  <c r="T24" i="2"/>
  <c r="S24" i="2"/>
  <c r="R24" i="2"/>
  <c r="Q24" i="2"/>
  <c r="P24" i="2"/>
  <c r="O24" i="2"/>
  <c r="N24" i="2"/>
  <c r="T23" i="2"/>
  <c r="S23" i="2"/>
  <c r="R23" i="2"/>
  <c r="Q23" i="2"/>
  <c r="P23" i="2"/>
  <c r="O23" i="2"/>
  <c r="N23" i="2"/>
  <c r="T22" i="2"/>
  <c r="S22" i="2"/>
  <c r="R22" i="2"/>
  <c r="Q22" i="2"/>
  <c r="P22" i="2"/>
  <c r="O22" i="2"/>
  <c r="N22" i="2"/>
  <c r="T21" i="2"/>
  <c r="T27" i="2" s="1"/>
  <c r="S21" i="2"/>
  <c r="R21" i="2"/>
  <c r="Q21" i="2"/>
  <c r="P21" i="2"/>
  <c r="O21" i="2"/>
  <c r="N21" i="2"/>
  <c r="T20" i="2"/>
  <c r="S20" i="2"/>
  <c r="R20" i="2"/>
  <c r="R27" i="2" s="1"/>
  <c r="Q20" i="2"/>
  <c r="Q27" i="2" s="1"/>
  <c r="P20" i="2"/>
  <c r="P27" i="2" s="1"/>
  <c r="O20" i="2"/>
  <c r="N20" i="2"/>
  <c r="U17" i="2"/>
  <c r="Q17" i="2"/>
  <c r="P17" i="2"/>
  <c r="H17" i="2"/>
  <c r="T16" i="2"/>
  <c r="S16" i="2"/>
  <c r="R16" i="2"/>
  <c r="Q16" i="2"/>
  <c r="P16" i="2"/>
  <c r="O16" i="2"/>
  <c r="T15" i="2"/>
  <c r="S15" i="2"/>
  <c r="R15" i="2"/>
  <c r="Q15" i="2"/>
  <c r="P15" i="2"/>
  <c r="O15" i="2"/>
  <c r="T14" i="2"/>
  <c r="S14" i="2"/>
  <c r="R14" i="2"/>
  <c r="Q14" i="2"/>
  <c r="P14" i="2"/>
  <c r="O14" i="2"/>
  <c r="T13" i="2"/>
  <c r="S13" i="2"/>
  <c r="R13" i="2"/>
  <c r="Q13" i="2"/>
  <c r="P13" i="2"/>
  <c r="O13" i="2"/>
  <c r="T12" i="2"/>
  <c r="S12" i="2"/>
  <c r="R12" i="2"/>
  <c r="Q12" i="2"/>
  <c r="P12" i="2"/>
  <c r="O12" i="2"/>
  <c r="T11" i="2"/>
  <c r="S11" i="2"/>
  <c r="R11" i="2"/>
  <c r="Q11" i="2"/>
  <c r="P11" i="2"/>
  <c r="O11" i="2"/>
  <c r="T10" i="2"/>
  <c r="S10" i="2"/>
  <c r="R10" i="2"/>
  <c r="Q10" i="2"/>
  <c r="P10" i="2"/>
  <c r="O10" i="2"/>
  <c r="T9" i="2"/>
  <c r="S9" i="2"/>
  <c r="R9" i="2"/>
  <c r="Q9" i="2"/>
  <c r="P9" i="2"/>
  <c r="O9" i="2"/>
  <c r="T8" i="2"/>
  <c r="S8" i="2"/>
  <c r="R8" i="2"/>
  <c r="Q8" i="2"/>
  <c r="P8" i="2"/>
  <c r="O8" i="2"/>
  <c r="T7" i="2"/>
  <c r="S7" i="2"/>
  <c r="R7" i="2"/>
  <c r="Q7" i="2"/>
  <c r="P7" i="2"/>
  <c r="O7" i="2"/>
  <c r="T6" i="2"/>
  <c r="S6" i="2"/>
  <c r="R6" i="2"/>
  <c r="Q6" i="2"/>
  <c r="P6" i="2"/>
  <c r="O6" i="2"/>
  <c r="T5" i="2"/>
  <c r="T17" i="2" s="1"/>
  <c r="S5" i="2"/>
  <c r="S17" i="2" s="1"/>
  <c r="R5" i="2"/>
  <c r="R17" i="2" s="1"/>
  <c r="Q5" i="2"/>
  <c r="P5" i="2"/>
  <c r="O5" i="2"/>
  <c r="O17" i="2" s="1"/>
  <c r="N17" i="2"/>
  <c r="H108" i="2" s="1"/>
  <c r="K17" i="2"/>
  <c r="W103" i="1"/>
  <c r="W102" i="1"/>
  <c r="W96" i="1"/>
  <c r="W95" i="1"/>
  <c r="W94" i="1"/>
  <c r="W93" i="1"/>
  <c r="W92" i="1"/>
  <c r="W90" i="1"/>
  <c r="W89" i="1"/>
  <c r="W85" i="1"/>
  <c r="W84" i="1"/>
  <c r="W83" i="1"/>
  <c r="W82" i="1"/>
  <c r="W81" i="1"/>
  <c r="W77" i="1"/>
  <c r="W76" i="1"/>
  <c r="W75" i="1"/>
  <c r="W74" i="1"/>
  <c r="W73" i="1"/>
  <c r="W72" i="1"/>
  <c r="W71" i="1"/>
  <c r="W67" i="1"/>
  <c r="W66" i="1"/>
  <c r="W65" i="1"/>
  <c r="W64" i="1"/>
  <c r="W63" i="1"/>
  <c r="W62" i="1"/>
  <c r="W61" i="1"/>
  <c r="W60" i="1"/>
  <c r="W59" i="1"/>
  <c r="W58" i="1"/>
  <c r="W57" i="1"/>
  <c r="W56" i="1"/>
  <c r="O5" i="1"/>
  <c r="P5" i="1"/>
  <c r="Q5" i="1"/>
  <c r="R5" i="1"/>
  <c r="S5" i="1"/>
  <c r="T5" i="1"/>
  <c r="O6" i="1"/>
  <c r="P6" i="1"/>
  <c r="Q6" i="1"/>
  <c r="R6" i="1"/>
  <c r="S6" i="1"/>
  <c r="T6" i="1"/>
  <c r="O7" i="1"/>
  <c r="P7" i="1"/>
  <c r="Q7" i="1"/>
  <c r="R7" i="1"/>
  <c r="S7" i="1"/>
  <c r="T7" i="1"/>
  <c r="O8" i="1"/>
  <c r="P8" i="1"/>
  <c r="Q8" i="1"/>
  <c r="R8" i="1"/>
  <c r="S8" i="1"/>
  <c r="T8" i="1"/>
  <c r="O9" i="1"/>
  <c r="P9" i="1"/>
  <c r="Q9" i="1"/>
  <c r="R9" i="1"/>
  <c r="S9" i="1"/>
  <c r="T9" i="1"/>
  <c r="O10" i="1"/>
  <c r="P10" i="1"/>
  <c r="Q10" i="1"/>
  <c r="R10" i="1"/>
  <c r="S10" i="1"/>
  <c r="T10" i="1"/>
  <c r="O11" i="1"/>
  <c r="P11" i="1"/>
  <c r="Q11" i="1"/>
  <c r="R11" i="1"/>
  <c r="S11" i="1"/>
  <c r="T11" i="1"/>
  <c r="O12" i="1"/>
  <c r="P12" i="1"/>
  <c r="Q12" i="1"/>
  <c r="R12" i="1"/>
  <c r="S12" i="1"/>
  <c r="T12" i="1"/>
  <c r="O13" i="1"/>
  <c r="P13" i="1"/>
  <c r="Q13" i="1"/>
  <c r="R13" i="1"/>
  <c r="S13" i="1"/>
  <c r="T13" i="1"/>
  <c r="O14" i="1"/>
  <c r="P14" i="1"/>
  <c r="Q14" i="1"/>
  <c r="R14" i="1"/>
  <c r="S14" i="1"/>
  <c r="T14" i="1"/>
  <c r="O15" i="1"/>
  <c r="P15" i="1"/>
  <c r="Q15" i="1"/>
  <c r="R15" i="1"/>
  <c r="S15" i="1"/>
  <c r="T15" i="1"/>
  <c r="O16" i="1"/>
  <c r="P16" i="1"/>
  <c r="Q16" i="1"/>
  <c r="R16" i="1"/>
  <c r="S16" i="1"/>
  <c r="T16" i="1"/>
  <c r="O20" i="1"/>
  <c r="P20" i="1"/>
  <c r="Q20" i="1"/>
  <c r="R20" i="1"/>
  <c r="S20" i="1"/>
  <c r="T20" i="1"/>
  <c r="O21" i="1"/>
  <c r="P21" i="1"/>
  <c r="Q21" i="1"/>
  <c r="R21" i="1"/>
  <c r="S21" i="1"/>
  <c r="T21" i="1"/>
  <c r="O22" i="1"/>
  <c r="P22" i="1"/>
  <c r="Q22" i="1"/>
  <c r="R22" i="1"/>
  <c r="S22" i="1"/>
  <c r="T22" i="1"/>
  <c r="O23" i="1"/>
  <c r="P23" i="1"/>
  <c r="Q23" i="1"/>
  <c r="R23" i="1"/>
  <c r="S23" i="1"/>
  <c r="T23" i="1"/>
  <c r="O24" i="1"/>
  <c r="P24" i="1"/>
  <c r="Q24" i="1"/>
  <c r="R24" i="1"/>
  <c r="S24" i="1"/>
  <c r="T24" i="1"/>
  <c r="O25" i="1"/>
  <c r="P25" i="1"/>
  <c r="Q25" i="1"/>
  <c r="R25" i="1"/>
  <c r="S25" i="1"/>
  <c r="T25" i="1"/>
  <c r="O26" i="1"/>
  <c r="P26" i="1"/>
  <c r="Q26" i="1"/>
  <c r="R26" i="1"/>
  <c r="S26" i="1"/>
  <c r="T26" i="1"/>
  <c r="O30" i="1"/>
  <c r="P30" i="1"/>
  <c r="Q30" i="1"/>
  <c r="R30" i="1"/>
  <c r="S30" i="1"/>
  <c r="T30" i="1"/>
  <c r="O31" i="1"/>
  <c r="P31" i="1"/>
  <c r="Q31" i="1"/>
  <c r="R31" i="1"/>
  <c r="S31" i="1"/>
  <c r="T31" i="1"/>
  <c r="O32" i="1"/>
  <c r="P32" i="1"/>
  <c r="Q32" i="1"/>
  <c r="R32" i="1"/>
  <c r="S32" i="1"/>
  <c r="T32" i="1"/>
  <c r="O33" i="1"/>
  <c r="P33" i="1"/>
  <c r="Q33" i="1"/>
  <c r="R33" i="1"/>
  <c r="S33" i="1"/>
  <c r="T33" i="1"/>
  <c r="O34" i="1"/>
  <c r="P34" i="1"/>
  <c r="Q34" i="1"/>
  <c r="R34" i="1"/>
  <c r="S34" i="1"/>
  <c r="T34" i="1"/>
  <c r="O38" i="1"/>
  <c r="P38" i="1"/>
  <c r="Q38" i="1"/>
  <c r="R38" i="1"/>
  <c r="S38" i="1"/>
  <c r="T38" i="1"/>
  <c r="O39" i="1"/>
  <c r="P39" i="1"/>
  <c r="Q39" i="1"/>
  <c r="R39" i="1"/>
  <c r="S39" i="1"/>
  <c r="T39" i="1"/>
  <c r="O41" i="1"/>
  <c r="P41" i="1"/>
  <c r="Q41" i="1"/>
  <c r="R41" i="1"/>
  <c r="S41" i="1"/>
  <c r="T41" i="1"/>
  <c r="O42" i="1"/>
  <c r="P42" i="1"/>
  <c r="Q42" i="1"/>
  <c r="R42" i="1"/>
  <c r="S42" i="1"/>
  <c r="T42" i="1"/>
  <c r="O43" i="1"/>
  <c r="P43" i="1"/>
  <c r="Q43" i="1"/>
  <c r="R43" i="1"/>
  <c r="S43" i="1"/>
  <c r="T43" i="1"/>
  <c r="O44" i="1"/>
  <c r="P44" i="1"/>
  <c r="Q44" i="1"/>
  <c r="R44" i="1"/>
  <c r="S44" i="1"/>
  <c r="T44" i="1"/>
  <c r="O45" i="1"/>
  <c r="P45" i="1"/>
  <c r="Q45" i="1"/>
  <c r="R45" i="1"/>
  <c r="S45" i="1"/>
  <c r="T45" i="1"/>
  <c r="O50" i="1"/>
  <c r="P50" i="1"/>
  <c r="Q50" i="1"/>
  <c r="R50" i="1"/>
  <c r="S50" i="1"/>
  <c r="T50" i="1"/>
  <c r="O51" i="1"/>
  <c r="P51" i="1"/>
  <c r="Q51" i="1"/>
  <c r="R51" i="1"/>
  <c r="S51" i="1"/>
  <c r="T51" i="1"/>
  <c r="O68" i="1"/>
  <c r="W68" i="1" s="1"/>
  <c r="O78" i="1"/>
  <c r="O86" i="1" s="1"/>
  <c r="O98" i="1"/>
  <c r="O104" i="1"/>
  <c r="U17" i="1"/>
  <c r="U27" i="1"/>
  <c r="U35" i="1" s="1"/>
  <c r="U47" i="1"/>
  <c r="U52" i="1"/>
  <c r="I56" i="1"/>
  <c r="I57" i="1"/>
  <c r="I58" i="1"/>
  <c r="I59" i="1"/>
  <c r="I60" i="1"/>
  <c r="I61" i="1"/>
  <c r="I62" i="1"/>
  <c r="I63" i="1"/>
  <c r="I64" i="1"/>
  <c r="I65" i="1"/>
  <c r="I66" i="1"/>
  <c r="I67" i="1"/>
  <c r="I71" i="1"/>
  <c r="I72" i="1"/>
  <c r="I73" i="1"/>
  <c r="I74" i="1"/>
  <c r="I75" i="1"/>
  <c r="I76" i="1"/>
  <c r="I77" i="1"/>
  <c r="I81" i="1"/>
  <c r="I82" i="1"/>
  <c r="I83" i="1"/>
  <c r="I84" i="1"/>
  <c r="I85" i="1"/>
  <c r="I89" i="1"/>
  <c r="I90" i="1"/>
  <c r="I92" i="1"/>
  <c r="I93" i="1"/>
  <c r="I94" i="1"/>
  <c r="I95" i="1"/>
  <c r="I96" i="1"/>
  <c r="I102" i="1"/>
  <c r="I103" i="1"/>
  <c r="N103" i="1"/>
  <c r="M103" i="1"/>
  <c r="L103" i="1"/>
  <c r="K103" i="1"/>
  <c r="J103" i="1"/>
  <c r="N102" i="1"/>
  <c r="M102" i="1"/>
  <c r="L102" i="1"/>
  <c r="K102" i="1"/>
  <c r="J102" i="1"/>
  <c r="H98" i="1"/>
  <c r="H104" i="1" s="1"/>
  <c r="N96" i="1"/>
  <c r="M96" i="1"/>
  <c r="L96" i="1"/>
  <c r="K96" i="1"/>
  <c r="J96" i="1"/>
  <c r="N95" i="1"/>
  <c r="M95" i="1"/>
  <c r="L95" i="1"/>
  <c r="K95" i="1"/>
  <c r="J95" i="1"/>
  <c r="N94" i="1"/>
  <c r="M94" i="1"/>
  <c r="L94" i="1"/>
  <c r="K94" i="1"/>
  <c r="J94" i="1"/>
  <c r="N93" i="1"/>
  <c r="M93" i="1"/>
  <c r="L93" i="1"/>
  <c r="K93" i="1"/>
  <c r="J93" i="1"/>
  <c r="N92" i="1"/>
  <c r="M92" i="1"/>
  <c r="L92" i="1"/>
  <c r="K92" i="1"/>
  <c r="J92" i="1"/>
  <c r="N90" i="1"/>
  <c r="M90" i="1"/>
  <c r="L90" i="1"/>
  <c r="K90" i="1"/>
  <c r="J90" i="1"/>
  <c r="N89" i="1"/>
  <c r="M89" i="1"/>
  <c r="L89" i="1"/>
  <c r="K89" i="1"/>
  <c r="J89" i="1"/>
  <c r="H86" i="1"/>
  <c r="N85" i="1"/>
  <c r="M85" i="1"/>
  <c r="L85" i="1"/>
  <c r="K85" i="1"/>
  <c r="J85" i="1"/>
  <c r="N84" i="1"/>
  <c r="M84" i="1"/>
  <c r="L84" i="1"/>
  <c r="K84" i="1"/>
  <c r="J84" i="1"/>
  <c r="N83" i="1"/>
  <c r="M83" i="1"/>
  <c r="L83" i="1"/>
  <c r="K83" i="1"/>
  <c r="J83" i="1"/>
  <c r="N82" i="1"/>
  <c r="M82" i="1"/>
  <c r="L82" i="1"/>
  <c r="K82" i="1"/>
  <c r="J82" i="1"/>
  <c r="N81" i="1"/>
  <c r="M81" i="1"/>
  <c r="L81" i="1"/>
  <c r="K81" i="1"/>
  <c r="J81" i="1"/>
  <c r="H78" i="1"/>
  <c r="N77" i="1"/>
  <c r="M77" i="1"/>
  <c r="L77" i="1"/>
  <c r="K77" i="1"/>
  <c r="J77" i="1"/>
  <c r="N76" i="1"/>
  <c r="M76" i="1"/>
  <c r="L76" i="1"/>
  <c r="K76" i="1"/>
  <c r="J76" i="1"/>
  <c r="N75" i="1"/>
  <c r="M75" i="1"/>
  <c r="L75" i="1"/>
  <c r="K75" i="1"/>
  <c r="J75" i="1"/>
  <c r="N74" i="1"/>
  <c r="M74" i="1"/>
  <c r="L74" i="1"/>
  <c r="K74" i="1"/>
  <c r="J74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H68" i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4" i="1"/>
  <c r="M64" i="1"/>
  <c r="L64" i="1"/>
  <c r="K64" i="1"/>
  <c r="J64" i="1"/>
  <c r="N63" i="1"/>
  <c r="M63" i="1"/>
  <c r="L63" i="1"/>
  <c r="K63" i="1"/>
  <c r="J63" i="1"/>
  <c r="N62" i="1"/>
  <c r="M62" i="1"/>
  <c r="L62" i="1"/>
  <c r="K62" i="1"/>
  <c r="J62" i="1"/>
  <c r="N61" i="1"/>
  <c r="M61" i="1"/>
  <c r="L61" i="1"/>
  <c r="K61" i="1"/>
  <c r="J61" i="1"/>
  <c r="N60" i="1"/>
  <c r="M60" i="1"/>
  <c r="L60" i="1"/>
  <c r="K60" i="1"/>
  <c r="J60" i="1"/>
  <c r="N59" i="1"/>
  <c r="M59" i="1"/>
  <c r="L59" i="1"/>
  <c r="K59" i="1"/>
  <c r="J59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12" i="1"/>
  <c r="N5" i="1"/>
  <c r="M5" i="1"/>
  <c r="L5" i="1"/>
  <c r="M12" i="1"/>
  <c r="L12" i="1"/>
  <c r="L6" i="1"/>
  <c r="L7" i="1"/>
  <c r="L8" i="1"/>
  <c r="L9" i="1"/>
  <c r="L10" i="1"/>
  <c r="L11" i="1"/>
  <c r="L13" i="1"/>
  <c r="L14" i="1"/>
  <c r="L15" i="1"/>
  <c r="L16" i="1"/>
  <c r="M6" i="1"/>
  <c r="M7" i="1"/>
  <c r="M8" i="1"/>
  <c r="M9" i="1"/>
  <c r="M10" i="1"/>
  <c r="M11" i="1"/>
  <c r="M13" i="1"/>
  <c r="M14" i="1"/>
  <c r="M15" i="1"/>
  <c r="M16" i="1"/>
  <c r="N6" i="1"/>
  <c r="N7" i="1"/>
  <c r="N8" i="1"/>
  <c r="N9" i="1"/>
  <c r="N10" i="1"/>
  <c r="N11" i="1"/>
  <c r="N13" i="1"/>
  <c r="N14" i="1"/>
  <c r="N15" i="1"/>
  <c r="N16" i="1"/>
  <c r="K12" i="1"/>
  <c r="K5" i="1"/>
  <c r="J16" i="1"/>
  <c r="J13" i="1"/>
  <c r="J12" i="1"/>
  <c r="J8" i="1"/>
  <c r="J5" i="1"/>
  <c r="I15" i="1"/>
  <c r="I12" i="1"/>
  <c r="I8" i="1"/>
  <c r="I6" i="1"/>
  <c r="I5" i="1"/>
  <c r="I50" i="1"/>
  <c r="N51" i="1"/>
  <c r="N50" i="1"/>
  <c r="N45" i="1"/>
  <c r="M45" i="1"/>
  <c r="L45" i="1"/>
  <c r="K45" i="1"/>
  <c r="I45" i="1"/>
  <c r="J44" i="1"/>
  <c r="I44" i="1"/>
  <c r="I43" i="1"/>
  <c r="I41" i="1"/>
  <c r="K41" i="1"/>
  <c r="L41" i="1"/>
  <c r="M41" i="1"/>
  <c r="N41" i="1"/>
  <c r="N39" i="1"/>
  <c r="M39" i="1"/>
  <c r="L39" i="1"/>
  <c r="K39" i="1"/>
  <c r="J39" i="1"/>
  <c r="I39" i="1"/>
  <c r="M38" i="1"/>
  <c r="L38" i="1"/>
  <c r="K38" i="1"/>
  <c r="I38" i="1"/>
  <c r="N31" i="1"/>
  <c r="M31" i="1"/>
  <c r="L31" i="1"/>
  <c r="N30" i="1"/>
  <c r="M30" i="1"/>
  <c r="L30" i="1"/>
  <c r="K31" i="1"/>
  <c r="K30" i="1"/>
  <c r="J30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J31" i="1"/>
  <c r="I31" i="1"/>
  <c r="I30" i="1"/>
  <c r="J24" i="1"/>
  <c r="K24" i="1"/>
  <c r="N24" i="1"/>
  <c r="M24" i="1"/>
  <c r="L24" i="1"/>
  <c r="N26" i="1"/>
  <c r="M26" i="1"/>
  <c r="L26" i="1"/>
  <c r="K26" i="1"/>
  <c r="J26" i="1"/>
  <c r="I26" i="1"/>
  <c r="N25" i="1"/>
  <c r="M25" i="1"/>
  <c r="L25" i="1"/>
  <c r="K25" i="1"/>
  <c r="J25" i="1"/>
  <c r="I25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M51" i="1"/>
  <c r="L51" i="1"/>
  <c r="K51" i="1"/>
  <c r="J51" i="1"/>
  <c r="I51" i="1"/>
  <c r="H47" i="1"/>
  <c r="H52" i="1" s="1"/>
  <c r="J38" i="1"/>
  <c r="H35" i="1"/>
  <c r="H27" i="1"/>
  <c r="L20" i="1"/>
  <c r="K20" i="1"/>
  <c r="H17" i="1"/>
  <c r="K16" i="1"/>
  <c r="I16" i="1"/>
  <c r="K15" i="1"/>
  <c r="K14" i="1"/>
  <c r="J14" i="1"/>
  <c r="I14" i="1"/>
  <c r="J11" i="1"/>
  <c r="I11" i="1"/>
  <c r="K9" i="1"/>
  <c r="J9" i="1"/>
  <c r="I9" i="1"/>
  <c r="K8" i="1"/>
  <c r="K7" i="1"/>
  <c r="K6" i="1"/>
  <c r="J6" i="1"/>
  <c r="E108" i="2" l="1"/>
  <c r="G108" i="2"/>
  <c r="F108" i="2"/>
  <c r="B108" i="2"/>
  <c r="W108" i="2" s="1"/>
  <c r="W104" i="1"/>
  <c r="W98" i="1"/>
  <c r="W86" i="1"/>
  <c r="W78" i="1"/>
  <c r="P52" i="1"/>
  <c r="S17" i="1"/>
  <c r="R47" i="1"/>
  <c r="O17" i="1"/>
  <c r="R35" i="1"/>
  <c r="Q47" i="1"/>
  <c r="S47" i="1"/>
  <c r="Q35" i="1"/>
  <c r="Q52" i="1"/>
  <c r="O52" i="1"/>
  <c r="P47" i="1"/>
  <c r="T47" i="1"/>
  <c r="T35" i="1"/>
  <c r="T17" i="1"/>
  <c r="R17" i="1"/>
  <c r="P17" i="1"/>
  <c r="T52" i="1"/>
  <c r="P35" i="1"/>
  <c r="O108" i="1"/>
  <c r="S52" i="1"/>
  <c r="S35" i="1"/>
  <c r="O35" i="1"/>
  <c r="S27" i="1"/>
  <c r="Q27" i="1"/>
  <c r="R52" i="1"/>
  <c r="T27" i="1"/>
  <c r="R27" i="1"/>
  <c r="P27" i="1"/>
  <c r="O47" i="1"/>
  <c r="O27" i="1"/>
  <c r="Q17" i="1"/>
  <c r="I104" i="1"/>
  <c r="I86" i="1"/>
  <c r="I98" i="1"/>
  <c r="I78" i="1"/>
  <c r="I68" i="1"/>
  <c r="J78" i="1"/>
  <c r="J35" i="1"/>
  <c r="L68" i="1"/>
  <c r="J98" i="1"/>
  <c r="N78" i="1"/>
  <c r="N98" i="1"/>
  <c r="L86" i="1"/>
  <c r="J104" i="1"/>
  <c r="I52" i="1"/>
  <c r="J68" i="1"/>
  <c r="K98" i="1"/>
  <c r="K104" i="1"/>
  <c r="L104" i="1"/>
  <c r="N17" i="1"/>
  <c r="K68" i="1"/>
  <c r="M86" i="1"/>
  <c r="M98" i="1"/>
  <c r="L98" i="1"/>
  <c r="K78" i="1"/>
  <c r="N86" i="1"/>
  <c r="M104" i="1"/>
  <c r="M68" i="1"/>
  <c r="L78" i="1"/>
  <c r="K86" i="1"/>
  <c r="N104" i="1"/>
  <c r="M17" i="1"/>
  <c r="J86" i="1"/>
  <c r="L17" i="1"/>
  <c r="N68" i="1"/>
  <c r="M78" i="1"/>
  <c r="L27" i="1"/>
  <c r="K27" i="1"/>
  <c r="N52" i="1"/>
  <c r="N38" i="1"/>
  <c r="L50" i="1"/>
  <c r="L52" i="1" s="1"/>
  <c r="M50" i="1"/>
  <c r="M52" i="1" s="1"/>
  <c r="B108" i="1"/>
  <c r="J43" i="1"/>
  <c r="J41" i="1"/>
  <c r="L44" i="1"/>
  <c r="N43" i="1"/>
  <c r="M44" i="1"/>
  <c r="L43" i="1"/>
  <c r="M43" i="1"/>
  <c r="N20" i="1"/>
  <c r="N27" i="1" s="1"/>
  <c r="K11" i="1"/>
  <c r="I13" i="1"/>
  <c r="K43" i="1"/>
  <c r="N44" i="1"/>
  <c r="L42" i="1"/>
  <c r="N42" i="1"/>
  <c r="I42" i="1"/>
  <c r="I47" i="1" s="1"/>
  <c r="J45" i="1"/>
  <c r="M20" i="1"/>
  <c r="M27" i="1" s="1"/>
  <c r="I10" i="1"/>
  <c r="I7" i="1"/>
  <c r="J10" i="1"/>
  <c r="K13" i="1"/>
  <c r="I20" i="1"/>
  <c r="I27" i="1" s="1"/>
  <c r="J42" i="1"/>
  <c r="M42" i="1"/>
  <c r="J7" i="1"/>
  <c r="K10" i="1"/>
  <c r="J15" i="1"/>
  <c r="J20" i="1"/>
  <c r="K42" i="1"/>
  <c r="J50" i="1"/>
  <c r="J52" i="1" s="1"/>
  <c r="K44" i="1"/>
  <c r="K50" i="1"/>
  <c r="K52" i="1" s="1"/>
  <c r="W108" i="1" l="1"/>
  <c r="I108" i="1"/>
  <c r="L47" i="1"/>
  <c r="K17" i="1"/>
  <c r="K47" i="1"/>
  <c r="J17" i="1"/>
  <c r="M47" i="1"/>
  <c r="N47" i="1"/>
  <c r="L35" i="1"/>
  <c r="M35" i="1"/>
  <c r="J47" i="1"/>
  <c r="K35" i="1"/>
  <c r="I35" i="1"/>
  <c r="J27" i="1"/>
  <c r="I17" i="1"/>
  <c r="N35" i="1"/>
  <c r="J108" i="1" l="1"/>
  <c r="D108" i="1"/>
  <c r="K108" i="1"/>
  <c r="C108" i="1"/>
  <c r="M108" i="1"/>
  <c r="F108" i="1"/>
  <c r="N108" i="1"/>
  <c r="G108" i="1"/>
  <c r="L108" i="1"/>
  <c r="H108" i="1"/>
  <c r="E108" i="1"/>
</calcChain>
</file>

<file path=xl/sharedStrings.xml><?xml version="1.0" encoding="utf-8"?>
<sst xmlns="http://schemas.openxmlformats.org/spreadsheetml/2006/main" count="897" uniqueCount="67">
  <si>
    <r>
      <t>Licensee:</t>
    </r>
    <r>
      <rPr>
        <sz val="11"/>
        <color theme="1"/>
        <rFont val="Calibri"/>
        <family val="2"/>
        <scheme val="minor"/>
      </rPr>
      <t xml:space="preserve"> Polima Forest Bintulu Sdn Bhd</t>
    </r>
  </si>
  <si>
    <t>PHASE</t>
  </si>
  <si>
    <t>BLK</t>
  </si>
  <si>
    <t>Age (mth)</t>
  </si>
  <si>
    <t>Harvest Yr.</t>
  </si>
  <si>
    <t>Mt/ha/yr</t>
  </si>
  <si>
    <t>Mt/ha/ mth</t>
  </si>
  <si>
    <t>HA</t>
  </si>
  <si>
    <t>Jan 
(5%)</t>
  </si>
  <si>
    <t>Feb 
(4%)</t>
  </si>
  <si>
    <t>Mar 
(7%)</t>
  </si>
  <si>
    <t>Apr 
(7%)</t>
  </si>
  <si>
    <t>May 
(7%)</t>
  </si>
  <si>
    <t>Jun 
(7%)</t>
  </si>
  <si>
    <t>Jul 
(8%)</t>
  </si>
  <si>
    <t>Aug (10%)</t>
  </si>
  <si>
    <t>Sep (10%)</t>
  </si>
  <si>
    <t>Oct 
(14%)</t>
  </si>
  <si>
    <t>Nov (11%)</t>
  </si>
  <si>
    <t>Dec (10%)</t>
  </si>
  <si>
    <t>Total (100%)</t>
  </si>
  <si>
    <t>OP2010</t>
  </si>
  <si>
    <t>OP2011</t>
  </si>
  <si>
    <t>OP2012</t>
  </si>
  <si>
    <t>OP2015</t>
  </si>
  <si>
    <t>26A</t>
  </si>
  <si>
    <t>26 B</t>
  </si>
  <si>
    <t>FORESTRY RESERVED</t>
  </si>
  <si>
    <t>SH</t>
  </si>
  <si>
    <t>Not yet planted</t>
  </si>
  <si>
    <t>OP/T2016</t>
  </si>
  <si>
    <t>168-180</t>
  </si>
  <si>
    <r>
      <t>Subject:</t>
    </r>
    <r>
      <rPr>
        <sz val="11"/>
        <color theme="1"/>
        <rFont val="Calibri"/>
        <family val="2"/>
        <scheme val="minor"/>
      </rPr>
      <t xml:space="preserve"> Proposed FFB Estimate Production for Year 2026</t>
    </r>
  </si>
  <si>
    <t>162-174</t>
  </si>
  <si>
    <t>156-168</t>
  </si>
  <si>
    <t>150–162</t>
  </si>
  <si>
    <t>156–168</t>
  </si>
  <si>
    <t>144–156</t>
  </si>
  <si>
    <t>60–72</t>
  </si>
  <si>
    <t>72–84</t>
  </si>
  <si>
    <t>48–60</t>
  </si>
  <si>
    <t>96–108</t>
  </si>
  <si>
    <t>SUBTOTAL</t>
  </si>
  <si>
    <t>SUMMARY</t>
  </si>
  <si>
    <t>JANUARY - JUNE</t>
  </si>
  <si>
    <t>JULY - DECEMBER</t>
  </si>
  <si>
    <t>YTD / Ha</t>
  </si>
  <si>
    <t>Aug  (10%)</t>
  </si>
  <si>
    <t>Oct  
(14%)</t>
  </si>
  <si>
    <t>Nov  (11%)</t>
  </si>
  <si>
    <t>Dec  (10%)</t>
  </si>
  <si>
    <t>Sep    (10%)</t>
  </si>
  <si>
    <r>
      <t>Subject:</t>
    </r>
    <r>
      <rPr>
        <sz val="11"/>
        <color theme="1"/>
        <rFont val="Calibri"/>
        <family val="2"/>
        <scheme val="minor"/>
      </rPr>
      <t xml:space="preserve"> Proposed FFB Estimate Production for Year 2026</t>
    </r>
    <r>
      <rPr>
        <b/>
        <sz val="11"/>
        <color theme="1"/>
        <rFont val="Calibri"/>
        <family val="2"/>
        <scheme val="minor"/>
      </rPr>
      <t xml:space="preserve"> (updated 29.01.2026)</t>
    </r>
  </si>
  <si>
    <t>Jan 
(6%)</t>
  </si>
  <si>
    <t>Feb 
(7%)</t>
  </si>
  <si>
    <t>Apr 
(9%)</t>
  </si>
  <si>
    <t>May 
(8%)</t>
  </si>
  <si>
    <t>Jul 
(7%)</t>
  </si>
  <si>
    <t>Sep    (9%)</t>
  </si>
  <si>
    <t>Dec
(9%)</t>
  </si>
  <si>
    <t>Aug
(8%)</t>
  </si>
  <si>
    <t>Oct  
(12%)</t>
  </si>
  <si>
    <r>
      <t>Licensee:</t>
    </r>
    <r>
      <rPr>
        <sz val="11"/>
        <rFont val="Calibri"/>
        <family val="2"/>
        <scheme val="minor"/>
      </rPr>
      <t xml:space="preserve"> Polima Forest Bintulu Sdn Bhd</t>
    </r>
  </si>
  <si>
    <r>
      <t>Subject:</t>
    </r>
    <r>
      <rPr>
        <sz val="11"/>
        <rFont val="Calibri"/>
        <family val="2"/>
        <scheme val="minor"/>
      </rPr>
      <t xml:space="preserve"> Proposed FFB Estimate Production for Year 2026</t>
    </r>
    <r>
      <rPr>
        <b/>
        <sz val="11"/>
        <rFont val="Calibri"/>
        <family val="2"/>
        <scheme val="minor"/>
      </rPr>
      <t xml:space="preserve"> (updated 29.01.2026)</t>
    </r>
  </si>
  <si>
    <t>Apr
(9%)</t>
  </si>
  <si>
    <t>Harvest
(yr/mth)</t>
  </si>
  <si>
    <t>Age
(yr/mth)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</si>
</sst>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0" borderId="0" xfId="0" applyFont="1"/>
    <xf numFmtId="2" fontId="0" fillId="0" borderId="0" xfId="0" applyNumberFormat="1"/>
    <xf numFmtId="0" fontId="3" fillId="0" borderId="1" xfId="0" applyFont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1" xfId="0" applyBorder="1"/>
    <xf numFmtId="2" fontId="0" fillId="0" borderId="1" xfId="0" applyNumberFormat="1" applyBorder="1"/>
    <xf numFmtId="2" fontId="3" fillId="0" borderId="0" xfId="0" applyNumberFormat="1" applyFont="1"/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0" fontId="5" fillId="0" borderId="0" xfId="0" applyFont="1"/>
    <xf numFmtId="3" fontId="0" fillId="0" borderId="1" xfId="0" applyNumberFormat="1" applyBorder="1"/>
    <xf numFmtId="3" fontId="5" fillId="0" borderId="1" xfId="0" applyNumberFormat="1" applyFont="1" applyBorder="1"/>
    <xf numFmtId="3" fontId="3" fillId="0" borderId="0" xfId="0" applyNumberFormat="1" applyFont="1"/>
    <xf numFmtId="3" fontId="6" fillId="0" borderId="0" xfId="0" applyNumberFormat="1" applyFont="1"/>
    <xf numFmtId="0" fontId="7" fillId="0" borderId="0" xfId="0" applyFont="1"/>
    <xf numFmtId="0" fontId="1" fillId="0" borderId="0" xfId="0" applyFont="1" applyAlignment="1">
      <alignment vertical="top" wrapText="1"/>
    </xf>
    <xf numFmtId="3" fontId="4" fillId="0" borderId="0" xfId="0" applyNumberFormat="1" applyFont="1"/>
    <xf numFmtId="3" fontId="1" fillId="0" borderId="0" xfId="0" applyNumberFormat="1" applyFont="1"/>
    <xf numFmtId="0" fontId="4" fillId="0" borderId="0" xfId="0" applyFont="1"/>
    <xf numFmtId="2" fontId="3" fillId="0" borderId="5" xfId="0" applyNumberFormat="1" applyFont="1" applyBorder="1" applyAlignment="1">
      <alignment vertical="top" wrapText="1"/>
    </xf>
    <xf numFmtId="2" fontId="0" fillId="0" borderId="5" xfId="0" applyNumberFormat="1" applyBorder="1"/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3" fontId="0" fillId="0" borderId="11" xfId="0" applyNumberFormat="1" applyBorder="1"/>
    <xf numFmtId="3" fontId="5" fillId="0" borderId="12" xfId="0" applyNumberFormat="1" applyFont="1" applyBorder="1"/>
    <xf numFmtId="3" fontId="0" fillId="0" borderId="13" xfId="0" applyNumberFormat="1" applyBorder="1"/>
    <xf numFmtId="3" fontId="0" fillId="0" borderId="14" xfId="0" applyNumberFormat="1" applyBorder="1"/>
    <xf numFmtId="3" fontId="5" fillId="0" borderId="15" xfId="0" applyNumberFormat="1" applyFont="1" applyBorder="1"/>
    <xf numFmtId="3" fontId="0" fillId="0" borderId="8" xfId="0" applyNumberFormat="1" applyBorder="1"/>
    <xf numFmtId="3" fontId="0" fillId="0" borderId="9" xfId="0" applyNumberFormat="1" applyBorder="1"/>
    <xf numFmtId="3" fontId="5" fillId="0" borderId="10" xfId="0" applyNumberFormat="1" applyFont="1" applyBorder="1"/>
    <xf numFmtId="3" fontId="2" fillId="0" borderId="13" xfId="0" applyNumberFormat="1" applyFont="1" applyBorder="1"/>
    <xf numFmtId="3" fontId="2" fillId="0" borderId="14" xfId="0" applyNumberFormat="1" applyFont="1" applyBorder="1"/>
    <xf numFmtId="0" fontId="3" fillId="0" borderId="7" xfId="0" applyFont="1" applyBorder="1" applyAlignment="1">
      <alignment vertical="top" wrapText="1"/>
    </xf>
    <xf numFmtId="3" fontId="0" fillId="0" borderId="7" xfId="0" applyNumberFormat="1" applyBorder="1"/>
    <xf numFmtId="0" fontId="6" fillId="0" borderId="9" xfId="0" applyFont="1" applyBorder="1" applyAlignment="1">
      <alignment vertical="top" wrapText="1"/>
    </xf>
    <xf numFmtId="3" fontId="5" fillId="0" borderId="14" xfId="0" applyNumberFormat="1" applyFont="1" applyBorder="1"/>
    <xf numFmtId="3" fontId="5" fillId="0" borderId="9" xfId="0" applyNumberFormat="1" applyFont="1" applyBorder="1"/>
    <xf numFmtId="3" fontId="2" fillId="0" borderId="7" xfId="0" applyNumberFormat="1" applyFont="1" applyBorder="1"/>
    <xf numFmtId="4" fontId="0" fillId="0" borderId="1" xfId="0" applyNumberFormat="1" applyBorder="1"/>
    <xf numFmtId="4" fontId="3" fillId="0" borderId="0" xfId="0" applyNumberFormat="1" applyFont="1"/>
    <xf numFmtId="4" fontId="0" fillId="0" borderId="0" xfId="0" applyNumberFormat="1"/>
    <xf numFmtId="3" fontId="0" fillId="0" borderId="20" xfId="0" applyNumberFormat="1" applyBorder="1"/>
    <xf numFmtId="4" fontId="0" fillId="0" borderId="2" xfId="0" applyNumberFormat="1" applyBorder="1"/>
    <xf numFmtId="2" fontId="3" fillId="0" borderId="19" xfId="0" applyNumberFormat="1" applyFont="1" applyBorder="1" applyAlignment="1">
      <alignment vertical="top" wrapText="1"/>
    </xf>
    <xf numFmtId="3" fontId="8" fillId="0" borderId="5" xfId="0" applyNumberFormat="1" applyFont="1" applyBorder="1" applyAlignment="1">
      <alignment vertical="center"/>
    </xf>
    <xf numFmtId="0" fontId="3" fillId="0" borderId="20" xfId="0" applyFont="1" applyBorder="1" applyAlignment="1">
      <alignment vertical="top" wrapText="1"/>
    </xf>
    <xf numFmtId="3" fontId="8" fillId="0" borderId="7" xfId="0" applyNumberFormat="1" applyFont="1" applyBorder="1" applyAlignment="1">
      <alignment vertical="center"/>
    </xf>
    <xf numFmtId="0" fontId="3" fillId="0" borderId="21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3" fontId="8" fillId="0" borderId="13" xfId="0" applyNumberFormat="1" applyFont="1" applyBorder="1"/>
    <xf numFmtId="3" fontId="8" fillId="0" borderId="14" xfId="0" applyNumberFormat="1" applyFont="1" applyBorder="1"/>
    <xf numFmtId="3" fontId="9" fillId="0" borderId="14" xfId="0" applyNumberFormat="1" applyFont="1" applyBorder="1"/>
    <xf numFmtId="3" fontId="8" fillId="0" borderId="15" xfId="0" applyNumberFormat="1" applyFont="1" applyBorder="1"/>
    <xf numFmtId="4" fontId="8" fillId="0" borderId="1" xfId="0" applyNumberFormat="1" applyFont="1" applyBorder="1"/>
    <xf numFmtId="2" fontId="0" fillId="0" borderId="12" xfId="0" applyNumberFormat="1" applyBorder="1"/>
    <xf numFmtId="0" fontId="0" fillId="2" borderId="0" xfId="0" applyFill="1" applyAlignment="1">
      <alignment horizontal="center"/>
    </xf>
    <xf numFmtId="0" fontId="2" fillId="0" borderId="0" xfId="0" applyFont="1"/>
    <xf numFmtId="0" fontId="10" fillId="0" borderId="0" xfId="0" applyFont="1" applyAlignment="1">
      <alignment vertical="top" wrapText="1"/>
    </xf>
    <xf numFmtId="3" fontId="2" fillId="0" borderId="0" xfId="0" applyNumberFormat="1" applyFont="1"/>
    <xf numFmtId="3" fontId="10" fillId="0" borderId="0" xfId="0" applyNumberFormat="1" applyFont="1"/>
    <xf numFmtId="0" fontId="10" fillId="0" borderId="0" xfId="0" applyFont="1"/>
    <xf numFmtId="0" fontId="10" fillId="0" borderId="1" xfId="0" applyFont="1" applyBorder="1" applyAlignment="1">
      <alignment vertical="top" wrapText="1"/>
    </xf>
    <xf numFmtId="4" fontId="2" fillId="0" borderId="1" xfId="0" applyNumberFormat="1" applyFont="1" applyBorder="1"/>
    <xf numFmtId="4" fontId="10" fillId="0" borderId="0" xfId="0" applyNumberFormat="1" applyFont="1"/>
    <xf numFmtId="4" fontId="2" fillId="0" borderId="0" xfId="0" applyNumberFormat="1" applyFont="1"/>
    <xf numFmtId="4" fontId="2" fillId="0" borderId="2" xfId="0" applyNumberFormat="1" applyFont="1" applyBorder="1"/>
    <xf numFmtId="0" fontId="11" fillId="0" borderId="0" xfId="0" applyFont="1"/>
    <xf numFmtId="4" fontId="12" fillId="0" borderId="1" xfId="0" applyNumberFormat="1" applyFont="1" applyBorder="1"/>
    <xf numFmtId="3" fontId="0" fillId="0" borderId="0" xfId="0" applyNumberFormat="1"/>
    <xf numFmtId="3" fontId="8" fillId="0" borderId="0" xfId="0" applyNumberFormat="1" applyFont="1" applyAlignment="1">
      <alignment vertical="center"/>
    </xf>
    <xf numFmtId="0" fontId="0" fillId="2" borderId="1" xfId="0" applyFill="1" applyBorder="1"/>
    <xf numFmtId="0" fontId="6" fillId="0" borderId="0" xfId="0" applyFont="1"/>
    <xf numFmtId="2" fontId="5" fillId="0" borderId="0" xfId="0" applyNumberFormat="1" applyFont="1"/>
    <xf numFmtId="0" fontId="6" fillId="0" borderId="1" xfId="0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2" fontId="6" fillId="0" borderId="5" xfId="0" applyNumberFormat="1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1" xfId="0" applyFont="1" applyBorder="1"/>
    <xf numFmtId="2" fontId="5" fillId="0" borderId="1" xfId="0" applyNumberFormat="1" applyFont="1" applyBorder="1"/>
    <xf numFmtId="2" fontId="5" fillId="0" borderId="5" xfId="0" applyNumberFormat="1" applyFont="1" applyBorder="1"/>
    <xf numFmtId="3" fontId="5" fillId="0" borderId="11" xfId="0" applyNumberFormat="1" applyFont="1" applyBorder="1"/>
    <xf numFmtId="3" fontId="5" fillId="0" borderId="7" xfId="0" applyNumberFormat="1" applyFont="1" applyBorder="1"/>
    <xf numFmtId="3" fontId="5" fillId="0" borderId="13" xfId="0" applyNumberFormat="1" applyFont="1" applyBorder="1"/>
    <xf numFmtId="2" fontId="6" fillId="0" borderId="0" xfId="0" applyNumberFormat="1" applyFont="1" applyAlignment="1">
      <alignment horizontal="right"/>
    </xf>
    <xf numFmtId="2" fontId="6" fillId="0" borderId="0" xfId="0" applyNumberFormat="1" applyFont="1"/>
    <xf numFmtId="0" fontId="5" fillId="0" borderId="1" xfId="0" applyFont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7" xfId="0" applyFont="1" applyFill="1" applyBorder="1"/>
    <xf numFmtId="3" fontId="5" fillId="0" borderId="8" xfId="0" applyNumberFormat="1" applyFont="1" applyBorder="1"/>
    <xf numFmtId="0" fontId="5" fillId="2" borderId="4" xfId="0" applyFont="1" applyFill="1" applyBorder="1"/>
    <xf numFmtId="0" fontId="5" fillId="2" borderId="1" xfId="0" applyFont="1" applyFill="1" applyBorder="1"/>
    <xf numFmtId="2" fontId="6" fillId="0" borderId="19" xfId="0" applyNumberFormat="1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3" fontId="5" fillId="0" borderId="0" xfId="0" applyNumberFormat="1" applyFont="1"/>
    <xf numFmtId="0" fontId="5" fillId="2" borderId="5" xfId="0" applyFont="1" applyFill="1" applyBorder="1"/>
    <xf numFmtId="0" fontId="5" fillId="2" borderId="6" xfId="0" applyFont="1" applyFill="1" applyBorder="1"/>
    <xf numFmtId="2" fontId="5" fillId="0" borderId="12" xfId="0" applyNumberFormat="1" applyFont="1" applyBorder="1"/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2" fontId="5" fillId="0" borderId="5" xfId="0" applyNumberFormat="1" applyFont="1" applyBorder="1" applyAlignment="1">
      <alignment wrapText="1"/>
    </xf>
    <xf numFmtId="3" fontId="5" fillId="0" borderId="11" xfId="0" applyNumberFormat="1" applyFont="1" applyBorder="1" applyAlignment="1">
      <alignment wrapText="1"/>
    </xf>
    <xf numFmtId="3" fontId="5" fillId="0" borderId="1" xfId="0" applyNumberFormat="1" applyFont="1" applyBorder="1" applyAlignment="1">
      <alignment wrapText="1"/>
    </xf>
    <xf numFmtId="3" fontId="5" fillId="0" borderId="12" xfId="0" applyNumberFormat="1" applyFont="1" applyBorder="1" applyAlignment="1">
      <alignment wrapText="1"/>
    </xf>
    <xf numFmtId="3" fontId="5" fillId="0" borderId="7" xfId="0" applyNumberFormat="1" applyFont="1" applyBorder="1" applyAlignment="1">
      <alignment wrapText="1"/>
    </xf>
    <xf numFmtId="3" fontId="4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wrapText="1"/>
    </xf>
    <xf numFmtId="0" fontId="6" fillId="0" borderId="0" xfId="0" applyFont="1" applyAlignment="1">
      <alignment horizontal="right"/>
    </xf>
    <xf numFmtId="3" fontId="8" fillId="0" borderId="14" xfId="0" applyNumberFormat="1" applyFont="1" applyBorder="1" applyAlignment="1">
      <alignment horizontal="right"/>
    </xf>
    <xf numFmtId="0" fontId="5" fillId="2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1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25" xfId="0" applyFont="1" applyBorder="1" applyAlignment="1">
      <alignment vertical="top" wrapText="1"/>
    </xf>
    <xf numFmtId="3" fontId="8" fillId="0" borderId="26" xfId="0" applyNumberFormat="1" applyFont="1" applyBorder="1"/>
    <xf numFmtId="0" fontId="0" fillId="2" borderId="2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24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3.%20MONTHLY%20HARVESTING%20&amp;%20MANURING%20REPORT\12.%20Dec%202025\Havesting%20Performance%20Dec%202025.xlsx" TargetMode="External"/><Relationship Id="rId1" Type="http://schemas.openxmlformats.org/officeDocument/2006/relationships/externalLinkPath" Target="/KEVIN/2025/3.%20MONTHLY%20HARVESTING%20&amp;%20MANURING%20REPORT/12.%20Dec%202025/Havesting%20Performance%20Dec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DAILY%20REPORT\Summary%20Report%20June%202025.xlsx" TargetMode="External"/><Relationship Id="rId1" Type="http://schemas.openxmlformats.org/officeDocument/2006/relationships/externalLinkPath" Target="/KEVIN/2025/DAILY%20REPORT/Summary%20Report%20June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KEVIN\2025\3.%20MONTHLY%20HARVESTING%20&amp;%20MANURING%20REPORT\9.%20Sept%202025\Havesting%20Performance%20Sept%202025.xlsx" TargetMode="External"/><Relationship Id="rId1" Type="http://schemas.openxmlformats.org/officeDocument/2006/relationships/externalLinkPath" Target="/KEVIN/2025/3.%20MONTHLY%20HARVESTING%20&amp;%20MANURING%20REPORT/9.%20Sept%202025/Havesting%20Performance%20Sep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 BY GANG COMPARISON V3"/>
      <sheetName val="OVERALL BY GANG COMPARISON YTD"/>
      <sheetName val="OVERALL"/>
      <sheetName val="OVERALL BY GANG"/>
      <sheetName val="YUVENTUS UN GANG"/>
      <sheetName val="DARSO GANG"/>
      <sheetName val="YUDI GANG"/>
      <sheetName val="SOFIO GANG"/>
      <sheetName val="NU AZANI GANG"/>
      <sheetName val="WENDERLINUS GANG "/>
      <sheetName val="FFB interval 2024 vs 2025"/>
      <sheetName val="HARVESTING INTERVAL- NOV 24"/>
      <sheetName val="HARVESTING INTERVAL- Dec"/>
      <sheetName val="HARVESTING ROUND"/>
      <sheetName val="4.4 Harvesting Round Record"/>
      <sheetName val="OVERALL BY GANG COMPARISON"/>
      <sheetName val="OVERALL BY GANG COMPARISON V2."/>
      <sheetName val="FFB Budget 2024"/>
      <sheetName val="FFB Budget 2025"/>
      <sheetName val="Harvesting Record VS FFB BUDGET"/>
      <sheetName val="OVERALL BY GANG COMPARISON summ"/>
      <sheetName val="OVERALL BY GANG COMPARISON YTD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A7">
            <v>1</v>
          </cell>
          <cell r="B7">
            <v>53.2</v>
          </cell>
          <cell r="C7">
            <v>106</v>
          </cell>
          <cell r="D7">
            <v>45.47</v>
          </cell>
          <cell r="E7">
            <v>61.180000000000007</v>
          </cell>
          <cell r="F7">
            <v>0</v>
          </cell>
          <cell r="G7">
            <v>106.65</v>
          </cell>
          <cell r="I7">
            <v>98</v>
          </cell>
          <cell r="J7">
            <v>1.088265306122449</v>
          </cell>
          <cell r="L7">
            <v>9.77</v>
          </cell>
          <cell r="M7">
            <v>27.17</v>
          </cell>
          <cell r="N7">
            <v>0</v>
          </cell>
          <cell r="O7">
            <v>36.94</v>
          </cell>
          <cell r="P7">
            <v>15.36</v>
          </cell>
          <cell r="Q7">
            <v>24.08</v>
          </cell>
          <cell r="R7">
            <v>0</v>
          </cell>
          <cell r="S7">
            <v>39.44</v>
          </cell>
          <cell r="T7">
            <v>15.14</v>
          </cell>
          <cell r="U7">
            <v>7.87</v>
          </cell>
          <cell r="V7">
            <v>4.54</v>
          </cell>
          <cell r="W7">
            <v>27.55</v>
          </cell>
          <cell r="X7">
            <v>20.25</v>
          </cell>
          <cell r="Y7">
            <v>13.88</v>
          </cell>
          <cell r="Z7">
            <v>0</v>
          </cell>
          <cell r="AA7">
            <v>34.130000000000003</v>
          </cell>
          <cell r="AB7">
            <v>45.97</v>
          </cell>
          <cell r="AC7">
            <v>12.94</v>
          </cell>
          <cell r="AD7">
            <v>0</v>
          </cell>
          <cell r="AE7">
            <v>58.91</v>
          </cell>
          <cell r="AF7">
            <v>40.75</v>
          </cell>
          <cell r="AG7">
            <v>13.29</v>
          </cell>
          <cell r="AH7">
            <v>0</v>
          </cell>
          <cell r="AI7">
            <v>54.04</v>
          </cell>
          <cell r="AJ7">
            <v>28.57</v>
          </cell>
          <cell r="AK7">
            <v>16.23</v>
          </cell>
          <cell r="AL7">
            <v>0</v>
          </cell>
          <cell r="AM7">
            <v>44.8</v>
          </cell>
          <cell r="AN7">
            <v>33.31</v>
          </cell>
          <cell r="AO7">
            <v>32.630000000000003</v>
          </cell>
          <cell r="AP7">
            <v>0</v>
          </cell>
          <cell r="AQ7">
            <v>65.94</v>
          </cell>
          <cell r="AR7">
            <v>24.71</v>
          </cell>
          <cell r="AS7">
            <v>26.41</v>
          </cell>
          <cell r="AT7">
            <v>0</v>
          </cell>
          <cell r="AU7">
            <v>51.120000000000005</v>
          </cell>
          <cell r="AV7">
            <v>68.66</v>
          </cell>
          <cell r="AW7">
            <v>39.69</v>
          </cell>
          <cell r="AX7">
            <v>0</v>
          </cell>
          <cell r="AY7">
            <v>108.35</v>
          </cell>
          <cell r="AZ7">
            <v>40.619999999999997</v>
          </cell>
          <cell r="BA7">
            <v>9.34</v>
          </cell>
          <cell r="BB7">
            <v>53.889999999999993</v>
          </cell>
          <cell r="BC7">
            <v>103.85</v>
          </cell>
          <cell r="BD7">
            <v>65.930000000000007</v>
          </cell>
          <cell r="BE7">
            <v>16.14</v>
          </cell>
          <cell r="BF7">
            <v>0</v>
          </cell>
          <cell r="BG7">
            <v>82.070000000000007</v>
          </cell>
        </row>
        <row r="8">
          <cell r="A8">
            <v>3</v>
          </cell>
          <cell r="B8">
            <v>69.2</v>
          </cell>
          <cell r="C8">
            <v>138</v>
          </cell>
          <cell r="D8">
            <v>15.21</v>
          </cell>
          <cell r="E8">
            <v>64.8</v>
          </cell>
          <cell r="F8">
            <v>0</v>
          </cell>
          <cell r="G8">
            <v>80.009999999999991</v>
          </cell>
          <cell r="I8">
            <v>67</v>
          </cell>
          <cell r="J8">
            <v>1.1941791044776118</v>
          </cell>
          <cell r="L8">
            <v>51.04</v>
          </cell>
          <cell r="M8">
            <v>20.2</v>
          </cell>
          <cell r="N8">
            <v>0</v>
          </cell>
          <cell r="O8">
            <v>71.239999999999995</v>
          </cell>
          <cell r="P8">
            <v>14.17</v>
          </cell>
          <cell r="Q8">
            <v>24.44</v>
          </cell>
          <cell r="R8">
            <v>0</v>
          </cell>
          <cell r="S8">
            <v>38.61</v>
          </cell>
          <cell r="T8">
            <v>12.73</v>
          </cell>
          <cell r="U8">
            <v>2.87</v>
          </cell>
          <cell r="V8">
            <v>0</v>
          </cell>
          <cell r="W8">
            <v>15.600000000000001</v>
          </cell>
          <cell r="X8">
            <v>34.22</v>
          </cell>
          <cell r="Y8">
            <v>15.52</v>
          </cell>
          <cell r="Z8">
            <v>0</v>
          </cell>
          <cell r="AA8">
            <v>49.739999999999995</v>
          </cell>
          <cell r="AB8">
            <v>49.54</v>
          </cell>
          <cell r="AC8">
            <v>11.01</v>
          </cell>
          <cell r="AD8">
            <v>0</v>
          </cell>
          <cell r="AE8">
            <v>60.55</v>
          </cell>
          <cell r="AF8">
            <v>47.06</v>
          </cell>
          <cell r="AG8">
            <v>10.6</v>
          </cell>
          <cell r="AH8">
            <v>0</v>
          </cell>
          <cell r="AI8">
            <v>57.660000000000004</v>
          </cell>
          <cell r="AJ8">
            <v>49.22</v>
          </cell>
          <cell r="AK8">
            <v>16.170000000000002</v>
          </cell>
          <cell r="AL8">
            <v>0</v>
          </cell>
          <cell r="AM8">
            <v>65.39</v>
          </cell>
          <cell r="AN8">
            <v>82.38</v>
          </cell>
          <cell r="AO8">
            <v>31.87</v>
          </cell>
          <cell r="AP8">
            <v>0</v>
          </cell>
          <cell r="AQ8">
            <v>114.25</v>
          </cell>
          <cell r="AR8">
            <v>53.67</v>
          </cell>
          <cell r="AS8">
            <v>40.25</v>
          </cell>
          <cell r="AT8">
            <v>0</v>
          </cell>
          <cell r="AU8">
            <v>93.92</v>
          </cell>
          <cell r="AV8">
            <v>130.71</v>
          </cell>
          <cell r="AW8">
            <v>16.11</v>
          </cell>
          <cell r="AX8">
            <v>0</v>
          </cell>
          <cell r="AY8">
            <v>146.82</v>
          </cell>
          <cell r="AZ8">
            <v>23.8</v>
          </cell>
          <cell r="BA8">
            <v>37.81</v>
          </cell>
          <cell r="BB8">
            <v>0</v>
          </cell>
          <cell r="BC8">
            <v>61.61</v>
          </cell>
          <cell r="BD8">
            <v>111.05</v>
          </cell>
          <cell r="BE8">
            <v>40.630000000000003</v>
          </cell>
          <cell r="BF8">
            <v>0</v>
          </cell>
          <cell r="BG8">
            <v>151.68</v>
          </cell>
        </row>
        <row r="9">
          <cell r="A9">
            <v>14</v>
          </cell>
          <cell r="B9">
            <v>41.6</v>
          </cell>
          <cell r="C9">
            <v>87</v>
          </cell>
          <cell r="D9">
            <v>45.839999999999996</v>
          </cell>
          <cell r="E9">
            <v>0</v>
          </cell>
          <cell r="F9">
            <v>0</v>
          </cell>
          <cell r="G9">
            <v>45.839999999999996</v>
          </cell>
          <cell r="I9">
            <v>45</v>
          </cell>
          <cell r="J9">
            <v>1.0186666666666666</v>
          </cell>
          <cell r="L9">
            <v>49.21</v>
          </cell>
          <cell r="M9">
            <v>3.66</v>
          </cell>
          <cell r="N9">
            <v>0</v>
          </cell>
          <cell r="O9">
            <v>52.870000000000005</v>
          </cell>
          <cell r="P9">
            <v>15.54</v>
          </cell>
          <cell r="Q9">
            <v>23.28</v>
          </cell>
          <cell r="R9">
            <v>0</v>
          </cell>
          <cell r="S9">
            <v>38.82</v>
          </cell>
          <cell r="T9">
            <v>12.49</v>
          </cell>
          <cell r="U9">
            <v>6.09</v>
          </cell>
          <cell r="V9">
            <v>0</v>
          </cell>
          <cell r="W9">
            <v>18.579999999999998</v>
          </cell>
          <cell r="X9">
            <v>28.29</v>
          </cell>
          <cell r="Y9">
            <v>19.72</v>
          </cell>
          <cell r="Z9">
            <v>0</v>
          </cell>
          <cell r="AA9">
            <v>48.01</v>
          </cell>
          <cell r="AB9">
            <v>44.78</v>
          </cell>
          <cell r="AC9">
            <v>26.98</v>
          </cell>
          <cell r="AD9">
            <v>0</v>
          </cell>
          <cell r="AE9">
            <v>71.760000000000005</v>
          </cell>
          <cell r="AF9">
            <v>25.46</v>
          </cell>
          <cell r="AG9">
            <v>15.82</v>
          </cell>
          <cell r="AH9">
            <v>0</v>
          </cell>
          <cell r="AI9">
            <v>41.28</v>
          </cell>
          <cell r="AJ9">
            <v>41.1</v>
          </cell>
          <cell r="AK9">
            <v>11.93</v>
          </cell>
          <cell r="AL9">
            <v>0</v>
          </cell>
          <cell r="AM9">
            <v>53.03</v>
          </cell>
          <cell r="AN9">
            <v>87.25</v>
          </cell>
          <cell r="AO9">
            <v>17.93</v>
          </cell>
          <cell r="AP9">
            <v>0</v>
          </cell>
          <cell r="AQ9">
            <v>105.18</v>
          </cell>
          <cell r="AR9">
            <v>3.62</v>
          </cell>
          <cell r="AS9">
            <v>46.62</v>
          </cell>
          <cell r="AT9">
            <v>34.22</v>
          </cell>
          <cell r="AU9">
            <v>84.46</v>
          </cell>
          <cell r="AV9">
            <v>32.299999999999997</v>
          </cell>
          <cell r="AW9">
            <v>63.89</v>
          </cell>
          <cell r="AX9">
            <v>0</v>
          </cell>
          <cell r="AY9">
            <v>96.19</v>
          </cell>
          <cell r="AZ9">
            <v>31.495999999999999</v>
          </cell>
          <cell r="BA9">
            <v>27.1</v>
          </cell>
          <cell r="BB9">
            <v>0</v>
          </cell>
          <cell r="BC9">
            <v>58.596000000000004</v>
          </cell>
          <cell r="BD9">
            <v>59.76</v>
          </cell>
          <cell r="BE9">
            <v>34.15</v>
          </cell>
          <cell r="BF9">
            <v>0</v>
          </cell>
          <cell r="BG9">
            <v>93.91</v>
          </cell>
        </row>
      </sheetData>
      <sheetData sheetId="5">
        <row r="7">
          <cell r="A7">
            <v>15</v>
          </cell>
          <cell r="B7">
            <v>49.3</v>
          </cell>
          <cell r="C7">
            <v>99</v>
          </cell>
          <cell r="D7">
            <v>70.900000000000006</v>
          </cell>
          <cell r="E7">
            <v>53.16</v>
          </cell>
          <cell r="F7">
            <v>0</v>
          </cell>
          <cell r="G7">
            <v>124.06</v>
          </cell>
          <cell r="I7">
            <v>60</v>
          </cell>
          <cell r="J7">
            <v>2.0676666666666668</v>
          </cell>
          <cell r="L7">
            <v>22.07</v>
          </cell>
          <cell r="M7">
            <v>15.31</v>
          </cell>
          <cell r="N7">
            <v>0</v>
          </cell>
          <cell r="O7">
            <v>37.380000000000003</v>
          </cell>
          <cell r="P7">
            <v>9.6199999999999992</v>
          </cell>
          <cell r="Q7">
            <v>7.33</v>
          </cell>
          <cell r="R7">
            <v>0</v>
          </cell>
          <cell r="S7">
            <v>16.95</v>
          </cell>
          <cell r="T7">
            <v>8.48</v>
          </cell>
          <cell r="U7">
            <v>4.96</v>
          </cell>
          <cell r="V7">
            <v>0</v>
          </cell>
          <cell r="W7">
            <v>13.440000000000001</v>
          </cell>
          <cell r="X7">
            <v>14.53</v>
          </cell>
          <cell r="Y7">
            <v>0</v>
          </cell>
          <cell r="Z7">
            <v>0</v>
          </cell>
          <cell r="AA7">
            <v>14.53</v>
          </cell>
          <cell r="AB7">
            <v>7.23</v>
          </cell>
          <cell r="AC7">
            <v>10.7</v>
          </cell>
          <cell r="AD7">
            <v>14.57</v>
          </cell>
          <cell r="AE7">
            <v>32.5</v>
          </cell>
          <cell r="AF7">
            <v>26.78</v>
          </cell>
          <cell r="AG7">
            <v>22.72</v>
          </cell>
          <cell r="AH7">
            <v>0</v>
          </cell>
          <cell r="AI7">
            <v>49.5</v>
          </cell>
          <cell r="AJ7">
            <v>20.97</v>
          </cell>
          <cell r="AK7">
            <v>13.11</v>
          </cell>
          <cell r="AL7">
            <v>0</v>
          </cell>
          <cell r="AM7">
            <v>34.08</v>
          </cell>
          <cell r="AN7">
            <v>34.42</v>
          </cell>
          <cell r="AO7">
            <v>62.02</v>
          </cell>
          <cell r="AP7">
            <v>0</v>
          </cell>
          <cell r="AQ7">
            <v>96.44</v>
          </cell>
          <cell r="AR7">
            <v>79.52</v>
          </cell>
          <cell r="AS7">
            <v>0</v>
          </cell>
          <cell r="AT7">
            <v>0</v>
          </cell>
          <cell r="AU7">
            <v>79.52</v>
          </cell>
          <cell r="AV7">
            <v>69.789999999999992</v>
          </cell>
          <cell r="AW7">
            <v>37.229999999999997</v>
          </cell>
          <cell r="AX7">
            <v>0</v>
          </cell>
          <cell r="AY7">
            <v>107.01999999999998</v>
          </cell>
          <cell r="AZ7">
            <v>46.04</v>
          </cell>
          <cell r="BA7">
            <v>31.87</v>
          </cell>
          <cell r="BB7">
            <v>0</v>
          </cell>
          <cell r="BC7">
            <v>77.91</v>
          </cell>
          <cell r="BD7">
            <v>34.21</v>
          </cell>
          <cell r="BE7">
            <v>26.28</v>
          </cell>
          <cell r="BF7">
            <v>0</v>
          </cell>
          <cell r="BG7">
            <v>60.49</v>
          </cell>
        </row>
        <row r="8">
          <cell r="A8">
            <v>16</v>
          </cell>
          <cell r="B8">
            <v>53.2</v>
          </cell>
          <cell r="C8">
            <v>106</v>
          </cell>
          <cell r="D8">
            <v>53.38</v>
          </cell>
          <cell r="E8">
            <v>58.28</v>
          </cell>
          <cell r="F8">
            <v>0</v>
          </cell>
          <cell r="G8">
            <v>111.66</v>
          </cell>
          <cell r="I8">
            <v>60</v>
          </cell>
          <cell r="J8">
            <v>1.861</v>
          </cell>
          <cell r="L8">
            <v>24.88</v>
          </cell>
          <cell r="M8">
            <v>23.45</v>
          </cell>
          <cell r="N8">
            <v>0</v>
          </cell>
          <cell r="O8">
            <v>48.33</v>
          </cell>
          <cell r="P8">
            <v>20.88</v>
          </cell>
          <cell r="Q8">
            <v>13.31</v>
          </cell>
          <cell r="R8">
            <v>0</v>
          </cell>
          <cell r="S8">
            <v>34.19</v>
          </cell>
          <cell r="T8">
            <v>12.31</v>
          </cell>
          <cell r="U8">
            <v>11.32</v>
          </cell>
          <cell r="V8">
            <v>0</v>
          </cell>
          <cell r="W8">
            <v>23.630000000000003</v>
          </cell>
          <cell r="X8">
            <v>32.729999999999997</v>
          </cell>
          <cell r="Y8">
            <v>22.68</v>
          </cell>
          <cell r="Z8">
            <v>0</v>
          </cell>
          <cell r="AA8">
            <v>55.41</v>
          </cell>
          <cell r="AB8">
            <v>20.99</v>
          </cell>
          <cell r="AC8">
            <v>19.54</v>
          </cell>
          <cell r="AD8">
            <v>0</v>
          </cell>
          <cell r="AE8">
            <v>40.53</v>
          </cell>
          <cell r="AF8">
            <v>30.08</v>
          </cell>
          <cell r="AG8">
            <v>38.6</v>
          </cell>
          <cell r="AH8">
            <v>0</v>
          </cell>
          <cell r="AI8">
            <v>68.680000000000007</v>
          </cell>
          <cell r="AJ8">
            <v>34.64</v>
          </cell>
          <cell r="AK8">
            <v>33.57</v>
          </cell>
          <cell r="AL8">
            <v>0</v>
          </cell>
          <cell r="AM8">
            <v>68.210000000000008</v>
          </cell>
          <cell r="AN8">
            <v>40.1</v>
          </cell>
          <cell r="AO8">
            <v>75.62</v>
          </cell>
          <cell r="AP8">
            <v>0</v>
          </cell>
          <cell r="AQ8">
            <v>115.72</v>
          </cell>
          <cell r="AR8">
            <v>88.25</v>
          </cell>
          <cell r="AS8">
            <v>0</v>
          </cell>
          <cell r="AT8">
            <v>0</v>
          </cell>
          <cell r="AU8">
            <v>88.25</v>
          </cell>
          <cell r="AV8">
            <v>76.39</v>
          </cell>
          <cell r="AW8">
            <v>39.22</v>
          </cell>
          <cell r="AX8">
            <v>0</v>
          </cell>
          <cell r="AY8">
            <v>115.61</v>
          </cell>
          <cell r="AZ8">
            <v>51.38</v>
          </cell>
          <cell r="BA8">
            <v>39.630000000000003</v>
          </cell>
          <cell r="BB8">
            <v>0</v>
          </cell>
          <cell r="BC8">
            <v>91.01</v>
          </cell>
          <cell r="BD8">
            <v>28.6</v>
          </cell>
          <cell r="BE8">
            <v>27.35</v>
          </cell>
          <cell r="BF8">
            <v>31.71</v>
          </cell>
          <cell r="BG8">
            <v>87.66</v>
          </cell>
        </row>
        <row r="9">
          <cell r="A9">
            <v>17</v>
          </cell>
          <cell r="B9">
            <v>45.7</v>
          </cell>
          <cell r="C9">
            <v>101</v>
          </cell>
          <cell r="D9">
            <v>43.17</v>
          </cell>
          <cell r="E9">
            <v>0</v>
          </cell>
          <cell r="F9">
            <v>0</v>
          </cell>
          <cell r="G9">
            <v>43.17</v>
          </cell>
          <cell r="I9">
            <v>26</v>
          </cell>
          <cell r="J9">
            <v>1.6603846153846153</v>
          </cell>
          <cell r="L9">
            <v>25.52</v>
          </cell>
          <cell r="M9">
            <v>20.25</v>
          </cell>
          <cell r="N9">
            <v>0</v>
          </cell>
          <cell r="O9">
            <v>45.769999999999996</v>
          </cell>
          <cell r="P9">
            <v>16</v>
          </cell>
          <cell r="Q9">
            <v>10.55</v>
          </cell>
          <cell r="R9">
            <v>0</v>
          </cell>
          <cell r="S9">
            <v>26.55</v>
          </cell>
          <cell r="T9">
            <v>13.09</v>
          </cell>
          <cell r="U9">
            <v>8.3699999999999992</v>
          </cell>
          <cell r="V9">
            <v>0</v>
          </cell>
          <cell r="W9">
            <v>21.46</v>
          </cell>
          <cell r="X9">
            <v>22.98</v>
          </cell>
          <cell r="Y9">
            <v>34.08</v>
          </cell>
          <cell r="Z9">
            <v>0</v>
          </cell>
          <cell r="AA9">
            <v>57.06</v>
          </cell>
          <cell r="AB9">
            <v>29.02</v>
          </cell>
          <cell r="AC9">
            <v>28</v>
          </cell>
          <cell r="AD9">
            <v>0</v>
          </cell>
          <cell r="AE9">
            <v>57.019999999999996</v>
          </cell>
          <cell r="AF9">
            <v>27.28</v>
          </cell>
          <cell r="AG9">
            <v>32.26</v>
          </cell>
          <cell r="AH9">
            <v>0</v>
          </cell>
          <cell r="AI9">
            <v>59.54</v>
          </cell>
          <cell r="AJ9">
            <v>33.229999999999997</v>
          </cell>
          <cell r="AK9">
            <v>29.44</v>
          </cell>
          <cell r="AL9">
            <v>0</v>
          </cell>
          <cell r="AM9">
            <v>62.67</v>
          </cell>
          <cell r="AN9">
            <v>40.450000000000003</v>
          </cell>
          <cell r="AO9">
            <v>73.62</v>
          </cell>
          <cell r="AP9">
            <v>0</v>
          </cell>
          <cell r="AQ9">
            <v>114.07000000000001</v>
          </cell>
          <cell r="AR9">
            <v>78.14</v>
          </cell>
          <cell r="AS9">
            <v>0</v>
          </cell>
          <cell r="AT9">
            <v>0</v>
          </cell>
          <cell r="AU9">
            <v>78.14</v>
          </cell>
          <cell r="AV9">
            <v>74.97</v>
          </cell>
          <cell r="AW9">
            <v>45.7</v>
          </cell>
          <cell r="AX9">
            <v>0</v>
          </cell>
          <cell r="AY9">
            <v>120.67</v>
          </cell>
          <cell r="AZ9">
            <v>44.69</v>
          </cell>
          <cell r="BA9">
            <v>30.02</v>
          </cell>
          <cell r="BB9">
            <v>0</v>
          </cell>
          <cell r="BC9">
            <v>74.709999999999994</v>
          </cell>
          <cell r="BD9">
            <v>28.85</v>
          </cell>
          <cell r="BE9">
            <v>35.46</v>
          </cell>
          <cell r="BF9">
            <v>32.58</v>
          </cell>
          <cell r="BG9">
            <v>96.89</v>
          </cell>
        </row>
        <row r="10">
          <cell r="A10">
            <v>19</v>
          </cell>
          <cell r="B10">
            <v>50.62</v>
          </cell>
          <cell r="C10">
            <v>106</v>
          </cell>
          <cell r="D10">
            <v>56.22</v>
          </cell>
          <cell r="E10">
            <v>33.75</v>
          </cell>
          <cell r="F10">
            <v>0</v>
          </cell>
          <cell r="G10">
            <v>89.97</v>
          </cell>
          <cell r="I10">
            <v>52</v>
          </cell>
          <cell r="J10">
            <v>1.7301923076923076</v>
          </cell>
          <cell r="L10">
            <v>27.52</v>
          </cell>
          <cell r="M10">
            <v>20.74</v>
          </cell>
          <cell r="N10">
            <v>0</v>
          </cell>
          <cell r="O10">
            <v>48.26</v>
          </cell>
          <cell r="P10">
            <v>15.06</v>
          </cell>
          <cell r="Q10">
            <v>11</v>
          </cell>
          <cell r="R10">
            <v>0</v>
          </cell>
          <cell r="S10">
            <v>26.060000000000002</v>
          </cell>
          <cell r="T10">
            <v>11.64</v>
          </cell>
          <cell r="U10">
            <v>8.18</v>
          </cell>
          <cell r="V10">
            <v>7.52</v>
          </cell>
          <cell r="W10">
            <v>27.34</v>
          </cell>
          <cell r="X10">
            <v>37.159999999999997</v>
          </cell>
          <cell r="Y10">
            <v>0</v>
          </cell>
          <cell r="Z10">
            <v>0</v>
          </cell>
          <cell r="AA10">
            <v>37.159999999999997</v>
          </cell>
          <cell r="AB10">
            <v>19.32</v>
          </cell>
          <cell r="AC10">
            <v>19.190000000000001</v>
          </cell>
          <cell r="AD10">
            <v>20.010000000000002</v>
          </cell>
          <cell r="AE10">
            <v>58.52000000000001</v>
          </cell>
          <cell r="AF10">
            <v>4.3499999999999996</v>
          </cell>
          <cell r="AG10">
            <v>19.75</v>
          </cell>
          <cell r="AH10">
            <v>27.34</v>
          </cell>
          <cell r="AI10">
            <v>51.44</v>
          </cell>
          <cell r="AJ10">
            <v>25.51</v>
          </cell>
          <cell r="AK10">
            <v>14.72</v>
          </cell>
          <cell r="AL10">
            <v>0</v>
          </cell>
          <cell r="AM10">
            <v>40.230000000000004</v>
          </cell>
          <cell r="AN10">
            <v>68.5</v>
          </cell>
          <cell r="AO10">
            <v>0</v>
          </cell>
          <cell r="AP10">
            <v>0</v>
          </cell>
          <cell r="AQ10">
            <v>68.5</v>
          </cell>
          <cell r="AR10">
            <v>87.75</v>
          </cell>
          <cell r="AS10">
            <v>87.18</v>
          </cell>
          <cell r="AT10">
            <v>0</v>
          </cell>
          <cell r="AU10">
            <v>174.93</v>
          </cell>
          <cell r="AV10">
            <v>61.76</v>
          </cell>
          <cell r="AW10">
            <v>27.95</v>
          </cell>
          <cell r="AX10">
            <v>0</v>
          </cell>
          <cell r="AY10">
            <v>89.71</v>
          </cell>
          <cell r="AZ10">
            <v>50.74</v>
          </cell>
          <cell r="BA10">
            <v>23.71</v>
          </cell>
          <cell r="BB10">
            <v>0</v>
          </cell>
          <cell r="BC10">
            <v>74.45</v>
          </cell>
          <cell r="BD10">
            <v>40.1</v>
          </cell>
          <cell r="BE10">
            <v>9.11</v>
          </cell>
          <cell r="BF10">
            <v>0</v>
          </cell>
          <cell r="BG10">
            <v>49.21</v>
          </cell>
        </row>
        <row r="11">
          <cell r="A11">
            <v>20</v>
          </cell>
          <cell r="B11">
            <v>62.08</v>
          </cell>
          <cell r="C11">
            <v>130</v>
          </cell>
          <cell r="D11">
            <v>84.19</v>
          </cell>
          <cell r="E11">
            <v>52.47</v>
          </cell>
          <cell r="F11">
            <v>0</v>
          </cell>
          <cell r="G11">
            <v>136.66</v>
          </cell>
          <cell r="I11">
            <v>77</v>
          </cell>
          <cell r="J11">
            <v>1.7748051948051948</v>
          </cell>
          <cell r="L11">
            <v>29.16</v>
          </cell>
          <cell r="M11">
            <v>20.350000000000001</v>
          </cell>
          <cell r="N11">
            <v>0</v>
          </cell>
          <cell r="O11">
            <v>49.510000000000005</v>
          </cell>
          <cell r="P11">
            <v>14.02</v>
          </cell>
          <cell r="Q11">
            <v>10.06</v>
          </cell>
          <cell r="R11">
            <v>0</v>
          </cell>
          <cell r="S11">
            <v>24.08</v>
          </cell>
          <cell r="T11">
            <v>7.04</v>
          </cell>
          <cell r="U11">
            <v>3.67</v>
          </cell>
          <cell r="V11">
            <v>5.84</v>
          </cell>
          <cell r="W11">
            <v>16.55</v>
          </cell>
          <cell r="X11">
            <v>22.51</v>
          </cell>
          <cell r="Y11">
            <v>0</v>
          </cell>
          <cell r="Z11">
            <v>0</v>
          </cell>
          <cell r="AA11">
            <v>22.51</v>
          </cell>
          <cell r="AB11">
            <v>22.64</v>
          </cell>
          <cell r="AC11">
            <v>23.19</v>
          </cell>
          <cell r="AD11">
            <v>0</v>
          </cell>
          <cell r="AE11">
            <v>45.83</v>
          </cell>
          <cell r="AF11">
            <v>25.81</v>
          </cell>
          <cell r="AG11">
            <v>22.15</v>
          </cell>
          <cell r="AH11">
            <v>16.850000000000001</v>
          </cell>
          <cell r="AI11">
            <v>64.81</v>
          </cell>
          <cell r="AJ11">
            <v>13.96</v>
          </cell>
          <cell r="AK11">
            <v>33.44</v>
          </cell>
          <cell r="AL11">
            <v>21.88</v>
          </cell>
          <cell r="AM11">
            <v>69.28</v>
          </cell>
          <cell r="AN11">
            <v>70.23</v>
          </cell>
          <cell r="AO11">
            <v>0</v>
          </cell>
          <cell r="AP11">
            <v>0</v>
          </cell>
          <cell r="AQ11">
            <v>70.23</v>
          </cell>
          <cell r="AR11">
            <v>84.53</v>
          </cell>
          <cell r="AS11">
            <v>84.03</v>
          </cell>
          <cell r="AT11">
            <v>0</v>
          </cell>
          <cell r="AU11">
            <v>168.56</v>
          </cell>
          <cell r="AV11">
            <v>77.52000000000001</v>
          </cell>
          <cell r="AW11">
            <v>37.82</v>
          </cell>
          <cell r="AX11">
            <v>0</v>
          </cell>
          <cell r="AY11">
            <v>115.34</v>
          </cell>
          <cell r="AZ11">
            <v>60.64</v>
          </cell>
          <cell r="BA11">
            <v>23.65</v>
          </cell>
          <cell r="BB11">
            <v>0</v>
          </cell>
          <cell r="BC11">
            <v>84.289999999999992</v>
          </cell>
          <cell r="BD11">
            <v>47.96</v>
          </cell>
          <cell r="BE11">
            <v>21.04</v>
          </cell>
          <cell r="BF11">
            <v>0</v>
          </cell>
          <cell r="BG11">
            <v>69</v>
          </cell>
        </row>
        <row r="12">
          <cell r="A12">
            <v>21</v>
          </cell>
          <cell r="B12">
            <v>72.2</v>
          </cell>
          <cell r="C12">
            <v>166</v>
          </cell>
          <cell r="D12">
            <v>101.30000000000001</v>
          </cell>
          <cell r="E12">
            <v>20.9</v>
          </cell>
          <cell r="F12">
            <v>0</v>
          </cell>
          <cell r="G12">
            <v>122.20000000000002</v>
          </cell>
          <cell r="I12">
            <v>58</v>
          </cell>
          <cell r="J12">
            <v>2.1068965517241383</v>
          </cell>
          <cell r="L12">
            <v>47.8</v>
          </cell>
          <cell r="M12">
            <v>38.65</v>
          </cell>
          <cell r="N12">
            <v>0</v>
          </cell>
          <cell r="O12">
            <v>86.449999999999989</v>
          </cell>
          <cell r="P12">
            <v>30.27</v>
          </cell>
          <cell r="Q12">
            <v>20.51</v>
          </cell>
          <cell r="R12">
            <v>0</v>
          </cell>
          <cell r="S12">
            <v>50.78</v>
          </cell>
          <cell r="T12">
            <v>24.16</v>
          </cell>
          <cell r="U12">
            <v>21.92</v>
          </cell>
          <cell r="V12">
            <v>0</v>
          </cell>
          <cell r="W12">
            <v>46.08</v>
          </cell>
          <cell r="X12">
            <v>20.9</v>
          </cell>
          <cell r="Y12">
            <v>49.48</v>
          </cell>
          <cell r="Z12">
            <v>0</v>
          </cell>
          <cell r="AA12">
            <v>70.38</v>
          </cell>
          <cell r="AB12">
            <v>39.369999999999997</v>
          </cell>
          <cell r="AC12">
            <v>29.69</v>
          </cell>
          <cell r="AD12">
            <v>8.5399999999999991</v>
          </cell>
          <cell r="AE12">
            <v>77.599999999999994</v>
          </cell>
          <cell r="AF12">
            <v>53.6</v>
          </cell>
          <cell r="AG12">
            <v>51.84</v>
          </cell>
          <cell r="AH12">
            <v>0</v>
          </cell>
          <cell r="AI12">
            <v>105.44</v>
          </cell>
          <cell r="AJ12">
            <v>62.45</v>
          </cell>
          <cell r="AK12">
            <v>61.58</v>
          </cell>
          <cell r="AL12">
            <v>36.35</v>
          </cell>
          <cell r="AM12">
            <v>160.38</v>
          </cell>
          <cell r="AN12">
            <v>10</v>
          </cell>
          <cell r="AO12">
            <v>105.14</v>
          </cell>
          <cell r="AP12">
            <v>0</v>
          </cell>
          <cell r="AQ12">
            <v>115.14</v>
          </cell>
          <cell r="AR12">
            <v>122.07</v>
          </cell>
          <cell r="AS12">
            <v>20.48</v>
          </cell>
          <cell r="AT12">
            <v>0</v>
          </cell>
          <cell r="AU12">
            <v>142.54999999999998</v>
          </cell>
          <cell r="AV12">
            <v>108.95</v>
          </cell>
          <cell r="AW12">
            <v>82.15</v>
          </cell>
          <cell r="AX12">
            <v>8.81</v>
          </cell>
          <cell r="AY12">
            <v>199.91000000000003</v>
          </cell>
          <cell r="AZ12">
            <v>55.88</v>
          </cell>
          <cell r="BA12">
            <v>61.53</v>
          </cell>
          <cell r="BB12">
            <v>36.82</v>
          </cell>
          <cell r="BC12">
            <v>154.22999999999999</v>
          </cell>
          <cell r="BD12">
            <v>46.57</v>
          </cell>
          <cell r="BE12">
            <v>49.48</v>
          </cell>
          <cell r="BF12">
            <v>0</v>
          </cell>
          <cell r="BG12">
            <v>96.05</v>
          </cell>
        </row>
        <row r="13">
          <cell r="A13">
            <v>22</v>
          </cell>
          <cell r="B13">
            <v>52.3</v>
          </cell>
          <cell r="C13">
            <v>110</v>
          </cell>
          <cell r="D13">
            <v>64.45</v>
          </cell>
          <cell r="E13">
            <v>0</v>
          </cell>
          <cell r="F13">
            <v>0</v>
          </cell>
          <cell r="G13">
            <v>64.45</v>
          </cell>
          <cell r="I13">
            <v>31</v>
          </cell>
          <cell r="J13">
            <v>2.0790322580645162</v>
          </cell>
          <cell r="L13">
            <v>33.450000000000003</v>
          </cell>
          <cell r="M13">
            <v>25.22</v>
          </cell>
          <cell r="N13">
            <v>0</v>
          </cell>
          <cell r="O13">
            <v>58.67</v>
          </cell>
          <cell r="P13">
            <v>20.78</v>
          </cell>
          <cell r="Q13">
            <v>15.28</v>
          </cell>
          <cell r="R13">
            <v>0</v>
          </cell>
          <cell r="S13">
            <v>36.06</v>
          </cell>
          <cell r="T13">
            <v>16.43</v>
          </cell>
          <cell r="U13">
            <v>10.62</v>
          </cell>
          <cell r="V13">
            <v>0</v>
          </cell>
          <cell r="W13">
            <v>27.049999999999997</v>
          </cell>
          <cell r="X13">
            <v>16.18</v>
          </cell>
          <cell r="Y13">
            <v>27.63</v>
          </cell>
          <cell r="Z13">
            <v>0</v>
          </cell>
          <cell r="AA13">
            <v>43.81</v>
          </cell>
          <cell r="AB13">
            <v>16.559999999999999</v>
          </cell>
          <cell r="AC13">
            <v>22.03</v>
          </cell>
          <cell r="AD13">
            <v>0</v>
          </cell>
          <cell r="AE13">
            <v>38.590000000000003</v>
          </cell>
          <cell r="AF13">
            <v>28.5</v>
          </cell>
          <cell r="AG13">
            <v>30.42</v>
          </cell>
          <cell r="AH13">
            <v>0</v>
          </cell>
          <cell r="AI13">
            <v>58.92</v>
          </cell>
          <cell r="AJ13">
            <v>40.74</v>
          </cell>
          <cell r="AK13">
            <v>28.13</v>
          </cell>
          <cell r="AL13">
            <v>0</v>
          </cell>
          <cell r="AM13">
            <v>68.87</v>
          </cell>
          <cell r="AN13">
            <v>32.130000000000003</v>
          </cell>
          <cell r="AO13">
            <v>68.430000000000007</v>
          </cell>
          <cell r="AP13">
            <v>0</v>
          </cell>
          <cell r="AQ13">
            <v>100.56</v>
          </cell>
          <cell r="AR13">
            <v>75.260000000000005</v>
          </cell>
          <cell r="AS13">
            <v>0</v>
          </cell>
          <cell r="AT13">
            <v>0</v>
          </cell>
          <cell r="AU13">
            <v>75.260000000000005</v>
          </cell>
          <cell r="AV13">
            <v>83.04</v>
          </cell>
          <cell r="AW13">
            <v>50.38</v>
          </cell>
          <cell r="AX13">
            <v>0</v>
          </cell>
          <cell r="AY13">
            <v>133.42000000000002</v>
          </cell>
          <cell r="AZ13">
            <v>40.15</v>
          </cell>
          <cell r="BA13">
            <v>35.04</v>
          </cell>
          <cell r="BB13">
            <v>18.22</v>
          </cell>
          <cell r="BC13">
            <v>93.41</v>
          </cell>
          <cell r="BD13">
            <v>7.25</v>
          </cell>
          <cell r="BE13">
            <v>29.27</v>
          </cell>
          <cell r="BF13">
            <v>31.16</v>
          </cell>
          <cell r="BG13">
            <v>67.679999999999993</v>
          </cell>
        </row>
        <row r="14">
          <cell r="B14">
            <v>385.4</v>
          </cell>
          <cell r="C14">
            <v>818</v>
          </cell>
          <cell r="D14">
            <v>473.61</v>
          </cell>
          <cell r="E14">
            <v>218.56</v>
          </cell>
          <cell r="F14">
            <v>0</v>
          </cell>
          <cell r="G14">
            <v>692.17000000000007</v>
          </cell>
          <cell r="I14">
            <v>364</v>
          </cell>
          <cell r="L14">
            <v>210.39999999999998</v>
          </cell>
          <cell r="M14">
            <v>163.97</v>
          </cell>
          <cell r="N14">
            <v>0</v>
          </cell>
          <cell r="O14">
            <v>374.37</v>
          </cell>
          <cell r="P14">
            <v>126.63</v>
          </cell>
          <cell r="Q14">
            <v>88.04</v>
          </cell>
          <cell r="R14">
            <v>0</v>
          </cell>
          <cell r="S14">
            <v>214.67000000000002</v>
          </cell>
          <cell r="T14">
            <v>93.15</v>
          </cell>
          <cell r="U14">
            <v>69.040000000000006</v>
          </cell>
          <cell r="V14">
            <v>13.36</v>
          </cell>
          <cell r="W14">
            <v>175.55</v>
          </cell>
          <cell r="X14">
            <v>166.99</v>
          </cell>
          <cell r="Y14">
            <v>133.87</v>
          </cell>
          <cell r="Z14">
            <v>0</v>
          </cell>
          <cell r="AA14">
            <v>300.85999999999996</v>
          </cell>
          <cell r="AB14">
            <v>155.13</v>
          </cell>
          <cell r="AC14">
            <v>152.34</v>
          </cell>
          <cell r="AD14">
            <v>43.12</v>
          </cell>
          <cell r="AE14">
            <v>350.59000000000003</v>
          </cell>
          <cell r="AF14">
            <v>196.4</v>
          </cell>
          <cell r="AG14">
            <v>217.74</v>
          </cell>
          <cell r="AH14">
            <v>44.19</v>
          </cell>
          <cell r="AI14">
            <v>458.33000000000004</v>
          </cell>
          <cell r="AJ14">
            <v>231.5</v>
          </cell>
          <cell r="AK14">
            <v>213.99</v>
          </cell>
          <cell r="AL14">
            <v>58.230000000000004</v>
          </cell>
          <cell r="AM14">
            <v>503.72</v>
          </cell>
          <cell r="AN14">
            <v>295.83000000000004</v>
          </cell>
          <cell r="AO14">
            <v>384.83000000000004</v>
          </cell>
          <cell r="AP14">
            <v>0</v>
          </cell>
          <cell r="AQ14">
            <v>680.66000000000008</v>
          </cell>
          <cell r="AR14">
            <v>615.52</v>
          </cell>
          <cell r="AS14">
            <v>191.69</v>
          </cell>
          <cell r="AT14">
            <v>0</v>
          </cell>
          <cell r="AU14">
            <v>807.20999999999992</v>
          </cell>
          <cell r="AV14">
            <v>552.42000000000007</v>
          </cell>
          <cell r="AW14">
            <v>320.45</v>
          </cell>
          <cell r="AX14">
            <v>8.81</v>
          </cell>
          <cell r="AY14">
            <v>881.68000000000006</v>
          </cell>
          <cell r="AZ14">
            <v>349.52</v>
          </cell>
          <cell r="BA14">
            <v>245.45</v>
          </cell>
          <cell r="BB14">
            <v>55.04</v>
          </cell>
          <cell r="BC14">
            <v>650.01</v>
          </cell>
          <cell r="BD14">
            <v>233.54</v>
          </cell>
          <cell r="BE14">
            <v>197.99</v>
          </cell>
          <cell r="BF14">
            <v>95.449999999999989</v>
          </cell>
          <cell r="BG14">
            <v>526.98</v>
          </cell>
        </row>
      </sheetData>
      <sheetData sheetId="6">
        <row r="7">
          <cell r="A7">
            <v>2</v>
          </cell>
          <cell r="B7">
            <v>60.4</v>
          </cell>
          <cell r="C7">
            <v>121</v>
          </cell>
          <cell r="D7">
            <v>57.309999999999995</v>
          </cell>
          <cell r="E7">
            <v>0</v>
          </cell>
          <cell r="F7">
            <v>0</v>
          </cell>
          <cell r="G7">
            <v>57.309999999999995</v>
          </cell>
          <cell r="I7">
            <v>71</v>
          </cell>
          <cell r="J7">
            <v>0.80718309859154924</v>
          </cell>
          <cell r="L7">
            <v>38.19</v>
          </cell>
          <cell r="M7">
            <v>34.75</v>
          </cell>
          <cell r="N7">
            <v>0</v>
          </cell>
          <cell r="O7">
            <v>72.94</v>
          </cell>
          <cell r="P7">
            <v>25.49</v>
          </cell>
          <cell r="Q7">
            <v>10.77</v>
          </cell>
          <cell r="R7">
            <v>0</v>
          </cell>
          <cell r="S7">
            <v>36.26</v>
          </cell>
          <cell r="T7">
            <v>8.17</v>
          </cell>
          <cell r="U7">
            <v>17.47</v>
          </cell>
          <cell r="V7">
            <v>13.67</v>
          </cell>
          <cell r="W7">
            <v>39.31</v>
          </cell>
          <cell r="X7">
            <v>31.68</v>
          </cell>
          <cell r="Y7">
            <v>24.06</v>
          </cell>
          <cell r="Z7">
            <v>0</v>
          </cell>
          <cell r="AA7">
            <v>55.739999999999995</v>
          </cell>
          <cell r="AB7">
            <v>42.84</v>
          </cell>
          <cell r="AC7">
            <v>22.4</v>
          </cell>
          <cell r="AD7">
            <v>10.51</v>
          </cell>
          <cell r="AE7">
            <v>75.750000000000014</v>
          </cell>
          <cell r="AF7">
            <v>31.64</v>
          </cell>
          <cell r="AG7">
            <v>32.270000000000003</v>
          </cell>
          <cell r="AH7">
            <v>0</v>
          </cell>
          <cell r="AI7">
            <v>63.910000000000004</v>
          </cell>
          <cell r="AJ7">
            <v>30.86</v>
          </cell>
          <cell r="AK7">
            <v>20.6</v>
          </cell>
          <cell r="AL7">
            <v>0</v>
          </cell>
          <cell r="AM7">
            <v>51.46</v>
          </cell>
          <cell r="AN7">
            <v>40.74</v>
          </cell>
          <cell r="AO7">
            <v>66.56</v>
          </cell>
          <cell r="AP7">
            <v>0</v>
          </cell>
          <cell r="AQ7">
            <v>107.30000000000001</v>
          </cell>
          <cell r="AR7">
            <v>75.03</v>
          </cell>
          <cell r="AS7">
            <v>0</v>
          </cell>
          <cell r="AT7">
            <v>0</v>
          </cell>
          <cell r="AU7">
            <v>75.03</v>
          </cell>
          <cell r="AV7">
            <v>55.01</v>
          </cell>
          <cell r="AW7">
            <v>29.3</v>
          </cell>
          <cell r="AX7">
            <v>0</v>
          </cell>
          <cell r="AY7">
            <v>84.31</v>
          </cell>
          <cell r="AZ7">
            <v>59.374000000000002</v>
          </cell>
          <cell r="BA7">
            <v>36.340000000000003</v>
          </cell>
          <cell r="BB7">
            <v>0</v>
          </cell>
          <cell r="BC7">
            <v>95.713999999999999</v>
          </cell>
          <cell r="BD7">
            <v>62.25</v>
          </cell>
          <cell r="BE7">
            <v>8.74</v>
          </cell>
          <cell r="BF7">
            <v>0</v>
          </cell>
          <cell r="BG7">
            <v>70.989999999999995</v>
          </cell>
        </row>
        <row r="8">
          <cell r="A8">
            <v>11</v>
          </cell>
          <cell r="B8">
            <v>44.5</v>
          </cell>
          <cell r="C8">
            <v>85</v>
          </cell>
          <cell r="D8">
            <v>32.42</v>
          </cell>
          <cell r="E8">
            <v>0</v>
          </cell>
          <cell r="F8">
            <v>0</v>
          </cell>
          <cell r="G8">
            <v>32.42</v>
          </cell>
          <cell r="I8">
            <v>36</v>
          </cell>
          <cell r="J8">
            <v>0.90055555555555555</v>
          </cell>
          <cell r="L8">
            <v>26.05</v>
          </cell>
          <cell r="M8">
            <v>3.74</v>
          </cell>
          <cell r="N8">
            <v>0</v>
          </cell>
          <cell r="O8">
            <v>29.79</v>
          </cell>
          <cell r="P8">
            <v>17.71</v>
          </cell>
          <cell r="Q8">
            <v>13.73</v>
          </cell>
          <cell r="R8">
            <v>0</v>
          </cell>
          <cell r="S8">
            <v>31.44</v>
          </cell>
          <cell r="T8">
            <v>11.6</v>
          </cell>
          <cell r="U8">
            <v>7.36</v>
          </cell>
          <cell r="V8">
            <v>11.3</v>
          </cell>
          <cell r="W8">
            <v>30.26</v>
          </cell>
          <cell r="X8">
            <v>37.340000000000003</v>
          </cell>
          <cell r="Y8">
            <v>0</v>
          </cell>
          <cell r="Z8">
            <v>0</v>
          </cell>
          <cell r="AA8">
            <v>37.340000000000003</v>
          </cell>
          <cell r="AB8">
            <v>15.38</v>
          </cell>
          <cell r="AC8">
            <v>17.77</v>
          </cell>
          <cell r="AD8">
            <v>20.63</v>
          </cell>
          <cell r="AE8">
            <v>53.78</v>
          </cell>
          <cell r="AF8">
            <v>13.56</v>
          </cell>
          <cell r="AG8">
            <v>17.32</v>
          </cell>
          <cell r="AH8">
            <v>0</v>
          </cell>
          <cell r="AI8">
            <v>30.880000000000003</v>
          </cell>
          <cell r="AJ8">
            <v>17.920000000000002</v>
          </cell>
          <cell r="AK8">
            <v>6.9</v>
          </cell>
          <cell r="AL8">
            <v>0</v>
          </cell>
          <cell r="AM8">
            <v>24.82</v>
          </cell>
          <cell r="AN8">
            <v>43.08</v>
          </cell>
          <cell r="AO8">
            <v>0</v>
          </cell>
          <cell r="AP8">
            <v>0</v>
          </cell>
          <cell r="AQ8">
            <v>43.08</v>
          </cell>
          <cell r="AR8">
            <v>48.81</v>
          </cell>
          <cell r="AS8">
            <v>49.45</v>
          </cell>
          <cell r="AT8">
            <v>0</v>
          </cell>
          <cell r="AU8">
            <v>98.26</v>
          </cell>
          <cell r="AV8">
            <v>45.33</v>
          </cell>
          <cell r="AW8">
            <v>0</v>
          </cell>
          <cell r="AX8">
            <v>0</v>
          </cell>
          <cell r="AY8">
            <v>45.33</v>
          </cell>
          <cell r="AZ8">
            <v>37.549999999999997</v>
          </cell>
          <cell r="BA8">
            <v>24.684000000000001</v>
          </cell>
          <cell r="BB8">
            <v>0</v>
          </cell>
          <cell r="BC8">
            <v>62.233999999999995</v>
          </cell>
          <cell r="BD8">
            <v>29.38</v>
          </cell>
          <cell r="BE8">
            <v>22.62</v>
          </cell>
          <cell r="BF8">
            <v>0</v>
          </cell>
          <cell r="BG8">
            <v>52</v>
          </cell>
        </row>
        <row r="9">
          <cell r="A9">
            <v>29</v>
          </cell>
          <cell r="B9">
            <v>11.38</v>
          </cell>
          <cell r="C9">
            <v>7</v>
          </cell>
          <cell r="D9">
            <v>4.74</v>
          </cell>
          <cell r="E9">
            <v>10.379999999999999</v>
          </cell>
          <cell r="F9">
            <v>0</v>
          </cell>
          <cell r="G9">
            <v>15.12</v>
          </cell>
          <cell r="I9">
            <v>21</v>
          </cell>
          <cell r="J9">
            <v>0.72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1.99</v>
          </cell>
          <cell r="AG9">
            <v>0.54</v>
          </cell>
          <cell r="AH9">
            <v>0</v>
          </cell>
          <cell r="AI9">
            <v>2.5300000000000002</v>
          </cell>
          <cell r="AJ9">
            <v>0.52</v>
          </cell>
          <cell r="AK9">
            <v>1.32</v>
          </cell>
          <cell r="AL9">
            <v>0</v>
          </cell>
          <cell r="AM9">
            <v>1.84</v>
          </cell>
          <cell r="AN9">
            <v>0.94</v>
          </cell>
          <cell r="AO9">
            <v>1.57</v>
          </cell>
          <cell r="AP9">
            <v>0</v>
          </cell>
          <cell r="AQ9">
            <v>2.5099999999999998</v>
          </cell>
          <cell r="AR9">
            <v>0.9</v>
          </cell>
          <cell r="AS9">
            <v>0</v>
          </cell>
          <cell r="AT9">
            <v>0</v>
          </cell>
          <cell r="AU9">
            <v>0.9</v>
          </cell>
          <cell r="AV9">
            <v>0.83</v>
          </cell>
          <cell r="AW9">
            <v>1</v>
          </cell>
          <cell r="AX9">
            <v>0</v>
          </cell>
          <cell r="AY9">
            <v>1.83</v>
          </cell>
          <cell r="AZ9">
            <v>1.04</v>
          </cell>
          <cell r="BA9">
            <v>3.27</v>
          </cell>
          <cell r="BB9">
            <v>0</v>
          </cell>
          <cell r="BC9">
            <v>4.3100000000000005</v>
          </cell>
          <cell r="BD9">
            <v>1.3</v>
          </cell>
          <cell r="BE9">
            <v>1.4</v>
          </cell>
          <cell r="BF9">
            <v>0</v>
          </cell>
          <cell r="BG9">
            <v>2.7</v>
          </cell>
        </row>
      </sheetData>
      <sheetData sheetId="7">
        <row r="7">
          <cell r="A7">
            <v>4</v>
          </cell>
          <cell r="B7">
            <v>70.599999999999994</v>
          </cell>
          <cell r="C7">
            <v>141</v>
          </cell>
          <cell r="D7">
            <v>65.040000000000006</v>
          </cell>
          <cell r="E7">
            <v>0</v>
          </cell>
          <cell r="F7">
            <v>0</v>
          </cell>
          <cell r="G7">
            <v>65.040000000000006</v>
          </cell>
          <cell r="I7">
            <v>46</v>
          </cell>
          <cell r="J7">
            <v>1.413913043478261</v>
          </cell>
          <cell r="L7">
            <v>72.989999999999995</v>
          </cell>
          <cell r="M7">
            <v>3.85</v>
          </cell>
          <cell r="N7">
            <v>0</v>
          </cell>
          <cell r="O7">
            <v>76.839999999999989</v>
          </cell>
          <cell r="P7">
            <v>29.59</v>
          </cell>
          <cell r="Q7">
            <v>20.75</v>
          </cell>
          <cell r="R7">
            <v>5.37</v>
          </cell>
          <cell r="S7">
            <v>55.71</v>
          </cell>
          <cell r="T7">
            <v>16.07</v>
          </cell>
          <cell r="U7">
            <v>4.2300000000000004</v>
          </cell>
          <cell r="V7">
            <v>0</v>
          </cell>
          <cell r="W7">
            <v>20.3</v>
          </cell>
          <cell r="X7">
            <v>27.87</v>
          </cell>
          <cell r="Y7">
            <v>27.01</v>
          </cell>
          <cell r="Z7">
            <v>0</v>
          </cell>
          <cell r="AA7">
            <v>54.88</v>
          </cell>
          <cell r="AB7">
            <v>58.79</v>
          </cell>
          <cell r="AC7">
            <v>18.04</v>
          </cell>
          <cell r="AD7">
            <v>0</v>
          </cell>
          <cell r="AE7">
            <v>76.83</v>
          </cell>
          <cell r="AF7">
            <v>33.64</v>
          </cell>
          <cell r="AG7">
            <v>31.44</v>
          </cell>
          <cell r="AH7">
            <v>0</v>
          </cell>
          <cell r="AI7">
            <v>65.08</v>
          </cell>
          <cell r="AJ7">
            <v>71.55</v>
          </cell>
          <cell r="AK7">
            <v>31.87</v>
          </cell>
          <cell r="AL7">
            <v>0</v>
          </cell>
          <cell r="AM7">
            <v>103.42</v>
          </cell>
          <cell r="AN7">
            <v>21.19</v>
          </cell>
          <cell r="AO7">
            <v>73.38</v>
          </cell>
          <cell r="AP7">
            <v>0</v>
          </cell>
          <cell r="AQ7">
            <v>94.57</v>
          </cell>
          <cell r="AR7">
            <v>104.9</v>
          </cell>
          <cell r="AS7">
            <v>22.65</v>
          </cell>
          <cell r="AT7">
            <v>0</v>
          </cell>
          <cell r="AU7">
            <v>127.55000000000001</v>
          </cell>
          <cell r="AV7">
            <v>66.59</v>
          </cell>
          <cell r="AW7">
            <v>77.31</v>
          </cell>
          <cell r="AX7">
            <v>0</v>
          </cell>
          <cell r="AY7">
            <v>143.9</v>
          </cell>
          <cell r="AZ7">
            <v>66.516000000000005</v>
          </cell>
          <cell r="BA7">
            <v>71.307000000000002</v>
          </cell>
          <cell r="BB7">
            <v>0</v>
          </cell>
          <cell r="BC7">
            <v>137.82300000000001</v>
          </cell>
          <cell r="BD7">
            <v>70.53</v>
          </cell>
          <cell r="BE7">
            <v>0</v>
          </cell>
          <cell r="BF7">
            <v>0</v>
          </cell>
          <cell r="BG7">
            <v>70.53</v>
          </cell>
        </row>
        <row r="8">
          <cell r="A8">
            <v>5</v>
          </cell>
          <cell r="B8">
            <v>50.4</v>
          </cell>
          <cell r="C8">
            <v>101</v>
          </cell>
          <cell r="D8">
            <v>47.44</v>
          </cell>
          <cell r="E8">
            <v>32.090000000000003</v>
          </cell>
          <cell r="F8">
            <v>0</v>
          </cell>
          <cell r="G8">
            <v>79.53</v>
          </cell>
          <cell r="I8">
            <v>62</v>
          </cell>
          <cell r="J8">
            <v>1.2827419354838709</v>
          </cell>
          <cell r="L8">
            <v>45.32</v>
          </cell>
          <cell r="M8">
            <v>0</v>
          </cell>
          <cell r="N8">
            <v>0</v>
          </cell>
          <cell r="O8">
            <v>45.32</v>
          </cell>
          <cell r="P8">
            <v>13.96</v>
          </cell>
          <cell r="Q8">
            <v>12.2</v>
          </cell>
          <cell r="R8">
            <v>0</v>
          </cell>
          <cell r="S8">
            <v>26.16</v>
          </cell>
          <cell r="T8">
            <v>18.850000000000001</v>
          </cell>
          <cell r="U8">
            <v>3.69</v>
          </cell>
          <cell r="V8">
            <v>2.31</v>
          </cell>
          <cell r="W8">
            <v>24.85</v>
          </cell>
          <cell r="X8">
            <v>20.49</v>
          </cell>
          <cell r="Y8">
            <v>24.39</v>
          </cell>
          <cell r="Z8">
            <v>0</v>
          </cell>
          <cell r="AA8">
            <v>44.879999999999995</v>
          </cell>
          <cell r="AB8">
            <v>41.45</v>
          </cell>
          <cell r="AC8">
            <v>24.85</v>
          </cell>
          <cell r="AD8">
            <v>0</v>
          </cell>
          <cell r="AE8">
            <v>66.300000000000011</v>
          </cell>
          <cell r="AF8">
            <v>12.08</v>
          </cell>
          <cell r="AG8">
            <v>24.44</v>
          </cell>
          <cell r="AH8">
            <v>0</v>
          </cell>
          <cell r="AI8">
            <v>36.520000000000003</v>
          </cell>
          <cell r="AJ8">
            <v>40.9</v>
          </cell>
          <cell r="AK8">
            <v>43.42</v>
          </cell>
          <cell r="AL8">
            <v>0</v>
          </cell>
          <cell r="AM8">
            <v>84.32</v>
          </cell>
          <cell r="AN8">
            <v>49.93</v>
          </cell>
          <cell r="AO8">
            <v>13.46</v>
          </cell>
          <cell r="AP8">
            <v>0</v>
          </cell>
          <cell r="AQ8">
            <v>63.39</v>
          </cell>
          <cell r="AR8">
            <v>72.42</v>
          </cell>
          <cell r="AS8">
            <v>41.96</v>
          </cell>
          <cell r="AT8">
            <v>0</v>
          </cell>
          <cell r="AU8">
            <v>114.38</v>
          </cell>
          <cell r="AV8">
            <v>105.11999999999999</v>
          </cell>
          <cell r="AW8">
            <v>0</v>
          </cell>
          <cell r="AX8">
            <v>0</v>
          </cell>
          <cell r="AY8">
            <v>105.11999999999999</v>
          </cell>
          <cell r="AZ8">
            <v>40.94</v>
          </cell>
          <cell r="BA8">
            <v>53.29</v>
          </cell>
          <cell r="BB8">
            <v>0</v>
          </cell>
          <cell r="BC8">
            <v>94.22999999999999</v>
          </cell>
          <cell r="BD8">
            <v>37.130000000000003</v>
          </cell>
          <cell r="BE8">
            <v>39.159999999999997</v>
          </cell>
          <cell r="BF8">
            <v>0</v>
          </cell>
          <cell r="BG8">
            <v>76.289999999999992</v>
          </cell>
        </row>
        <row r="9">
          <cell r="A9">
            <v>6</v>
          </cell>
          <cell r="B9">
            <v>58.6</v>
          </cell>
          <cell r="C9">
            <v>117</v>
          </cell>
          <cell r="D9">
            <v>60.33</v>
          </cell>
          <cell r="E9">
            <v>64.91</v>
          </cell>
          <cell r="F9">
            <v>0</v>
          </cell>
          <cell r="G9">
            <v>125.24</v>
          </cell>
          <cell r="I9">
            <v>86</v>
          </cell>
          <cell r="J9">
            <v>1.4562790697674417</v>
          </cell>
          <cell r="L9">
            <v>54.29</v>
          </cell>
          <cell r="M9">
            <v>33.729999999999997</v>
          </cell>
          <cell r="N9">
            <v>0</v>
          </cell>
          <cell r="O9">
            <v>88.02</v>
          </cell>
          <cell r="P9">
            <v>27.04</v>
          </cell>
          <cell r="Q9">
            <v>12.78</v>
          </cell>
          <cell r="R9">
            <v>0</v>
          </cell>
          <cell r="S9">
            <v>39.82</v>
          </cell>
          <cell r="T9">
            <v>19.96</v>
          </cell>
          <cell r="U9">
            <v>7.43</v>
          </cell>
          <cell r="V9">
            <v>0</v>
          </cell>
          <cell r="W9">
            <v>27.39</v>
          </cell>
          <cell r="X9">
            <v>18.14</v>
          </cell>
          <cell r="Y9">
            <v>21.49</v>
          </cell>
          <cell r="Z9">
            <v>0</v>
          </cell>
          <cell r="AA9">
            <v>39.629999999999995</v>
          </cell>
          <cell r="AB9">
            <v>39.369999999999997</v>
          </cell>
          <cell r="AC9">
            <v>29.56</v>
          </cell>
          <cell r="AD9">
            <v>0</v>
          </cell>
          <cell r="AE9">
            <v>68.929999999999993</v>
          </cell>
          <cell r="AF9">
            <v>20.09</v>
          </cell>
          <cell r="AG9">
            <v>19.05</v>
          </cell>
          <cell r="AH9">
            <v>0</v>
          </cell>
          <cell r="AI9">
            <v>39.14</v>
          </cell>
          <cell r="AJ9">
            <v>67.45</v>
          </cell>
          <cell r="AK9">
            <v>60.39</v>
          </cell>
          <cell r="AL9">
            <v>0</v>
          </cell>
          <cell r="AM9">
            <v>127.84</v>
          </cell>
          <cell r="AN9">
            <v>64.3</v>
          </cell>
          <cell r="AO9">
            <v>96.37</v>
          </cell>
          <cell r="AP9">
            <v>0</v>
          </cell>
          <cell r="AQ9">
            <v>160.67000000000002</v>
          </cell>
          <cell r="AR9">
            <v>99.91</v>
          </cell>
          <cell r="AS9">
            <v>0</v>
          </cell>
          <cell r="AT9">
            <v>0</v>
          </cell>
          <cell r="AU9">
            <v>99.91</v>
          </cell>
          <cell r="AV9">
            <v>87.66</v>
          </cell>
          <cell r="AW9">
            <v>26.25</v>
          </cell>
          <cell r="AX9">
            <v>0</v>
          </cell>
          <cell r="AY9">
            <v>113.91</v>
          </cell>
          <cell r="AZ9">
            <v>31.71</v>
          </cell>
          <cell r="BA9">
            <v>69.78</v>
          </cell>
          <cell r="BB9">
            <v>0</v>
          </cell>
          <cell r="BC9">
            <v>101.49000000000001</v>
          </cell>
          <cell r="BD9">
            <v>44.18</v>
          </cell>
          <cell r="BE9">
            <v>63.39</v>
          </cell>
          <cell r="BF9">
            <v>0</v>
          </cell>
          <cell r="BG9">
            <v>107.57</v>
          </cell>
        </row>
        <row r="10">
          <cell r="A10">
            <v>7</v>
          </cell>
          <cell r="B10">
            <v>23.6</v>
          </cell>
          <cell r="C10">
            <v>40</v>
          </cell>
          <cell r="D10">
            <v>19.149999999999999</v>
          </cell>
          <cell r="E10">
            <v>0</v>
          </cell>
          <cell r="F10">
            <v>0</v>
          </cell>
          <cell r="G10">
            <v>19.149999999999999</v>
          </cell>
          <cell r="I10">
            <v>17</v>
          </cell>
          <cell r="J10">
            <v>1.1264705882352941</v>
          </cell>
          <cell r="L10">
            <v>17.940000000000001</v>
          </cell>
          <cell r="M10">
            <v>7.89</v>
          </cell>
          <cell r="N10">
            <v>0</v>
          </cell>
          <cell r="O10">
            <v>25.830000000000002</v>
          </cell>
          <cell r="P10">
            <v>6.73</v>
          </cell>
          <cell r="Q10">
            <v>5.17</v>
          </cell>
          <cell r="R10">
            <v>0</v>
          </cell>
          <cell r="S10">
            <v>11.9</v>
          </cell>
          <cell r="T10">
            <v>11.03</v>
          </cell>
          <cell r="U10">
            <v>2.67</v>
          </cell>
          <cell r="V10">
            <v>0</v>
          </cell>
          <cell r="W10">
            <v>13.7</v>
          </cell>
          <cell r="X10">
            <v>12.03</v>
          </cell>
          <cell r="Y10">
            <v>12.37</v>
          </cell>
          <cell r="Z10">
            <v>0</v>
          </cell>
          <cell r="AA10">
            <v>24.4</v>
          </cell>
          <cell r="AB10">
            <v>12.62</v>
          </cell>
          <cell r="AC10">
            <v>5.03</v>
          </cell>
          <cell r="AD10">
            <v>0</v>
          </cell>
          <cell r="AE10">
            <v>17.649999999999999</v>
          </cell>
          <cell r="AF10">
            <v>12.33</v>
          </cell>
          <cell r="AG10">
            <v>7.17</v>
          </cell>
          <cell r="AH10">
            <v>0</v>
          </cell>
          <cell r="AI10">
            <v>19.5</v>
          </cell>
          <cell r="AJ10">
            <v>16.73</v>
          </cell>
          <cell r="AK10">
            <v>12.52</v>
          </cell>
          <cell r="AL10">
            <v>0</v>
          </cell>
          <cell r="AM10">
            <v>29.25</v>
          </cell>
          <cell r="AN10">
            <v>29.03</v>
          </cell>
          <cell r="AO10">
            <v>0</v>
          </cell>
          <cell r="AP10">
            <v>0</v>
          </cell>
          <cell r="AQ10">
            <v>29.03</v>
          </cell>
          <cell r="AR10">
            <v>30.42</v>
          </cell>
          <cell r="AS10">
            <v>30.56</v>
          </cell>
          <cell r="AT10">
            <v>0</v>
          </cell>
          <cell r="AU10">
            <v>60.980000000000004</v>
          </cell>
          <cell r="AV10">
            <v>33.08</v>
          </cell>
          <cell r="AW10">
            <v>0</v>
          </cell>
          <cell r="AX10">
            <v>0</v>
          </cell>
          <cell r="AY10">
            <v>33.08</v>
          </cell>
          <cell r="AZ10">
            <v>16.594000000000001</v>
          </cell>
          <cell r="BA10">
            <v>24.7</v>
          </cell>
          <cell r="BB10">
            <v>0</v>
          </cell>
          <cell r="BC10">
            <v>41.293999999999997</v>
          </cell>
          <cell r="BD10">
            <v>25.65</v>
          </cell>
          <cell r="BE10">
            <v>19.72</v>
          </cell>
          <cell r="BF10">
            <v>0</v>
          </cell>
          <cell r="BG10">
            <v>45.37</v>
          </cell>
        </row>
        <row r="11">
          <cell r="A11">
            <v>23</v>
          </cell>
          <cell r="B11">
            <v>14.6</v>
          </cell>
          <cell r="C11">
            <v>31</v>
          </cell>
          <cell r="D11">
            <v>25.259999999999998</v>
          </cell>
          <cell r="E11">
            <v>0</v>
          </cell>
          <cell r="F11">
            <v>0</v>
          </cell>
          <cell r="G11">
            <v>25.259999999999998</v>
          </cell>
          <cell r="I11">
            <v>11</v>
          </cell>
          <cell r="J11">
            <v>2.2963636363636364</v>
          </cell>
          <cell r="L11">
            <v>13.68</v>
          </cell>
          <cell r="M11">
            <v>7.15</v>
          </cell>
          <cell r="N11">
            <v>0</v>
          </cell>
          <cell r="O11">
            <v>20.83</v>
          </cell>
          <cell r="P11">
            <v>7.71</v>
          </cell>
          <cell r="Q11">
            <v>7.31</v>
          </cell>
          <cell r="R11">
            <v>0</v>
          </cell>
          <cell r="S11">
            <v>15.02</v>
          </cell>
          <cell r="T11">
            <v>3.82</v>
          </cell>
          <cell r="U11">
            <v>3.35</v>
          </cell>
          <cell r="V11">
            <v>0</v>
          </cell>
          <cell r="W11">
            <v>7.17</v>
          </cell>
          <cell r="X11">
            <v>5.05</v>
          </cell>
          <cell r="Y11">
            <v>7.32</v>
          </cell>
          <cell r="Z11">
            <v>0</v>
          </cell>
          <cell r="AA11">
            <v>12.370000000000001</v>
          </cell>
          <cell r="AB11">
            <v>13.94</v>
          </cell>
          <cell r="AC11">
            <v>10.199999999999999</v>
          </cell>
          <cell r="AD11">
            <v>0</v>
          </cell>
          <cell r="AE11">
            <v>24.14</v>
          </cell>
          <cell r="AF11">
            <v>7.96</v>
          </cell>
          <cell r="AG11">
            <v>7.36</v>
          </cell>
          <cell r="AH11">
            <v>0</v>
          </cell>
          <cell r="AI11">
            <v>15.32</v>
          </cell>
          <cell r="AJ11">
            <v>12.46</v>
          </cell>
          <cell r="AK11">
            <v>16.66</v>
          </cell>
          <cell r="AL11">
            <v>0</v>
          </cell>
          <cell r="AM11">
            <v>29.12</v>
          </cell>
          <cell r="AN11">
            <v>12.77</v>
          </cell>
          <cell r="AO11">
            <v>27.27</v>
          </cell>
          <cell r="AP11">
            <v>0</v>
          </cell>
          <cell r="AQ11">
            <v>40.04</v>
          </cell>
          <cell r="AR11">
            <v>25.52</v>
          </cell>
          <cell r="AS11">
            <v>0</v>
          </cell>
          <cell r="AT11">
            <v>0</v>
          </cell>
          <cell r="AU11">
            <v>25.52</v>
          </cell>
          <cell r="AV11">
            <v>24.509999999999998</v>
          </cell>
          <cell r="AW11">
            <v>19.52</v>
          </cell>
          <cell r="AX11">
            <v>0</v>
          </cell>
          <cell r="AY11">
            <v>44.03</v>
          </cell>
          <cell r="AZ11">
            <v>17.55</v>
          </cell>
          <cell r="BA11">
            <v>14.82</v>
          </cell>
          <cell r="BB11">
            <v>0</v>
          </cell>
          <cell r="BC11">
            <v>32.370000000000005</v>
          </cell>
          <cell r="BD11">
            <v>4</v>
          </cell>
          <cell r="BE11">
            <v>17.66</v>
          </cell>
          <cell r="BF11">
            <v>0</v>
          </cell>
          <cell r="BG11">
            <v>21.66</v>
          </cell>
        </row>
        <row r="12">
          <cell r="A12">
            <v>24</v>
          </cell>
          <cell r="B12">
            <v>44.7</v>
          </cell>
          <cell r="C12">
            <v>81</v>
          </cell>
          <cell r="D12">
            <v>49.910000000000004</v>
          </cell>
          <cell r="E12">
            <v>0</v>
          </cell>
          <cell r="F12">
            <v>0</v>
          </cell>
          <cell r="G12">
            <v>49.910000000000004</v>
          </cell>
          <cell r="I12">
            <v>36</v>
          </cell>
          <cell r="J12">
            <v>1.3863888888888889</v>
          </cell>
          <cell r="L12">
            <v>40.47</v>
          </cell>
          <cell r="M12">
            <v>11.98</v>
          </cell>
          <cell r="N12">
            <v>0</v>
          </cell>
          <cell r="O12">
            <v>52.45</v>
          </cell>
          <cell r="P12">
            <v>10.65</v>
          </cell>
          <cell r="Q12">
            <v>11.75</v>
          </cell>
          <cell r="R12">
            <v>0</v>
          </cell>
          <cell r="S12">
            <v>22.4</v>
          </cell>
          <cell r="T12">
            <v>7.11</v>
          </cell>
          <cell r="U12">
            <v>4.0199999999999996</v>
          </cell>
          <cell r="V12">
            <v>2.67</v>
          </cell>
          <cell r="W12">
            <v>13.799999999999999</v>
          </cell>
          <cell r="X12">
            <v>14.27</v>
          </cell>
          <cell r="Y12">
            <v>2.87</v>
          </cell>
          <cell r="Z12">
            <v>0</v>
          </cell>
          <cell r="AA12">
            <v>17.14</v>
          </cell>
          <cell r="AB12">
            <v>40.590000000000003</v>
          </cell>
          <cell r="AC12">
            <v>24.53</v>
          </cell>
          <cell r="AD12">
            <v>0</v>
          </cell>
          <cell r="AE12">
            <v>65.12</v>
          </cell>
          <cell r="AF12">
            <v>16.11</v>
          </cell>
          <cell r="AG12">
            <v>19.62</v>
          </cell>
          <cell r="AH12">
            <v>27.34</v>
          </cell>
          <cell r="AI12">
            <v>63.070000000000007</v>
          </cell>
          <cell r="AJ12">
            <v>45.15</v>
          </cell>
          <cell r="AK12">
            <v>11.87</v>
          </cell>
          <cell r="AL12">
            <v>0</v>
          </cell>
          <cell r="AM12">
            <v>57.019999999999996</v>
          </cell>
          <cell r="AN12">
            <v>23.98</v>
          </cell>
          <cell r="AO12">
            <v>73.34</v>
          </cell>
          <cell r="AP12">
            <v>0</v>
          </cell>
          <cell r="AQ12">
            <v>97.320000000000007</v>
          </cell>
          <cell r="AR12">
            <v>87.79</v>
          </cell>
          <cell r="AS12">
            <v>0</v>
          </cell>
          <cell r="AT12">
            <v>0</v>
          </cell>
          <cell r="AU12">
            <v>87.79</v>
          </cell>
          <cell r="AV12">
            <v>86.78</v>
          </cell>
          <cell r="AW12">
            <v>44.96</v>
          </cell>
          <cell r="AX12">
            <v>0</v>
          </cell>
          <cell r="AY12">
            <v>131.74</v>
          </cell>
          <cell r="AZ12">
            <v>77.47</v>
          </cell>
          <cell r="BA12">
            <v>22.06</v>
          </cell>
          <cell r="BB12">
            <v>0</v>
          </cell>
          <cell r="BC12">
            <v>99.53</v>
          </cell>
          <cell r="BD12">
            <v>29.61</v>
          </cell>
          <cell r="BE12">
            <v>57.95</v>
          </cell>
          <cell r="BF12">
            <v>0</v>
          </cell>
          <cell r="BG12">
            <v>87.56</v>
          </cell>
        </row>
      </sheetData>
      <sheetData sheetId="8">
        <row r="7">
          <cell r="A7">
            <v>8</v>
          </cell>
          <cell r="B7">
            <v>61.6</v>
          </cell>
          <cell r="C7">
            <v>123</v>
          </cell>
          <cell r="D7">
            <v>59.31</v>
          </cell>
          <cell r="E7">
            <v>7.63</v>
          </cell>
          <cell r="F7">
            <v>0</v>
          </cell>
          <cell r="G7">
            <v>66.94</v>
          </cell>
          <cell r="I7">
            <v>37</v>
          </cell>
          <cell r="J7">
            <v>1.8091891891891891</v>
          </cell>
          <cell r="L7">
            <v>42.77</v>
          </cell>
          <cell r="M7">
            <v>18.39</v>
          </cell>
          <cell r="N7">
            <v>0</v>
          </cell>
          <cell r="O7">
            <v>61.160000000000004</v>
          </cell>
          <cell r="P7">
            <v>32.46</v>
          </cell>
          <cell r="Q7">
            <v>20.34</v>
          </cell>
          <cell r="R7">
            <v>0</v>
          </cell>
          <cell r="S7">
            <v>52.8</v>
          </cell>
          <cell r="T7">
            <v>22.63</v>
          </cell>
          <cell r="U7">
            <v>19.03</v>
          </cell>
          <cell r="V7">
            <v>0</v>
          </cell>
          <cell r="W7">
            <v>41.66</v>
          </cell>
          <cell r="X7">
            <v>31.29</v>
          </cell>
          <cell r="Y7">
            <v>7.84</v>
          </cell>
          <cell r="Z7">
            <v>0</v>
          </cell>
          <cell r="AA7">
            <v>39.129999999999995</v>
          </cell>
          <cell r="AB7">
            <v>26.15</v>
          </cell>
          <cell r="AC7">
            <v>30.05</v>
          </cell>
          <cell r="AD7">
            <v>16.28</v>
          </cell>
          <cell r="AE7">
            <v>72.48</v>
          </cell>
          <cell r="AF7">
            <v>18.05</v>
          </cell>
          <cell r="AG7">
            <v>23.72</v>
          </cell>
          <cell r="AH7">
            <v>0</v>
          </cell>
          <cell r="AI7">
            <v>41.769999999999996</v>
          </cell>
          <cell r="AJ7">
            <v>24.42</v>
          </cell>
          <cell r="AK7">
            <v>20.18</v>
          </cell>
          <cell r="AL7">
            <v>8.36</v>
          </cell>
          <cell r="AM7">
            <v>52.96</v>
          </cell>
          <cell r="AN7">
            <v>17.82</v>
          </cell>
          <cell r="AO7">
            <v>37.83</v>
          </cell>
          <cell r="AP7">
            <v>58.75</v>
          </cell>
          <cell r="AQ7">
            <v>114.4</v>
          </cell>
          <cell r="AR7">
            <v>78.790000000000006</v>
          </cell>
          <cell r="AS7">
            <v>0</v>
          </cell>
          <cell r="AT7">
            <v>0</v>
          </cell>
          <cell r="AU7">
            <v>78.790000000000006</v>
          </cell>
          <cell r="AV7">
            <v>94.64</v>
          </cell>
          <cell r="AW7">
            <v>0</v>
          </cell>
          <cell r="AX7">
            <v>0</v>
          </cell>
          <cell r="AY7">
            <v>94.64</v>
          </cell>
          <cell r="AZ7">
            <v>86.490000000000009</v>
          </cell>
          <cell r="BA7">
            <v>64.989999999999995</v>
          </cell>
          <cell r="BB7">
            <v>0</v>
          </cell>
          <cell r="BC7">
            <v>151.48000000000002</v>
          </cell>
          <cell r="BD7">
            <v>61.18</v>
          </cell>
          <cell r="BE7">
            <v>61.97</v>
          </cell>
          <cell r="BF7">
            <v>0</v>
          </cell>
          <cell r="BG7">
            <v>123.15</v>
          </cell>
        </row>
        <row r="8">
          <cell r="A8">
            <v>9</v>
          </cell>
          <cell r="B8">
            <v>38.299999999999997</v>
          </cell>
          <cell r="C8">
            <v>69</v>
          </cell>
          <cell r="D8">
            <v>33.010000000000005</v>
          </cell>
          <cell r="E8">
            <v>0</v>
          </cell>
          <cell r="F8">
            <v>0</v>
          </cell>
          <cell r="G8">
            <v>33.010000000000005</v>
          </cell>
          <cell r="I8">
            <v>18</v>
          </cell>
          <cell r="J8">
            <v>1.8338888888888891</v>
          </cell>
          <cell r="L8">
            <v>27.43</v>
          </cell>
          <cell r="M8">
            <v>10.62</v>
          </cell>
          <cell r="N8">
            <v>0</v>
          </cell>
          <cell r="O8">
            <v>38.049999999999997</v>
          </cell>
          <cell r="P8">
            <v>6.51</v>
          </cell>
          <cell r="Q8">
            <v>14.2</v>
          </cell>
          <cell r="R8">
            <v>0</v>
          </cell>
          <cell r="S8">
            <v>20.71</v>
          </cell>
          <cell r="T8">
            <v>10.91</v>
          </cell>
          <cell r="U8">
            <v>11.74</v>
          </cell>
          <cell r="V8">
            <v>0</v>
          </cell>
          <cell r="W8">
            <v>22.65</v>
          </cell>
          <cell r="X8">
            <v>21.23</v>
          </cell>
          <cell r="Y8">
            <v>0</v>
          </cell>
          <cell r="Z8">
            <v>0</v>
          </cell>
          <cell r="AA8">
            <v>21.23</v>
          </cell>
          <cell r="AB8">
            <v>10.46</v>
          </cell>
          <cell r="AC8">
            <v>10.23</v>
          </cell>
          <cell r="AD8">
            <v>7.88</v>
          </cell>
          <cell r="AE8">
            <v>28.57</v>
          </cell>
          <cell r="AF8">
            <v>3.58</v>
          </cell>
          <cell r="AG8">
            <v>10.74</v>
          </cell>
          <cell r="AH8">
            <v>14.75</v>
          </cell>
          <cell r="AI8">
            <v>29.07</v>
          </cell>
          <cell r="AJ8">
            <v>13.44</v>
          </cell>
          <cell r="AK8">
            <v>10</v>
          </cell>
          <cell r="AL8">
            <v>0</v>
          </cell>
          <cell r="AM8">
            <v>23.439999999999998</v>
          </cell>
          <cell r="AN8">
            <v>11.36</v>
          </cell>
          <cell r="AO8">
            <v>19.690000000000001</v>
          </cell>
          <cell r="AP8">
            <v>12.66</v>
          </cell>
          <cell r="AQ8">
            <v>43.71</v>
          </cell>
          <cell r="AR8">
            <v>14.56</v>
          </cell>
          <cell r="AS8">
            <v>45</v>
          </cell>
          <cell r="AT8">
            <v>0</v>
          </cell>
          <cell r="AU8">
            <v>59.56</v>
          </cell>
          <cell r="AV8">
            <v>63.760000000000005</v>
          </cell>
          <cell r="AW8">
            <v>0</v>
          </cell>
          <cell r="AX8">
            <v>0</v>
          </cell>
          <cell r="AY8">
            <v>63.760000000000005</v>
          </cell>
          <cell r="AZ8">
            <v>33.729999999999997</v>
          </cell>
          <cell r="BA8">
            <v>42.760000000000005</v>
          </cell>
          <cell r="BB8">
            <v>0</v>
          </cell>
          <cell r="BC8">
            <v>76.490000000000009</v>
          </cell>
          <cell r="BD8">
            <v>27.91</v>
          </cell>
          <cell r="BE8">
            <v>34.54</v>
          </cell>
          <cell r="BF8">
            <v>0</v>
          </cell>
          <cell r="BG8">
            <v>62.45</v>
          </cell>
        </row>
        <row r="9">
          <cell r="A9">
            <v>12</v>
          </cell>
          <cell r="B9">
            <v>71</v>
          </cell>
          <cell r="C9">
            <v>142</v>
          </cell>
          <cell r="D9">
            <v>49.47</v>
          </cell>
          <cell r="E9">
            <v>43.91</v>
          </cell>
          <cell r="F9">
            <v>0</v>
          </cell>
          <cell r="G9">
            <v>93.38</v>
          </cell>
          <cell r="I9">
            <v>51</v>
          </cell>
          <cell r="J9">
            <v>1.8309803921568626</v>
          </cell>
          <cell r="L9">
            <v>40.06</v>
          </cell>
          <cell r="M9">
            <v>38.47</v>
          </cell>
          <cell r="N9">
            <v>0</v>
          </cell>
          <cell r="O9">
            <v>78.53</v>
          </cell>
          <cell r="P9">
            <v>26.29</v>
          </cell>
          <cell r="Q9">
            <v>21.45</v>
          </cell>
          <cell r="R9">
            <v>12.99</v>
          </cell>
          <cell r="S9">
            <v>60.73</v>
          </cell>
          <cell r="T9">
            <v>15.16</v>
          </cell>
          <cell r="U9">
            <v>26.68</v>
          </cell>
          <cell r="V9">
            <v>0</v>
          </cell>
          <cell r="W9">
            <v>41.84</v>
          </cell>
          <cell r="X9">
            <v>36.19</v>
          </cell>
          <cell r="Y9">
            <v>48.89</v>
          </cell>
          <cell r="Z9">
            <v>0</v>
          </cell>
          <cell r="AA9">
            <v>85.08</v>
          </cell>
          <cell r="AB9">
            <v>31.94</v>
          </cell>
          <cell r="AC9">
            <v>28.78</v>
          </cell>
          <cell r="AD9">
            <v>0</v>
          </cell>
          <cell r="AE9">
            <v>60.72</v>
          </cell>
          <cell r="AF9">
            <v>28.02</v>
          </cell>
          <cell r="AG9">
            <v>24.12</v>
          </cell>
          <cell r="AH9">
            <v>5.84</v>
          </cell>
          <cell r="AI9">
            <v>57.980000000000004</v>
          </cell>
          <cell r="AJ9">
            <v>17.68</v>
          </cell>
          <cell r="AK9">
            <v>27.29</v>
          </cell>
          <cell r="AL9">
            <v>17.2</v>
          </cell>
          <cell r="AM9">
            <v>62.17</v>
          </cell>
          <cell r="AN9">
            <v>30.32</v>
          </cell>
          <cell r="AO9">
            <v>37.119999999999997</v>
          </cell>
          <cell r="AP9">
            <v>0</v>
          </cell>
          <cell r="AQ9">
            <v>67.44</v>
          </cell>
          <cell r="AR9">
            <v>62.78</v>
          </cell>
          <cell r="AS9">
            <v>84.76</v>
          </cell>
          <cell r="AT9">
            <v>0</v>
          </cell>
          <cell r="AU9">
            <v>147.54000000000002</v>
          </cell>
          <cell r="AV9">
            <v>92.97</v>
          </cell>
          <cell r="AW9">
            <v>0</v>
          </cell>
          <cell r="AX9">
            <v>0</v>
          </cell>
          <cell r="AY9">
            <v>92.97</v>
          </cell>
          <cell r="AZ9">
            <v>69.650000000000006</v>
          </cell>
          <cell r="BA9">
            <v>73.8</v>
          </cell>
          <cell r="BB9">
            <v>0</v>
          </cell>
          <cell r="BC9">
            <v>143.44999999999999</v>
          </cell>
          <cell r="BD9">
            <v>58.8</v>
          </cell>
          <cell r="BE9">
            <v>39.67</v>
          </cell>
          <cell r="BF9">
            <v>0</v>
          </cell>
          <cell r="BG9">
            <v>98.47</v>
          </cell>
        </row>
        <row r="10">
          <cell r="A10">
            <v>10</v>
          </cell>
          <cell r="B10">
            <v>19.100000000000001</v>
          </cell>
          <cell r="C10">
            <v>36</v>
          </cell>
          <cell r="D10">
            <v>13.41</v>
          </cell>
          <cell r="E10">
            <v>0</v>
          </cell>
          <cell r="F10">
            <v>0</v>
          </cell>
          <cell r="G10">
            <v>13.41</v>
          </cell>
          <cell r="I10">
            <v>8</v>
          </cell>
          <cell r="J10">
            <v>1.67625</v>
          </cell>
          <cell r="L10">
            <v>11.88</v>
          </cell>
          <cell r="M10">
            <v>7.71</v>
          </cell>
          <cell r="N10">
            <v>0</v>
          </cell>
          <cell r="O10">
            <v>19.59</v>
          </cell>
          <cell r="P10">
            <v>5.47</v>
          </cell>
          <cell r="Q10">
            <v>4.82</v>
          </cell>
          <cell r="R10">
            <v>0</v>
          </cell>
          <cell r="S10">
            <v>10.29</v>
          </cell>
          <cell r="T10">
            <v>6.14</v>
          </cell>
          <cell r="U10">
            <v>4.8</v>
          </cell>
          <cell r="V10">
            <v>0</v>
          </cell>
          <cell r="W10">
            <v>10.94</v>
          </cell>
          <cell r="X10">
            <v>7.91</v>
          </cell>
          <cell r="Y10">
            <v>0</v>
          </cell>
          <cell r="Z10">
            <v>0</v>
          </cell>
          <cell r="AA10">
            <v>7.91</v>
          </cell>
          <cell r="AB10">
            <v>10.07</v>
          </cell>
          <cell r="AC10">
            <v>6.52</v>
          </cell>
          <cell r="AD10">
            <v>0</v>
          </cell>
          <cell r="AE10">
            <v>16.59</v>
          </cell>
          <cell r="AF10">
            <v>6.95</v>
          </cell>
          <cell r="AG10">
            <v>7.07</v>
          </cell>
          <cell r="AH10">
            <v>6.93</v>
          </cell>
          <cell r="AI10">
            <v>20.95</v>
          </cell>
          <cell r="AJ10">
            <v>6.11</v>
          </cell>
          <cell r="AK10">
            <v>7.41</v>
          </cell>
          <cell r="AL10">
            <v>0</v>
          </cell>
          <cell r="AM10">
            <v>13.52</v>
          </cell>
          <cell r="AN10">
            <v>10.08</v>
          </cell>
          <cell r="AO10">
            <v>17.53</v>
          </cell>
          <cell r="AP10">
            <v>0</v>
          </cell>
          <cell r="AQ10">
            <v>27.61</v>
          </cell>
          <cell r="AR10">
            <v>18.350000000000001</v>
          </cell>
          <cell r="AS10">
            <v>22.22</v>
          </cell>
          <cell r="AT10">
            <v>0</v>
          </cell>
          <cell r="AU10">
            <v>40.57</v>
          </cell>
          <cell r="AV10">
            <v>28.14</v>
          </cell>
          <cell r="AW10">
            <v>0</v>
          </cell>
          <cell r="AX10">
            <v>0</v>
          </cell>
          <cell r="AY10">
            <v>28.14</v>
          </cell>
          <cell r="AZ10">
            <v>15.56</v>
          </cell>
          <cell r="BA10">
            <v>19.82</v>
          </cell>
          <cell r="BB10">
            <v>0</v>
          </cell>
          <cell r="BC10">
            <v>35.380000000000003</v>
          </cell>
          <cell r="BD10">
            <v>14.74</v>
          </cell>
          <cell r="BE10">
            <v>14.57</v>
          </cell>
          <cell r="BF10">
            <v>0</v>
          </cell>
          <cell r="BG10">
            <v>29.310000000000002</v>
          </cell>
        </row>
        <row r="11">
          <cell r="A11">
            <v>13</v>
          </cell>
          <cell r="B11">
            <v>60.8</v>
          </cell>
          <cell r="C11">
            <v>134</v>
          </cell>
          <cell r="D11">
            <v>59.580000000000005</v>
          </cell>
          <cell r="E11">
            <v>53.370000000000005</v>
          </cell>
          <cell r="F11">
            <v>0</v>
          </cell>
          <cell r="G11">
            <v>112.95000000000002</v>
          </cell>
          <cell r="I11">
            <v>71</v>
          </cell>
          <cell r="J11">
            <v>1.5908450704225354</v>
          </cell>
          <cell r="L11">
            <v>46.01</v>
          </cell>
          <cell r="M11">
            <v>28.91</v>
          </cell>
          <cell r="N11">
            <v>0</v>
          </cell>
          <cell r="O11">
            <v>74.92</v>
          </cell>
          <cell r="P11">
            <v>29.21</v>
          </cell>
          <cell r="Q11">
            <v>27.67</v>
          </cell>
          <cell r="R11">
            <v>0</v>
          </cell>
          <cell r="S11">
            <v>56.88</v>
          </cell>
          <cell r="T11">
            <v>23.1</v>
          </cell>
          <cell r="U11">
            <v>21.69</v>
          </cell>
          <cell r="V11">
            <v>0</v>
          </cell>
          <cell r="W11">
            <v>44.790000000000006</v>
          </cell>
          <cell r="X11">
            <v>45.89</v>
          </cell>
          <cell r="Y11">
            <v>22.12</v>
          </cell>
          <cell r="Z11">
            <v>0</v>
          </cell>
          <cell r="AA11">
            <v>68.010000000000005</v>
          </cell>
          <cell r="AB11">
            <v>23.22</v>
          </cell>
          <cell r="AC11">
            <v>24.79</v>
          </cell>
          <cell r="AD11">
            <v>0</v>
          </cell>
          <cell r="AE11">
            <v>48.01</v>
          </cell>
          <cell r="AF11">
            <v>25.94</v>
          </cell>
          <cell r="AG11">
            <v>27.51</v>
          </cell>
          <cell r="AH11">
            <v>0</v>
          </cell>
          <cell r="AI11">
            <v>53.45</v>
          </cell>
          <cell r="AJ11">
            <v>25.66</v>
          </cell>
          <cell r="AK11">
            <v>29.12</v>
          </cell>
          <cell r="AL11">
            <v>16.309999999999999</v>
          </cell>
          <cell r="AM11">
            <v>71.09</v>
          </cell>
          <cell r="AN11">
            <v>38.74</v>
          </cell>
          <cell r="AO11">
            <v>58.15</v>
          </cell>
          <cell r="AP11">
            <v>0</v>
          </cell>
          <cell r="AQ11">
            <v>96.89</v>
          </cell>
          <cell r="AR11">
            <v>80.66</v>
          </cell>
          <cell r="AS11">
            <v>0</v>
          </cell>
          <cell r="AT11">
            <v>0</v>
          </cell>
          <cell r="AU11">
            <v>80.66</v>
          </cell>
          <cell r="AV11">
            <v>104.81</v>
          </cell>
          <cell r="AW11">
            <v>79.900000000000006</v>
          </cell>
          <cell r="AX11">
            <v>0</v>
          </cell>
          <cell r="AY11">
            <v>184.71</v>
          </cell>
          <cell r="AZ11">
            <v>47.77</v>
          </cell>
          <cell r="BA11">
            <v>38.939000000000007</v>
          </cell>
          <cell r="BB11">
            <v>52.42</v>
          </cell>
          <cell r="BC11">
            <v>139.12900000000002</v>
          </cell>
          <cell r="BD11">
            <v>28.76</v>
          </cell>
          <cell r="BE11">
            <v>42.98</v>
          </cell>
          <cell r="BF11">
            <v>8.58</v>
          </cell>
          <cell r="BG11">
            <v>80.319999999999993</v>
          </cell>
        </row>
        <row r="12">
          <cell r="A12">
            <v>18</v>
          </cell>
          <cell r="B12">
            <v>40.799999999999997</v>
          </cell>
          <cell r="C12">
            <v>90</v>
          </cell>
          <cell r="D12">
            <v>45.21</v>
          </cell>
          <cell r="E12">
            <v>40.72</v>
          </cell>
          <cell r="F12">
            <v>0</v>
          </cell>
          <cell r="G12">
            <v>85.93</v>
          </cell>
          <cell r="I12">
            <v>36</v>
          </cell>
          <cell r="J12">
            <v>2.3869444444444445</v>
          </cell>
          <cell r="L12">
            <v>35.35</v>
          </cell>
          <cell r="M12">
            <v>22.66</v>
          </cell>
          <cell r="N12">
            <v>0</v>
          </cell>
          <cell r="O12">
            <v>58.010000000000005</v>
          </cell>
          <cell r="P12">
            <v>19.2</v>
          </cell>
          <cell r="Q12">
            <v>19.02</v>
          </cell>
          <cell r="R12">
            <v>0</v>
          </cell>
          <cell r="S12">
            <v>38.22</v>
          </cell>
          <cell r="T12">
            <v>14.81</v>
          </cell>
          <cell r="U12">
            <v>15.68</v>
          </cell>
          <cell r="V12">
            <v>0</v>
          </cell>
          <cell r="W12">
            <v>30.490000000000002</v>
          </cell>
          <cell r="X12">
            <v>28.36</v>
          </cell>
          <cell r="Y12">
            <v>26.78</v>
          </cell>
          <cell r="Z12">
            <v>0</v>
          </cell>
          <cell r="AA12">
            <v>55.14</v>
          </cell>
          <cell r="AB12">
            <v>23.51</v>
          </cell>
          <cell r="AC12">
            <v>22.56</v>
          </cell>
          <cell r="AD12">
            <v>0</v>
          </cell>
          <cell r="AE12">
            <v>46.07</v>
          </cell>
          <cell r="AF12">
            <v>21.31</v>
          </cell>
          <cell r="AG12">
            <v>19.22</v>
          </cell>
          <cell r="AH12">
            <v>0</v>
          </cell>
          <cell r="AI12">
            <v>40.53</v>
          </cell>
          <cell r="AJ12">
            <v>23.65</v>
          </cell>
          <cell r="AK12">
            <v>19.25</v>
          </cell>
          <cell r="AL12">
            <v>16.86</v>
          </cell>
          <cell r="AM12">
            <v>59.76</v>
          </cell>
          <cell r="AN12">
            <v>27.26</v>
          </cell>
          <cell r="AO12">
            <v>36.840000000000003</v>
          </cell>
          <cell r="AP12">
            <v>0</v>
          </cell>
          <cell r="AQ12">
            <v>64.100000000000009</v>
          </cell>
          <cell r="AR12">
            <v>50.79</v>
          </cell>
          <cell r="AS12">
            <v>28.25</v>
          </cell>
          <cell r="AT12">
            <v>0</v>
          </cell>
          <cell r="AU12">
            <v>79.039999999999992</v>
          </cell>
          <cell r="AV12">
            <v>38.35</v>
          </cell>
          <cell r="AW12">
            <v>70.31</v>
          </cell>
          <cell r="AX12">
            <v>0</v>
          </cell>
          <cell r="AY12">
            <v>108.66</v>
          </cell>
          <cell r="AZ12">
            <v>47.65</v>
          </cell>
          <cell r="BA12">
            <v>7.08</v>
          </cell>
          <cell r="BB12">
            <v>0</v>
          </cell>
          <cell r="BC12">
            <v>54.73</v>
          </cell>
          <cell r="BD12">
            <v>45.2</v>
          </cell>
          <cell r="BE12">
            <v>32.75</v>
          </cell>
          <cell r="BF12">
            <v>24.38</v>
          </cell>
          <cell r="BG12">
            <v>102.33</v>
          </cell>
        </row>
      </sheetData>
      <sheetData sheetId="9">
        <row r="7">
          <cell r="A7">
            <v>25</v>
          </cell>
          <cell r="B7">
            <v>38.22</v>
          </cell>
          <cell r="C7">
            <v>13</v>
          </cell>
          <cell r="D7">
            <v>12.27</v>
          </cell>
          <cell r="E7">
            <v>9.43</v>
          </cell>
          <cell r="F7">
            <v>0</v>
          </cell>
          <cell r="G7">
            <v>21.7</v>
          </cell>
          <cell r="I7">
            <v>24</v>
          </cell>
          <cell r="J7">
            <v>0.90416666666666667</v>
          </cell>
          <cell r="L7">
            <v>0.37</v>
          </cell>
          <cell r="M7">
            <v>0.65</v>
          </cell>
          <cell r="N7">
            <v>0</v>
          </cell>
          <cell r="O7">
            <v>1.02</v>
          </cell>
          <cell r="P7">
            <v>0.48</v>
          </cell>
          <cell r="Q7">
            <v>0.54</v>
          </cell>
          <cell r="R7">
            <v>0</v>
          </cell>
          <cell r="S7">
            <v>1.02</v>
          </cell>
          <cell r="T7">
            <v>0.94</v>
          </cell>
          <cell r="U7">
            <v>1.34</v>
          </cell>
          <cell r="V7">
            <v>0</v>
          </cell>
          <cell r="W7">
            <v>2.2800000000000002</v>
          </cell>
          <cell r="X7">
            <v>1.66</v>
          </cell>
          <cell r="Y7">
            <v>1.77</v>
          </cell>
          <cell r="Z7">
            <v>0</v>
          </cell>
          <cell r="AA7">
            <v>3.4299999999999997</v>
          </cell>
          <cell r="AB7">
            <v>2.68</v>
          </cell>
          <cell r="AC7">
            <v>6.66</v>
          </cell>
          <cell r="AD7">
            <v>0</v>
          </cell>
          <cell r="AE7">
            <v>9.34</v>
          </cell>
          <cell r="AF7">
            <v>3.23</v>
          </cell>
          <cell r="AG7">
            <v>8.94</v>
          </cell>
          <cell r="AH7">
            <v>0</v>
          </cell>
          <cell r="AI7">
            <v>12.17</v>
          </cell>
          <cell r="AJ7">
            <v>1.51</v>
          </cell>
          <cell r="AK7">
            <v>6.59</v>
          </cell>
          <cell r="AL7">
            <v>0</v>
          </cell>
          <cell r="AM7">
            <v>8.1</v>
          </cell>
          <cell r="AN7">
            <v>10.59</v>
          </cell>
          <cell r="AO7">
            <v>0</v>
          </cell>
          <cell r="AP7">
            <v>0</v>
          </cell>
          <cell r="AQ7">
            <v>10.59</v>
          </cell>
          <cell r="AR7">
            <v>8.4600000000000009</v>
          </cell>
          <cell r="AS7">
            <v>6.37</v>
          </cell>
          <cell r="AT7">
            <v>0</v>
          </cell>
          <cell r="AU7">
            <v>14.830000000000002</v>
          </cell>
          <cell r="AV7">
            <v>7.62</v>
          </cell>
          <cell r="AW7">
            <v>5.59</v>
          </cell>
          <cell r="AX7">
            <v>0</v>
          </cell>
          <cell r="AY7">
            <v>13.21</v>
          </cell>
          <cell r="AZ7">
            <v>11.73</v>
          </cell>
          <cell r="BA7">
            <v>13.08</v>
          </cell>
          <cell r="BB7">
            <v>0</v>
          </cell>
          <cell r="BC7">
            <v>24.810000000000002</v>
          </cell>
          <cell r="BD7">
            <v>4.58</v>
          </cell>
          <cell r="BE7">
            <v>4.53</v>
          </cell>
          <cell r="BF7">
            <v>0</v>
          </cell>
          <cell r="BG7">
            <v>9.11</v>
          </cell>
        </row>
        <row r="8">
          <cell r="A8" t="str">
            <v>26A</v>
          </cell>
          <cell r="B8">
            <v>22.72</v>
          </cell>
          <cell r="C8">
            <v>11</v>
          </cell>
          <cell r="D8">
            <v>10.02</v>
          </cell>
          <cell r="E8">
            <v>18.229999999999997</v>
          </cell>
          <cell r="F8">
            <v>0</v>
          </cell>
          <cell r="G8">
            <v>28.249999999999996</v>
          </cell>
          <cell r="I8">
            <v>21</v>
          </cell>
          <cell r="J8">
            <v>1.3452380952380951</v>
          </cell>
          <cell r="L8">
            <v>3.24</v>
          </cell>
          <cell r="M8">
            <v>2.54</v>
          </cell>
          <cell r="N8">
            <v>0</v>
          </cell>
          <cell r="O8">
            <v>5.78</v>
          </cell>
          <cell r="P8">
            <v>2.54</v>
          </cell>
          <cell r="Q8">
            <v>2.27</v>
          </cell>
          <cell r="R8">
            <v>0</v>
          </cell>
          <cell r="S8">
            <v>4.8100000000000005</v>
          </cell>
          <cell r="T8">
            <v>4.12</v>
          </cell>
          <cell r="U8">
            <v>1.95</v>
          </cell>
          <cell r="V8">
            <v>0</v>
          </cell>
          <cell r="W8">
            <v>6.07</v>
          </cell>
          <cell r="X8">
            <v>4.1900000000000004</v>
          </cell>
          <cell r="Y8">
            <v>4.87</v>
          </cell>
          <cell r="Z8">
            <v>0</v>
          </cell>
          <cell r="AA8">
            <v>9.06</v>
          </cell>
          <cell r="AB8">
            <v>8</v>
          </cell>
          <cell r="AC8">
            <v>7.52</v>
          </cell>
          <cell r="AD8">
            <v>0</v>
          </cell>
          <cell r="AE8">
            <v>15.52</v>
          </cell>
          <cell r="AF8">
            <v>5.66</v>
          </cell>
          <cell r="AG8">
            <v>8.51</v>
          </cell>
          <cell r="AH8">
            <v>0</v>
          </cell>
          <cell r="AI8">
            <v>14.17</v>
          </cell>
          <cell r="AJ8">
            <v>3.9</v>
          </cell>
          <cell r="AK8">
            <v>5.77</v>
          </cell>
          <cell r="AL8">
            <v>0</v>
          </cell>
          <cell r="AM8">
            <v>9.67</v>
          </cell>
          <cell r="AN8">
            <v>8.16</v>
          </cell>
          <cell r="AO8">
            <v>12.98</v>
          </cell>
          <cell r="AP8">
            <v>0</v>
          </cell>
          <cell r="AQ8">
            <v>21.14</v>
          </cell>
          <cell r="AR8">
            <v>10.89</v>
          </cell>
          <cell r="AS8">
            <v>9.2100000000000009</v>
          </cell>
          <cell r="AT8">
            <v>0</v>
          </cell>
          <cell r="AU8">
            <v>20.100000000000001</v>
          </cell>
          <cell r="AV8">
            <v>14.61</v>
          </cell>
          <cell r="AW8">
            <v>2.0699999999999998</v>
          </cell>
          <cell r="AX8">
            <v>0</v>
          </cell>
          <cell r="AY8">
            <v>16.68</v>
          </cell>
          <cell r="AZ8">
            <v>6.89</v>
          </cell>
          <cell r="BA8">
            <v>12.92</v>
          </cell>
          <cell r="BB8">
            <v>0</v>
          </cell>
          <cell r="BC8">
            <v>19.809999999999999</v>
          </cell>
          <cell r="BD8">
            <v>7.88</v>
          </cell>
          <cell r="BE8">
            <v>14.17</v>
          </cell>
          <cell r="BF8">
            <v>0</v>
          </cell>
          <cell r="BG8">
            <v>22.05</v>
          </cell>
        </row>
        <row r="9">
          <cell r="A9">
            <v>27</v>
          </cell>
          <cell r="B9">
            <v>18.64</v>
          </cell>
          <cell r="C9">
            <v>9</v>
          </cell>
          <cell r="D9">
            <v>10</v>
          </cell>
          <cell r="E9">
            <v>9</v>
          </cell>
          <cell r="F9">
            <v>0</v>
          </cell>
          <cell r="G9">
            <v>19</v>
          </cell>
          <cell r="I9">
            <v>18</v>
          </cell>
          <cell r="J9">
            <v>1.0555555555555556</v>
          </cell>
          <cell r="L9">
            <v>0.8</v>
          </cell>
          <cell r="M9">
            <v>0.68</v>
          </cell>
          <cell r="N9">
            <v>0.71</v>
          </cell>
          <cell r="O9">
            <v>2.19</v>
          </cell>
          <cell r="P9">
            <v>0.95</v>
          </cell>
          <cell r="Q9">
            <v>1</v>
          </cell>
          <cell r="R9">
            <v>0</v>
          </cell>
          <cell r="S9">
            <v>1.95</v>
          </cell>
          <cell r="T9">
            <v>0.41</v>
          </cell>
          <cell r="U9">
            <v>2.56</v>
          </cell>
          <cell r="V9">
            <v>0</v>
          </cell>
          <cell r="W9">
            <v>2.97</v>
          </cell>
          <cell r="X9">
            <v>3.37</v>
          </cell>
          <cell r="Y9">
            <v>4.09</v>
          </cell>
          <cell r="Z9">
            <v>0</v>
          </cell>
          <cell r="AA9">
            <v>7.46</v>
          </cell>
          <cell r="AB9">
            <v>4.37</v>
          </cell>
          <cell r="AC9">
            <v>6.83</v>
          </cell>
          <cell r="AD9">
            <v>0</v>
          </cell>
          <cell r="AE9">
            <v>11.2</v>
          </cell>
          <cell r="AF9">
            <v>5.05</v>
          </cell>
          <cell r="AG9">
            <v>2.96</v>
          </cell>
          <cell r="AH9">
            <v>0</v>
          </cell>
          <cell r="AI9">
            <v>8.01</v>
          </cell>
          <cell r="AJ9">
            <v>9.66</v>
          </cell>
          <cell r="AK9">
            <v>3.87</v>
          </cell>
          <cell r="AL9">
            <v>0</v>
          </cell>
          <cell r="AM9">
            <v>13.530000000000001</v>
          </cell>
          <cell r="AN9">
            <v>3.46</v>
          </cell>
          <cell r="AO9">
            <v>4.34</v>
          </cell>
          <cell r="AP9">
            <v>0</v>
          </cell>
          <cell r="AQ9">
            <v>7.8</v>
          </cell>
          <cell r="AR9">
            <v>4.2</v>
          </cell>
          <cell r="AS9">
            <v>5.29</v>
          </cell>
          <cell r="AT9">
            <v>0</v>
          </cell>
          <cell r="AU9">
            <v>9.49</v>
          </cell>
          <cell r="AV9">
            <v>9.64</v>
          </cell>
          <cell r="AW9">
            <v>5.83</v>
          </cell>
          <cell r="AX9">
            <v>0</v>
          </cell>
          <cell r="AY9">
            <v>15.47</v>
          </cell>
          <cell r="AZ9">
            <v>8.5500000000000007</v>
          </cell>
          <cell r="BA9">
            <v>6.76</v>
          </cell>
          <cell r="BB9">
            <v>0</v>
          </cell>
          <cell r="BC9">
            <v>15.31</v>
          </cell>
          <cell r="BD9">
            <v>6.36</v>
          </cell>
          <cell r="BE9">
            <v>7.39</v>
          </cell>
          <cell r="BF9">
            <v>0</v>
          </cell>
          <cell r="BG9">
            <v>13.75</v>
          </cell>
        </row>
        <row r="10">
          <cell r="A10">
            <v>28</v>
          </cell>
          <cell r="B10">
            <v>25.5</v>
          </cell>
          <cell r="C10">
            <v>26</v>
          </cell>
          <cell r="D10">
            <v>23.75</v>
          </cell>
          <cell r="E10">
            <v>0</v>
          </cell>
          <cell r="F10">
            <v>0</v>
          </cell>
          <cell r="G10">
            <v>23.75</v>
          </cell>
          <cell r="I10">
            <v>14</v>
          </cell>
          <cell r="J10">
            <v>1.6964285714285714</v>
          </cell>
          <cell r="L10">
            <v>11.54</v>
          </cell>
          <cell r="M10">
            <v>6.35</v>
          </cell>
          <cell r="N10">
            <v>0</v>
          </cell>
          <cell r="O10">
            <v>17.89</v>
          </cell>
          <cell r="P10">
            <v>7.38</v>
          </cell>
          <cell r="Q10">
            <v>8.43</v>
          </cell>
          <cell r="R10">
            <v>0</v>
          </cell>
          <cell r="S10">
            <v>15.809999999999999</v>
          </cell>
          <cell r="T10">
            <v>10.14</v>
          </cell>
          <cell r="U10">
            <v>8.74</v>
          </cell>
          <cell r="V10">
            <v>0</v>
          </cell>
          <cell r="W10">
            <v>18.880000000000003</v>
          </cell>
          <cell r="X10">
            <v>6.83</v>
          </cell>
          <cell r="Y10">
            <v>13.91</v>
          </cell>
          <cell r="Z10">
            <v>0</v>
          </cell>
          <cell r="AA10">
            <v>20.740000000000002</v>
          </cell>
          <cell r="AB10">
            <v>10.68</v>
          </cell>
          <cell r="AC10">
            <v>9.7899999999999991</v>
          </cell>
          <cell r="AD10">
            <v>0</v>
          </cell>
          <cell r="AE10">
            <v>20.47</v>
          </cell>
          <cell r="AF10">
            <v>9.1999999999999993</v>
          </cell>
          <cell r="AG10">
            <v>14.41</v>
          </cell>
          <cell r="AH10">
            <v>0</v>
          </cell>
          <cell r="AI10">
            <v>23.61</v>
          </cell>
          <cell r="AJ10">
            <v>8.6</v>
          </cell>
          <cell r="AK10">
            <v>8.6199999999999992</v>
          </cell>
          <cell r="AL10">
            <v>0</v>
          </cell>
          <cell r="AM10">
            <v>17.22</v>
          </cell>
          <cell r="AN10">
            <v>10.84</v>
          </cell>
          <cell r="AO10">
            <v>13.11</v>
          </cell>
          <cell r="AP10">
            <v>0</v>
          </cell>
          <cell r="AQ10">
            <v>23.95</v>
          </cell>
          <cell r="AR10">
            <v>11.38</v>
          </cell>
          <cell r="AS10">
            <v>12.32</v>
          </cell>
          <cell r="AT10">
            <v>0</v>
          </cell>
          <cell r="AU10">
            <v>23.700000000000003</v>
          </cell>
          <cell r="AV10">
            <v>16.940000000000001</v>
          </cell>
          <cell r="AW10">
            <v>7.76</v>
          </cell>
          <cell r="AX10">
            <v>0</v>
          </cell>
          <cell r="AY10">
            <v>24.700000000000003</v>
          </cell>
          <cell r="AZ10">
            <v>22.85</v>
          </cell>
          <cell r="BA10">
            <v>0</v>
          </cell>
          <cell r="BB10">
            <v>0</v>
          </cell>
          <cell r="BC10">
            <v>22.85</v>
          </cell>
          <cell r="BD10">
            <v>8.5399999999999991</v>
          </cell>
          <cell r="BE10">
            <v>11.07</v>
          </cell>
          <cell r="BF10">
            <v>0</v>
          </cell>
          <cell r="BG10">
            <v>19.61</v>
          </cell>
        </row>
        <row r="11">
          <cell r="A11">
            <v>30</v>
          </cell>
          <cell r="B11">
            <v>24.35</v>
          </cell>
          <cell r="C11">
            <v>7</v>
          </cell>
          <cell r="D11">
            <v>12.309999999999999</v>
          </cell>
          <cell r="E11">
            <v>0</v>
          </cell>
          <cell r="F11">
            <v>0</v>
          </cell>
          <cell r="G11">
            <v>12.309999999999999</v>
          </cell>
          <cell r="I11">
            <v>17</v>
          </cell>
          <cell r="J11">
            <v>0.72411764705882342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1.6</v>
          </cell>
          <cell r="Q11">
            <v>0.84</v>
          </cell>
          <cell r="R11">
            <v>0</v>
          </cell>
          <cell r="S11">
            <v>2.44</v>
          </cell>
          <cell r="T11">
            <v>0.87</v>
          </cell>
          <cell r="U11">
            <v>0.95</v>
          </cell>
          <cell r="V11">
            <v>0</v>
          </cell>
          <cell r="W11">
            <v>1.8199999999999998</v>
          </cell>
          <cell r="X11">
            <v>1.02</v>
          </cell>
          <cell r="Y11">
            <v>0</v>
          </cell>
          <cell r="Z11">
            <v>0</v>
          </cell>
          <cell r="AA11">
            <v>1.02</v>
          </cell>
          <cell r="AB11">
            <v>1.26</v>
          </cell>
          <cell r="AC11">
            <v>1.33</v>
          </cell>
          <cell r="AD11">
            <v>0</v>
          </cell>
          <cell r="AE11">
            <v>2.59</v>
          </cell>
          <cell r="AF11">
            <v>1.67</v>
          </cell>
          <cell r="AG11">
            <v>1.23</v>
          </cell>
          <cell r="AH11">
            <v>0</v>
          </cell>
          <cell r="AI11">
            <v>2.9</v>
          </cell>
          <cell r="AJ11">
            <v>0.94</v>
          </cell>
          <cell r="AK11">
            <v>0.67</v>
          </cell>
          <cell r="AL11">
            <v>0</v>
          </cell>
          <cell r="AM11">
            <v>1.6099999999999999</v>
          </cell>
          <cell r="AN11">
            <v>2.96</v>
          </cell>
          <cell r="AO11">
            <v>2.4900000000000002</v>
          </cell>
          <cell r="AP11">
            <v>0</v>
          </cell>
          <cell r="AQ11">
            <v>5.45</v>
          </cell>
          <cell r="AR11">
            <v>1.97</v>
          </cell>
          <cell r="AS11">
            <v>2.2000000000000002</v>
          </cell>
          <cell r="AT11">
            <v>0</v>
          </cell>
          <cell r="AU11">
            <v>4.17</v>
          </cell>
          <cell r="AV11">
            <v>4.0999999999999996</v>
          </cell>
          <cell r="AW11">
            <v>0</v>
          </cell>
          <cell r="AX11">
            <v>0</v>
          </cell>
          <cell r="AY11">
            <v>4.0999999999999996</v>
          </cell>
          <cell r="AZ11">
            <v>12.16</v>
          </cell>
          <cell r="BA11">
            <v>3.38</v>
          </cell>
          <cell r="BB11">
            <v>0</v>
          </cell>
          <cell r="BC11">
            <v>15.54</v>
          </cell>
          <cell r="BD11">
            <v>2.2400000000000002</v>
          </cell>
          <cell r="BE11">
            <v>0</v>
          </cell>
          <cell r="BF11">
            <v>0</v>
          </cell>
          <cell r="BG11">
            <v>2.2400000000000002</v>
          </cell>
        </row>
        <row r="12">
          <cell r="A12">
            <v>31</v>
          </cell>
          <cell r="B12">
            <v>34.08</v>
          </cell>
          <cell r="C12">
            <v>12</v>
          </cell>
          <cell r="D12">
            <v>14.02</v>
          </cell>
          <cell r="E12">
            <v>0</v>
          </cell>
          <cell r="F12">
            <v>0</v>
          </cell>
          <cell r="G12">
            <v>14.02</v>
          </cell>
          <cell r="I12">
            <v>11</v>
          </cell>
          <cell r="J12">
            <v>1.2745454545454544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0.95</v>
          </cell>
          <cell r="Q12">
            <v>0</v>
          </cell>
          <cell r="R12">
            <v>0</v>
          </cell>
          <cell r="S12">
            <v>0.95</v>
          </cell>
          <cell r="T12">
            <v>0.81</v>
          </cell>
          <cell r="U12">
            <v>0.81</v>
          </cell>
          <cell r="V12">
            <v>0</v>
          </cell>
          <cell r="W12">
            <v>1.62</v>
          </cell>
          <cell r="X12">
            <v>1.5329999999999999</v>
          </cell>
          <cell r="Y12">
            <v>0</v>
          </cell>
          <cell r="Z12">
            <v>0</v>
          </cell>
          <cell r="AA12">
            <v>1.5329999999999999</v>
          </cell>
          <cell r="AB12">
            <v>1.1499999999999999</v>
          </cell>
          <cell r="AC12">
            <v>1.56</v>
          </cell>
          <cell r="AD12">
            <v>0</v>
          </cell>
          <cell r="AE12">
            <v>2.71</v>
          </cell>
          <cell r="AF12">
            <v>1.04</v>
          </cell>
          <cell r="AG12">
            <v>0.84</v>
          </cell>
          <cell r="AH12">
            <v>0</v>
          </cell>
          <cell r="AI12">
            <v>1.88</v>
          </cell>
          <cell r="AJ12">
            <v>1.3</v>
          </cell>
          <cell r="AK12">
            <v>1.47</v>
          </cell>
          <cell r="AL12">
            <v>0</v>
          </cell>
          <cell r="AM12">
            <v>2.77</v>
          </cell>
          <cell r="AN12">
            <v>3.75</v>
          </cell>
          <cell r="AO12">
            <v>4.79</v>
          </cell>
          <cell r="AP12">
            <v>0</v>
          </cell>
          <cell r="AQ12">
            <v>8.5399999999999991</v>
          </cell>
          <cell r="AR12">
            <v>3.55</v>
          </cell>
          <cell r="AS12">
            <v>2.21</v>
          </cell>
          <cell r="AT12">
            <v>0</v>
          </cell>
          <cell r="AU12">
            <v>5.76</v>
          </cell>
          <cell r="AV12">
            <v>6.39</v>
          </cell>
          <cell r="AW12">
            <v>1.33</v>
          </cell>
          <cell r="AX12">
            <v>0</v>
          </cell>
          <cell r="AY12">
            <v>7.72</v>
          </cell>
          <cell r="AZ12">
            <v>11.64</v>
          </cell>
          <cell r="BA12">
            <v>2.88</v>
          </cell>
          <cell r="BB12">
            <v>0</v>
          </cell>
          <cell r="BC12">
            <v>14.52</v>
          </cell>
          <cell r="BD12">
            <v>3.33</v>
          </cell>
          <cell r="BE12">
            <v>0</v>
          </cell>
          <cell r="BF12">
            <v>0</v>
          </cell>
          <cell r="BG12">
            <v>3.33</v>
          </cell>
        </row>
        <row r="13">
          <cell r="A13">
            <v>33</v>
          </cell>
          <cell r="B13">
            <v>28.72</v>
          </cell>
          <cell r="C13">
            <v>43</v>
          </cell>
          <cell r="D13">
            <v>24.580000000000002</v>
          </cell>
          <cell r="E13">
            <v>25.439999999999998</v>
          </cell>
          <cell r="F13">
            <v>0</v>
          </cell>
          <cell r="G13">
            <v>50.019999999999996</v>
          </cell>
          <cell r="I13">
            <v>42</v>
          </cell>
          <cell r="J13">
            <v>1.1909523809523808</v>
          </cell>
          <cell r="L13">
            <v>11.13</v>
          </cell>
          <cell r="M13">
            <v>9.5299999999999994</v>
          </cell>
          <cell r="N13">
            <v>0</v>
          </cell>
          <cell r="O13">
            <v>20.66</v>
          </cell>
          <cell r="P13">
            <v>8.89</v>
          </cell>
          <cell r="Q13">
            <v>6.29</v>
          </cell>
          <cell r="R13">
            <v>0</v>
          </cell>
          <cell r="S13">
            <v>15.18</v>
          </cell>
          <cell r="T13">
            <v>9.2100000000000009</v>
          </cell>
          <cell r="U13">
            <v>4.18</v>
          </cell>
          <cell r="V13">
            <v>0</v>
          </cell>
          <cell r="W13">
            <v>13.39</v>
          </cell>
          <cell r="X13">
            <v>12.96</v>
          </cell>
          <cell r="Y13">
            <v>10.77</v>
          </cell>
          <cell r="Z13">
            <v>0</v>
          </cell>
          <cell r="AA13">
            <v>23.73</v>
          </cell>
          <cell r="AB13">
            <v>16.489999999999998</v>
          </cell>
          <cell r="AC13">
            <v>9.48</v>
          </cell>
          <cell r="AD13">
            <v>0</v>
          </cell>
          <cell r="AE13">
            <v>25.97</v>
          </cell>
          <cell r="AF13">
            <v>21.71</v>
          </cell>
          <cell r="AG13">
            <v>8.4600000000000009</v>
          </cell>
          <cell r="AH13">
            <v>0</v>
          </cell>
          <cell r="AI13">
            <v>30.17</v>
          </cell>
          <cell r="AJ13">
            <v>4.7300000000000004</v>
          </cell>
          <cell r="AK13">
            <v>14.86</v>
          </cell>
          <cell r="AL13">
            <v>4.1900000000000004</v>
          </cell>
          <cell r="AM13">
            <v>23.78</v>
          </cell>
          <cell r="AN13">
            <v>14.31</v>
          </cell>
          <cell r="AO13">
            <v>23.55</v>
          </cell>
          <cell r="AP13">
            <v>0</v>
          </cell>
          <cell r="AQ13">
            <v>37.86</v>
          </cell>
          <cell r="AR13">
            <v>21.87</v>
          </cell>
          <cell r="AS13">
            <v>23.98</v>
          </cell>
          <cell r="AT13">
            <v>0</v>
          </cell>
          <cell r="AU13">
            <v>45.85</v>
          </cell>
          <cell r="AV13">
            <v>29.02</v>
          </cell>
          <cell r="AW13">
            <v>18.73</v>
          </cell>
          <cell r="AX13">
            <v>0</v>
          </cell>
          <cell r="AY13">
            <v>47.75</v>
          </cell>
          <cell r="AZ13">
            <v>26.46</v>
          </cell>
          <cell r="BA13">
            <v>17.61</v>
          </cell>
          <cell r="BB13">
            <v>0</v>
          </cell>
          <cell r="BC13">
            <v>44.07</v>
          </cell>
          <cell r="BD13">
            <v>20.59</v>
          </cell>
          <cell r="BE13">
            <v>10.199999999999999</v>
          </cell>
          <cell r="BF13">
            <v>0</v>
          </cell>
          <cell r="BG13">
            <v>30.79</v>
          </cell>
        </row>
        <row r="14">
          <cell r="A14">
            <v>39</v>
          </cell>
          <cell r="B14">
            <v>4.5</v>
          </cell>
          <cell r="C14">
            <v>3</v>
          </cell>
          <cell r="D14">
            <v>2.39</v>
          </cell>
          <cell r="E14">
            <v>0</v>
          </cell>
          <cell r="F14">
            <v>0</v>
          </cell>
          <cell r="G14">
            <v>2.39</v>
          </cell>
          <cell r="I14">
            <v>7</v>
          </cell>
          <cell r="J14">
            <v>0.34142857142857147</v>
          </cell>
          <cell r="L14">
            <v>1.79</v>
          </cell>
          <cell r="M14">
            <v>1.18</v>
          </cell>
          <cell r="N14">
            <v>0</v>
          </cell>
          <cell r="O14">
            <v>2.9699999999999998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1.79</v>
          </cell>
          <cell r="U14">
            <v>0.42</v>
          </cell>
          <cell r="V14">
            <v>0</v>
          </cell>
          <cell r="W14">
            <v>2.21</v>
          </cell>
          <cell r="X14">
            <v>1.5</v>
          </cell>
          <cell r="Y14">
            <v>0</v>
          </cell>
          <cell r="Z14">
            <v>0</v>
          </cell>
          <cell r="AA14">
            <v>1.5</v>
          </cell>
          <cell r="AB14">
            <v>1.0900000000000001</v>
          </cell>
          <cell r="AC14">
            <v>0.99</v>
          </cell>
          <cell r="AD14">
            <v>0</v>
          </cell>
          <cell r="AE14">
            <v>2.08</v>
          </cell>
          <cell r="AF14">
            <v>1.02</v>
          </cell>
          <cell r="AG14">
            <v>1.02</v>
          </cell>
          <cell r="AH14">
            <v>0</v>
          </cell>
          <cell r="AI14">
            <v>2.04</v>
          </cell>
          <cell r="AJ14">
            <v>1</v>
          </cell>
          <cell r="AK14">
            <v>0.9</v>
          </cell>
          <cell r="AL14">
            <v>0</v>
          </cell>
          <cell r="AM14">
            <v>1.9</v>
          </cell>
          <cell r="AN14">
            <v>1.19</v>
          </cell>
          <cell r="AO14">
            <v>2.21</v>
          </cell>
          <cell r="AP14">
            <v>0</v>
          </cell>
          <cell r="AQ14">
            <v>3.4</v>
          </cell>
          <cell r="AR14">
            <v>2.21</v>
          </cell>
          <cell r="AS14">
            <v>2.48</v>
          </cell>
          <cell r="AT14">
            <v>0</v>
          </cell>
          <cell r="AU14">
            <v>4.6899999999999995</v>
          </cell>
          <cell r="AV14">
            <v>1.93</v>
          </cell>
          <cell r="AW14">
            <v>0</v>
          </cell>
          <cell r="AX14">
            <v>0</v>
          </cell>
          <cell r="AY14">
            <v>1.93</v>
          </cell>
          <cell r="AZ14">
            <v>2.4700000000000002</v>
          </cell>
          <cell r="BA14">
            <v>1.84</v>
          </cell>
          <cell r="BB14">
            <v>0</v>
          </cell>
          <cell r="BC14">
            <v>4.3100000000000005</v>
          </cell>
          <cell r="BD14">
            <v>1.19</v>
          </cell>
          <cell r="BE14">
            <v>2.02</v>
          </cell>
          <cell r="BF14">
            <v>0</v>
          </cell>
          <cell r="BG14">
            <v>3.21</v>
          </cell>
        </row>
      </sheetData>
      <sheetData sheetId="10" refreshError="1"/>
      <sheetData sheetId="11">
        <row r="5">
          <cell r="C5">
            <v>3</v>
          </cell>
          <cell r="D5">
            <v>69.2</v>
          </cell>
          <cell r="E5">
            <v>1</v>
          </cell>
          <cell r="F5">
            <v>2</v>
          </cell>
          <cell r="G5">
            <v>3</v>
          </cell>
          <cell r="H5">
            <v>4</v>
          </cell>
          <cell r="I5">
            <v>5</v>
          </cell>
          <cell r="J5">
            <v>6</v>
          </cell>
          <cell r="K5">
            <v>7</v>
          </cell>
          <cell r="L5">
            <v>8</v>
          </cell>
          <cell r="M5">
            <v>9</v>
          </cell>
          <cell r="N5">
            <v>10</v>
          </cell>
          <cell r="O5">
            <v>11</v>
          </cell>
          <cell r="P5">
            <v>12</v>
          </cell>
          <cell r="Q5">
            <v>13</v>
          </cell>
          <cell r="R5">
            <v>14</v>
          </cell>
          <cell r="S5">
            <v>15</v>
          </cell>
          <cell r="T5">
            <v>16</v>
          </cell>
          <cell r="U5">
            <v>17</v>
          </cell>
          <cell r="V5">
            <v>18</v>
          </cell>
          <cell r="W5">
            <v>19</v>
          </cell>
          <cell r="X5">
            <v>1</v>
          </cell>
          <cell r="Y5">
            <v>2</v>
          </cell>
          <cell r="Z5">
            <v>3</v>
          </cell>
          <cell r="AA5">
            <v>4</v>
          </cell>
          <cell r="AB5">
            <v>5</v>
          </cell>
          <cell r="AC5">
            <v>6</v>
          </cell>
          <cell r="AD5">
            <v>7</v>
          </cell>
          <cell r="AE5">
            <v>8</v>
          </cell>
          <cell r="AF5">
            <v>9</v>
          </cell>
          <cell r="AG5">
            <v>10</v>
          </cell>
          <cell r="AH5">
            <v>11</v>
          </cell>
          <cell r="AI5">
            <v>12</v>
          </cell>
          <cell r="AJ5">
            <v>108</v>
          </cell>
          <cell r="AK5">
            <v>111.05</v>
          </cell>
          <cell r="AO5" t="str">
            <v>0</v>
          </cell>
          <cell r="AP5">
            <v>0</v>
          </cell>
          <cell r="AQ5">
            <v>40.630000000000003</v>
          </cell>
          <cell r="AU5" t="str">
            <v>0</v>
          </cell>
          <cell r="AV5">
            <v>0</v>
          </cell>
          <cell r="BA5" t="str">
            <v>0</v>
          </cell>
          <cell r="BB5">
            <v>0</v>
          </cell>
          <cell r="BE5">
            <v>151.68</v>
          </cell>
          <cell r="BF5">
            <v>0</v>
          </cell>
          <cell r="BG5">
            <v>3</v>
          </cell>
        </row>
        <row r="6">
          <cell r="E6">
            <v>9</v>
          </cell>
          <cell r="F6">
            <v>8</v>
          </cell>
          <cell r="H6">
            <v>10</v>
          </cell>
          <cell r="I6">
            <v>9</v>
          </cell>
          <cell r="J6">
            <v>9</v>
          </cell>
          <cell r="K6">
            <v>8</v>
          </cell>
          <cell r="L6">
            <v>10</v>
          </cell>
          <cell r="X6">
            <v>10</v>
          </cell>
          <cell r="Y6">
            <v>10</v>
          </cell>
          <cell r="Z6">
            <v>10</v>
          </cell>
          <cell r="AA6">
            <v>10</v>
          </cell>
          <cell r="AB6">
            <v>5</v>
          </cell>
        </row>
        <row r="7">
          <cell r="C7">
            <v>1</v>
          </cell>
          <cell r="D7">
            <v>53.2</v>
          </cell>
          <cell r="E7">
            <v>8</v>
          </cell>
          <cell r="F7">
            <v>9</v>
          </cell>
          <cell r="G7">
            <v>10</v>
          </cell>
          <cell r="H7">
            <v>11</v>
          </cell>
          <cell r="I7">
            <v>12</v>
          </cell>
          <cell r="J7">
            <v>13</v>
          </cell>
          <cell r="K7">
            <v>14</v>
          </cell>
          <cell r="L7">
            <v>15</v>
          </cell>
          <cell r="M7">
            <v>16</v>
          </cell>
          <cell r="N7">
            <v>17</v>
          </cell>
          <cell r="O7">
            <v>18</v>
          </cell>
          <cell r="P7">
            <v>19</v>
          </cell>
          <cell r="Q7">
            <v>1</v>
          </cell>
          <cell r="R7">
            <v>2</v>
          </cell>
          <cell r="S7">
            <v>3</v>
          </cell>
          <cell r="T7">
            <v>4</v>
          </cell>
          <cell r="U7">
            <v>5</v>
          </cell>
          <cell r="V7">
            <v>6</v>
          </cell>
          <cell r="W7">
            <v>7</v>
          </cell>
          <cell r="X7">
            <v>8</v>
          </cell>
          <cell r="Y7">
            <v>9</v>
          </cell>
          <cell r="Z7">
            <v>10</v>
          </cell>
          <cell r="AA7">
            <v>11</v>
          </cell>
          <cell r="AB7">
            <v>12</v>
          </cell>
          <cell r="AC7">
            <v>13</v>
          </cell>
          <cell r="AD7">
            <v>14</v>
          </cell>
          <cell r="AE7">
            <v>15</v>
          </cell>
          <cell r="AF7">
            <v>16</v>
          </cell>
          <cell r="AG7">
            <v>1</v>
          </cell>
          <cell r="AH7">
            <v>2</v>
          </cell>
          <cell r="AI7">
            <v>3</v>
          </cell>
          <cell r="AJ7">
            <v>80</v>
          </cell>
          <cell r="AK7">
            <v>65.929999999999993</v>
          </cell>
          <cell r="AO7" t="str">
            <v>0</v>
          </cell>
          <cell r="AP7">
            <v>0</v>
          </cell>
          <cell r="AQ7">
            <v>16.14</v>
          </cell>
          <cell r="AU7" t="str">
            <v>0</v>
          </cell>
          <cell r="AV7">
            <v>0</v>
          </cell>
          <cell r="BA7" t="str">
            <v>0</v>
          </cell>
          <cell r="BB7">
            <v>0</v>
          </cell>
          <cell r="BE7">
            <v>82.07</v>
          </cell>
          <cell r="BF7">
            <v>0</v>
          </cell>
          <cell r="BG7">
            <v>1</v>
          </cell>
        </row>
        <row r="8">
          <cell r="Q8">
            <v>10</v>
          </cell>
          <cell r="S8">
            <v>10</v>
          </cell>
          <cell r="T8">
            <v>10</v>
          </cell>
          <cell r="U8">
            <v>10</v>
          </cell>
          <cell r="V8">
            <v>10</v>
          </cell>
          <cell r="W8">
            <v>10</v>
          </cell>
          <cell r="AG8">
            <v>10</v>
          </cell>
          <cell r="AH8">
            <v>10</v>
          </cell>
        </row>
        <row r="9">
          <cell r="C9">
            <v>14</v>
          </cell>
          <cell r="D9">
            <v>41.6</v>
          </cell>
          <cell r="E9">
            <v>17</v>
          </cell>
          <cell r="F9">
            <v>18</v>
          </cell>
          <cell r="G9">
            <v>19</v>
          </cell>
          <cell r="H9">
            <v>20</v>
          </cell>
          <cell r="I9">
            <v>21</v>
          </cell>
          <cell r="J9">
            <v>22</v>
          </cell>
          <cell r="K9">
            <v>23</v>
          </cell>
          <cell r="L9">
            <v>24</v>
          </cell>
          <cell r="M9">
            <v>1</v>
          </cell>
          <cell r="N9">
            <v>2</v>
          </cell>
          <cell r="O9">
            <v>3</v>
          </cell>
          <cell r="P9">
            <v>4</v>
          </cell>
          <cell r="Q9">
            <v>5</v>
          </cell>
          <cell r="R9">
            <v>6</v>
          </cell>
          <cell r="S9">
            <v>7</v>
          </cell>
          <cell r="T9">
            <v>8</v>
          </cell>
          <cell r="U9">
            <v>9</v>
          </cell>
          <cell r="V9">
            <v>10</v>
          </cell>
          <cell r="W9">
            <v>11</v>
          </cell>
          <cell r="X9">
            <v>12</v>
          </cell>
          <cell r="Y9">
            <v>13</v>
          </cell>
          <cell r="Z9">
            <v>14</v>
          </cell>
          <cell r="AA9">
            <v>15</v>
          </cell>
          <cell r="AB9">
            <v>1</v>
          </cell>
          <cell r="AC9">
            <v>2</v>
          </cell>
          <cell r="AD9">
            <v>3</v>
          </cell>
          <cell r="AE9">
            <v>4</v>
          </cell>
          <cell r="AF9">
            <v>5</v>
          </cell>
          <cell r="AG9">
            <v>6</v>
          </cell>
          <cell r="AH9">
            <v>7</v>
          </cell>
          <cell r="AI9">
            <v>8</v>
          </cell>
          <cell r="AJ9">
            <v>64</v>
          </cell>
          <cell r="AK9">
            <v>59.760000000000005</v>
          </cell>
          <cell r="AO9" t="str">
            <v>0</v>
          </cell>
          <cell r="AP9">
            <v>0</v>
          </cell>
          <cell r="AQ9">
            <v>34.15</v>
          </cell>
          <cell r="AU9" t="str">
            <v>0</v>
          </cell>
          <cell r="AV9">
            <v>0</v>
          </cell>
          <cell r="BA9" t="str">
            <v>0</v>
          </cell>
          <cell r="BB9">
            <v>0</v>
          </cell>
          <cell r="BE9">
            <v>93.91</v>
          </cell>
          <cell r="BF9">
            <v>0</v>
          </cell>
          <cell r="BG9">
            <v>14</v>
          </cell>
        </row>
        <row r="10">
          <cell r="M10">
            <v>9</v>
          </cell>
          <cell r="N10">
            <v>10</v>
          </cell>
          <cell r="O10">
            <v>10</v>
          </cell>
          <cell r="P10">
            <v>10</v>
          </cell>
          <cell r="AB10">
            <v>5</v>
          </cell>
          <cell r="AE10">
            <v>10</v>
          </cell>
          <cell r="AF10">
            <v>10</v>
          </cell>
        </row>
        <row r="11">
          <cell r="C11">
            <v>4</v>
          </cell>
          <cell r="D11">
            <v>70.599999999999994</v>
          </cell>
          <cell r="E11">
            <v>7</v>
          </cell>
          <cell r="F11">
            <v>8</v>
          </cell>
          <cell r="G11">
            <v>9</v>
          </cell>
          <cell r="H11">
            <v>10</v>
          </cell>
          <cell r="I11">
            <v>11</v>
          </cell>
          <cell r="J11">
            <v>12</v>
          </cell>
          <cell r="K11">
            <v>13</v>
          </cell>
          <cell r="L11">
            <v>14</v>
          </cell>
          <cell r="M11">
            <v>15</v>
          </cell>
          <cell r="N11">
            <v>16</v>
          </cell>
          <cell r="O11">
            <v>1</v>
          </cell>
          <cell r="P11">
            <v>2</v>
          </cell>
          <cell r="Q11">
            <v>3</v>
          </cell>
          <cell r="R11">
            <v>4</v>
          </cell>
          <cell r="S11">
            <v>5</v>
          </cell>
          <cell r="T11">
            <v>6</v>
          </cell>
          <cell r="U11">
            <v>7</v>
          </cell>
          <cell r="V11">
            <v>8</v>
          </cell>
          <cell r="W11">
            <v>9</v>
          </cell>
          <cell r="X11">
            <v>10</v>
          </cell>
          <cell r="Y11">
            <v>11</v>
          </cell>
          <cell r="Z11">
            <v>12</v>
          </cell>
          <cell r="AA11">
            <v>13</v>
          </cell>
          <cell r="AB11">
            <v>14</v>
          </cell>
          <cell r="AC11">
            <v>15</v>
          </cell>
          <cell r="AD11">
            <v>16</v>
          </cell>
          <cell r="AE11">
            <v>17</v>
          </cell>
          <cell r="AF11">
            <v>18</v>
          </cell>
          <cell r="AG11">
            <v>19</v>
          </cell>
          <cell r="AH11">
            <v>20</v>
          </cell>
          <cell r="AI11">
            <v>1</v>
          </cell>
          <cell r="AJ11">
            <v>70</v>
          </cell>
          <cell r="AK11">
            <v>70.53</v>
          </cell>
          <cell r="AO11" t="str">
            <v>0</v>
          </cell>
          <cell r="AP11">
            <v>0</v>
          </cell>
          <cell r="AU11" t="str">
            <v>0</v>
          </cell>
          <cell r="AV11">
            <v>0</v>
          </cell>
          <cell r="BA11" t="str">
            <v>0</v>
          </cell>
          <cell r="BB11">
            <v>0</v>
          </cell>
          <cell r="BE11">
            <v>70.53</v>
          </cell>
          <cell r="BF11">
            <v>0</v>
          </cell>
          <cell r="BG11">
            <v>4</v>
          </cell>
        </row>
        <row r="12">
          <cell r="O12">
            <v>10</v>
          </cell>
          <cell r="P12">
            <v>11</v>
          </cell>
          <cell r="Q12">
            <v>11</v>
          </cell>
          <cell r="S12">
            <v>11</v>
          </cell>
          <cell r="T12">
            <v>11</v>
          </cell>
          <cell r="U12">
            <v>5</v>
          </cell>
          <cell r="AI12">
            <v>11</v>
          </cell>
        </row>
        <row r="13">
          <cell r="C13">
            <v>5</v>
          </cell>
          <cell r="D13">
            <v>54.3</v>
          </cell>
          <cell r="E13">
            <v>10</v>
          </cell>
          <cell r="F13">
            <v>11</v>
          </cell>
          <cell r="G13">
            <v>12</v>
          </cell>
          <cell r="H13">
            <v>13</v>
          </cell>
          <cell r="I13">
            <v>14</v>
          </cell>
          <cell r="J13">
            <v>15</v>
          </cell>
          <cell r="K13">
            <v>1</v>
          </cell>
          <cell r="L13">
            <v>2</v>
          </cell>
          <cell r="M13">
            <v>3</v>
          </cell>
          <cell r="N13">
            <v>4</v>
          </cell>
          <cell r="O13">
            <v>5</v>
          </cell>
          <cell r="P13">
            <v>6</v>
          </cell>
          <cell r="Q13">
            <v>7</v>
          </cell>
          <cell r="R13">
            <v>8</v>
          </cell>
          <cell r="S13">
            <v>9</v>
          </cell>
          <cell r="T13">
            <v>10</v>
          </cell>
          <cell r="U13">
            <v>11</v>
          </cell>
          <cell r="V13">
            <v>12</v>
          </cell>
          <cell r="W13">
            <v>13</v>
          </cell>
          <cell r="X13">
            <v>14</v>
          </cell>
          <cell r="Y13">
            <v>15</v>
          </cell>
          <cell r="Z13">
            <v>16</v>
          </cell>
          <cell r="AA13">
            <v>17</v>
          </cell>
          <cell r="AB13">
            <v>18</v>
          </cell>
          <cell r="AC13">
            <v>19</v>
          </cell>
          <cell r="AD13">
            <v>20</v>
          </cell>
          <cell r="AE13">
            <v>21</v>
          </cell>
          <cell r="AF13">
            <v>1</v>
          </cell>
          <cell r="AG13">
            <v>2</v>
          </cell>
          <cell r="AH13">
            <v>3</v>
          </cell>
          <cell r="AI13">
            <v>4</v>
          </cell>
          <cell r="AJ13">
            <v>56</v>
          </cell>
          <cell r="AK13">
            <v>37.130000000000003</v>
          </cell>
          <cell r="AO13" t="str">
            <v>0</v>
          </cell>
          <cell r="AP13">
            <v>0</v>
          </cell>
          <cell r="AQ13">
            <v>39.159999999999997</v>
          </cell>
          <cell r="AU13" t="str">
            <v>0</v>
          </cell>
          <cell r="AV13">
            <v>0</v>
          </cell>
          <cell r="BA13" t="str">
            <v>0</v>
          </cell>
          <cell r="BB13">
            <v>0</v>
          </cell>
          <cell r="BE13">
            <v>76.289999999999992</v>
          </cell>
          <cell r="BF13">
            <v>0</v>
          </cell>
          <cell r="BG13">
            <v>5</v>
          </cell>
        </row>
        <row r="14">
          <cell r="K14">
            <v>11</v>
          </cell>
          <cell r="L14">
            <v>9</v>
          </cell>
          <cell r="M14">
            <v>10</v>
          </cell>
          <cell r="AF14">
            <v>5</v>
          </cell>
          <cell r="AG14">
            <v>10</v>
          </cell>
          <cell r="AH14">
            <v>11</v>
          </cell>
        </row>
        <row r="15">
          <cell r="C15">
            <v>6</v>
          </cell>
          <cell r="D15">
            <v>58.6</v>
          </cell>
          <cell r="E15">
            <v>14</v>
          </cell>
          <cell r="F15">
            <v>15</v>
          </cell>
          <cell r="G15">
            <v>16</v>
          </cell>
          <cell r="H15">
            <v>1</v>
          </cell>
          <cell r="I15">
            <v>2</v>
          </cell>
          <cell r="J15">
            <v>3</v>
          </cell>
          <cell r="K15">
            <v>4</v>
          </cell>
          <cell r="L15">
            <v>5</v>
          </cell>
          <cell r="M15">
            <v>6</v>
          </cell>
          <cell r="N15">
            <v>7</v>
          </cell>
          <cell r="O15">
            <v>8</v>
          </cell>
          <cell r="P15">
            <v>9</v>
          </cell>
          <cell r="Q15">
            <v>10</v>
          </cell>
          <cell r="R15">
            <v>11</v>
          </cell>
          <cell r="S15">
            <v>12</v>
          </cell>
          <cell r="T15">
            <v>13</v>
          </cell>
          <cell r="U15">
            <v>14</v>
          </cell>
          <cell r="V15">
            <v>15</v>
          </cell>
          <cell r="W15">
            <v>16</v>
          </cell>
          <cell r="X15">
            <v>17</v>
          </cell>
          <cell r="Y15">
            <v>18</v>
          </cell>
          <cell r="Z15">
            <v>19</v>
          </cell>
          <cell r="AA15">
            <v>1</v>
          </cell>
          <cell r="AB15">
            <v>2</v>
          </cell>
          <cell r="AC15">
            <v>3</v>
          </cell>
          <cell r="AD15">
            <v>4</v>
          </cell>
          <cell r="AE15">
            <v>5</v>
          </cell>
          <cell r="AF15">
            <v>6</v>
          </cell>
          <cell r="AG15">
            <v>7</v>
          </cell>
          <cell r="AH15">
            <v>8</v>
          </cell>
          <cell r="AI15">
            <v>9</v>
          </cell>
          <cell r="AJ15">
            <v>62</v>
          </cell>
          <cell r="AK15">
            <v>44.18</v>
          </cell>
          <cell r="AO15" t="str">
            <v>0</v>
          </cell>
          <cell r="AP15">
            <v>0</v>
          </cell>
          <cell r="AQ15">
            <v>63.39</v>
          </cell>
          <cell r="AU15" t="str">
            <v>0</v>
          </cell>
          <cell r="AV15">
            <v>0</v>
          </cell>
          <cell r="BA15" t="str">
            <v>0</v>
          </cell>
          <cell r="BB15">
            <v>0</v>
          </cell>
          <cell r="BE15">
            <v>107.57</v>
          </cell>
          <cell r="BF15">
            <v>0</v>
          </cell>
          <cell r="BG15">
            <v>6</v>
          </cell>
        </row>
        <row r="16">
          <cell r="H16">
            <v>7</v>
          </cell>
          <cell r="I16">
            <v>10</v>
          </cell>
          <cell r="J16">
            <v>11</v>
          </cell>
          <cell r="AA16">
            <v>9</v>
          </cell>
          <cell r="AB16">
            <v>9</v>
          </cell>
          <cell r="AE16">
            <v>11</v>
          </cell>
          <cell r="AF16">
            <v>5</v>
          </cell>
        </row>
        <row r="17">
          <cell r="C17">
            <v>7</v>
          </cell>
          <cell r="D17">
            <v>23.6</v>
          </cell>
          <cell r="E17">
            <v>8</v>
          </cell>
          <cell r="F17">
            <v>9</v>
          </cell>
          <cell r="G17">
            <v>10</v>
          </cell>
          <cell r="H17">
            <v>11</v>
          </cell>
          <cell r="I17">
            <v>12</v>
          </cell>
          <cell r="J17">
            <v>13</v>
          </cell>
          <cell r="K17">
            <v>14</v>
          </cell>
          <cell r="L17">
            <v>15</v>
          </cell>
          <cell r="M17">
            <v>16</v>
          </cell>
          <cell r="N17">
            <v>1</v>
          </cell>
          <cell r="O17">
            <v>2</v>
          </cell>
          <cell r="P17">
            <v>3</v>
          </cell>
          <cell r="Q17">
            <v>4</v>
          </cell>
          <cell r="R17">
            <v>5</v>
          </cell>
          <cell r="S17">
            <v>6</v>
          </cell>
          <cell r="T17">
            <v>7</v>
          </cell>
          <cell r="U17">
            <v>8</v>
          </cell>
          <cell r="V17">
            <v>9</v>
          </cell>
          <cell r="W17">
            <v>10</v>
          </cell>
          <cell r="X17">
            <v>11</v>
          </cell>
          <cell r="Y17">
            <v>12</v>
          </cell>
          <cell r="Z17">
            <v>13</v>
          </cell>
          <cell r="AA17">
            <v>14</v>
          </cell>
          <cell r="AB17">
            <v>15</v>
          </cell>
          <cell r="AC17">
            <v>16</v>
          </cell>
          <cell r="AD17">
            <v>17</v>
          </cell>
          <cell r="AE17">
            <v>18</v>
          </cell>
          <cell r="AF17">
            <v>19</v>
          </cell>
          <cell r="AG17">
            <v>1</v>
          </cell>
          <cell r="AH17">
            <v>2</v>
          </cell>
          <cell r="AI17">
            <v>3</v>
          </cell>
          <cell r="AJ17">
            <v>28</v>
          </cell>
          <cell r="AK17">
            <v>25.65</v>
          </cell>
          <cell r="AO17" t="str">
            <v>0</v>
          </cell>
          <cell r="AP17">
            <v>0</v>
          </cell>
          <cell r="AQ17">
            <v>19.72</v>
          </cell>
          <cell r="AU17" t="str">
            <v>0</v>
          </cell>
          <cell r="AV17">
            <v>0</v>
          </cell>
          <cell r="BA17" t="str">
            <v>0</v>
          </cell>
          <cell r="BB17">
            <v>0</v>
          </cell>
          <cell r="BE17">
            <v>45.37</v>
          </cell>
          <cell r="BF17">
            <v>0</v>
          </cell>
          <cell r="BG17">
            <v>7</v>
          </cell>
        </row>
        <row r="18">
          <cell r="N18">
            <v>10</v>
          </cell>
          <cell r="AG18">
            <v>18</v>
          </cell>
        </row>
        <row r="19">
          <cell r="C19">
            <v>23</v>
          </cell>
          <cell r="D19">
            <v>14.6</v>
          </cell>
          <cell r="E19">
            <v>4</v>
          </cell>
          <cell r="F19">
            <v>5</v>
          </cell>
          <cell r="G19">
            <v>6</v>
          </cell>
          <cell r="H19">
            <v>1</v>
          </cell>
          <cell r="I19">
            <v>2</v>
          </cell>
          <cell r="J19">
            <v>3</v>
          </cell>
          <cell r="K19">
            <v>4</v>
          </cell>
          <cell r="L19">
            <v>5</v>
          </cell>
          <cell r="M19">
            <v>6</v>
          </cell>
          <cell r="N19">
            <v>7</v>
          </cell>
          <cell r="O19">
            <v>8</v>
          </cell>
          <cell r="P19">
            <v>9</v>
          </cell>
          <cell r="Q19">
            <v>10</v>
          </cell>
          <cell r="R19">
            <v>11</v>
          </cell>
          <cell r="S19">
            <v>12</v>
          </cell>
          <cell r="T19">
            <v>13</v>
          </cell>
          <cell r="U19">
            <v>14</v>
          </cell>
          <cell r="V19">
            <v>15</v>
          </cell>
          <cell r="W19">
            <v>16</v>
          </cell>
          <cell r="X19">
            <v>17</v>
          </cell>
          <cell r="Y19">
            <v>18</v>
          </cell>
          <cell r="Z19">
            <v>1</v>
          </cell>
          <cell r="AA19">
            <v>2</v>
          </cell>
          <cell r="AB19">
            <v>3</v>
          </cell>
          <cell r="AC19">
            <v>4</v>
          </cell>
          <cell r="AD19">
            <v>5</v>
          </cell>
          <cell r="AE19">
            <v>6</v>
          </cell>
          <cell r="AF19">
            <v>7</v>
          </cell>
          <cell r="AG19">
            <v>8</v>
          </cell>
          <cell r="AH19">
            <v>9</v>
          </cell>
          <cell r="AI19">
            <v>10</v>
          </cell>
          <cell r="AJ19">
            <v>15</v>
          </cell>
          <cell r="AK19">
            <v>4</v>
          </cell>
          <cell r="AO19" t="str">
            <v>0</v>
          </cell>
          <cell r="AP19">
            <v>0</v>
          </cell>
          <cell r="AQ19">
            <v>17.66</v>
          </cell>
          <cell r="AU19" t="str">
            <v>0</v>
          </cell>
          <cell r="AV19">
            <v>0</v>
          </cell>
          <cell r="BA19" t="str">
            <v>0</v>
          </cell>
          <cell r="BB19">
            <v>0</v>
          </cell>
          <cell r="BE19">
            <v>21.66</v>
          </cell>
          <cell r="BF19">
            <v>0</v>
          </cell>
          <cell r="BG19">
            <v>23</v>
          </cell>
        </row>
        <row r="20">
          <cell r="H20">
            <v>5</v>
          </cell>
          <cell r="Z20">
            <v>10</v>
          </cell>
        </row>
        <row r="21">
          <cell r="C21">
            <v>24</v>
          </cell>
          <cell r="D21">
            <v>44.7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  <cell r="S21">
            <v>17</v>
          </cell>
          <cell r="T21">
            <v>18</v>
          </cell>
          <cell r="U21">
            <v>1</v>
          </cell>
          <cell r="V21">
            <v>2</v>
          </cell>
          <cell r="W21">
            <v>3</v>
          </cell>
          <cell r="X21">
            <v>4</v>
          </cell>
          <cell r="Y21">
            <v>5</v>
          </cell>
          <cell r="Z21">
            <v>6</v>
          </cell>
          <cell r="AA21">
            <v>7</v>
          </cell>
          <cell r="AB21">
            <v>8</v>
          </cell>
          <cell r="AC21">
            <v>9</v>
          </cell>
          <cell r="AD21">
            <v>10</v>
          </cell>
          <cell r="AE21">
            <v>11</v>
          </cell>
          <cell r="AF21">
            <v>12</v>
          </cell>
          <cell r="AG21">
            <v>13</v>
          </cell>
          <cell r="AH21">
            <v>14</v>
          </cell>
          <cell r="AI21">
            <v>15</v>
          </cell>
          <cell r="AJ21">
            <v>69</v>
          </cell>
          <cell r="AK21">
            <v>29.610000000000003</v>
          </cell>
          <cell r="AO21" t="str">
            <v>0</v>
          </cell>
          <cell r="AP21">
            <v>0</v>
          </cell>
          <cell r="AQ21">
            <v>57.949999999999996</v>
          </cell>
          <cell r="AU21" t="str">
            <v>0</v>
          </cell>
          <cell r="AV21">
            <v>0</v>
          </cell>
          <cell r="BA21" t="str">
            <v>0</v>
          </cell>
          <cell r="BB21">
            <v>0</v>
          </cell>
          <cell r="BE21">
            <v>87.56</v>
          </cell>
          <cell r="BF21">
            <v>0</v>
          </cell>
          <cell r="BG21">
            <v>24</v>
          </cell>
        </row>
        <row r="22">
          <cell r="E22">
            <v>9</v>
          </cell>
          <cell r="F22">
            <v>11</v>
          </cell>
          <cell r="U22">
            <v>6</v>
          </cell>
          <cell r="V22">
            <v>10</v>
          </cell>
          <cell r="W22">
            <v>11</v>
          </cell>
          <cell r="X22">
            <v>11</v>
          </cell>
          <cell r="Y22">
            <v>11</v>
          </cell>
        </row>
        <row r="23">
          <cell r="C23">
            <v>2</v>
          </cell>
          <cell r="D23">
            <v>60.4</v>
          </cell>
          <cell r="E23">
            <v>13</v>
          </cell>
          <cell r="F23">
            <v>14</v>
          </cell>
          <cell r="G23">
            <v>15</v>
          </cell>
          <cell r="H23">
            <v>16</v>
          </cell>
          <cell r="I23">
            <v>17</v>
          </cell>
          <cell r="J23">
            <v>18</v>
          </cell>
          <cell r="K23">
            <v>19</v>
          </cell>
          <cell r="L23">
            <v>20</v>
          </cell>
          <cell r="M23">
            <v>21</v>
          </cell>
          <cell r="N23">
            <v>22</v>
          </cell>
          <cell r="O23">
            <v>23</v>
          </cell>
          <cell r="P23">
            <v>24</v>
          </cell>
          <cell r="Q23">
            <v>1</v>
          </cell>
          <cell r="R23">
            <v>2</v>
          </cell>
          <cell r="S23">
            <v>3</v>
          </cell>
          <cell r="T23">
            <v>4</v>
          </cell>
          <cell r="U23">
            <v>5</v>
          </cell>
          <cell r="V23">
            <v>6</v>
          </cell>
          <cell r="W23">
            <v>7</v>
          </cell>
          <cell r="X23">
            <v>8</v>
          </cell>
          <cell r="Y23">
            <v>9</v>
          </cell>
          <cell r="Z23">
            <v>10</v>
          </cell>
          <cell r="AA23">
            <v>11</v>
          </cell>
          <cell r="AB23">
            <v>12</v>
          </cell>
          <cell r="AC23">
            <v>13</v>
          </cell>
          <cell r="AD23">
            <v>14</v>
          </cell>
          <cell r="AE23">
            <v>15</v>
          </cell>
          <cell r="AF23">
            <v>1</v>
          </cell>
          <cell r="AG23">
            <v>2</v>
          </cell>
          <cell r="AH23">
            <v>3</v>
          </cell>
          <cell r="AI23">
            <v>4</v>
          </cell>
          <cell r="AJ23">
            <v>52</v>
          </cell>
          <cell r="AK23">
            <v>62.25</v>
          </cell>
          <cell r="AO23" t="str">
            <v>0</v>
          </cell>
          <cell r="AP23">
            <v>0</v>
          </cell>
          <cell r="AQ23">
            <v>8.74</v>
          </cell>
          <cell r="AU23" t="str">
            <v>0</v>
          </cell>
          <cell r="AV23">
            <v>0</v>
          </cell>
          <cell r="BA23" t="str">
            <v>0</v>
          </cell>
          <cell r="BB23">
            <v>0</v>
          </cell>
          <cell r="BE23">
            <v>70.989999999999995</v>
          </cell>
          <cell r="BF23">
            <v>0</v>
          </cell>
          <cell r="BG23">
            <v>2</v>
          </cell>
        </row>
        <row r="24">
          <cell r="Q24">
            <v>4</v>
          </cell>
          <cell r="S24">
            <v>4</v>
          </cell>
          <cell r="T24">
            <v>4</v>
          </cell>
          <cell r="U24">
            <v>4</v>
          </cell>
          <cell r="V24">
            <v>4</v>
          </cell>
          <cell r="W24">
            <v>4</v>
          </cell>
          <cell r="X24">
            <v>4</v>
          </cell>
          <cell r="Y24">
            <v>4</v>
          </cell>
          <cell r="Z24">
            <v>4</v>
          </cell>
          <cell r="AF24">
            <v>4</v>
          </cell>
          <cell r="AG24">
            <v>4</v>
          </cell>
          <cell r="AH24">
            <v>4</v>
          </cell>
          <cell r="AI24">
            <v>4</v>
          </cell>
        </row>
        <row r="25">
          <cell r="C25">
            <v>15</v>
          </cell>
          <cell r="D25">
            <v>49.3</v>
          </cell>
          <cell r="E25">
            <v>9</v>
          </cell>
          <cell r="F25">
            <v>10</v>
          </cell>
          <cell r="G25">
            <v>11</v>
          </cell>
          <cell r="H25">
            <v>12</v>
          </cell>
          <cell r="I25">
            <v>1</v>
          </cell>
          <cell r="J25">
            <v>2</v>
          </cell>
          <cell r="K25">
            <v>3</v>
          </cell>
          <cell r="L25">
            <v>4</v>
          </cell>
          <cell r="M25">
            <v>5</v>
          </cell>
          <cell r="N25">
            <v>6</v>
          </cell>
          <cell r="O25">
            <v>7</v>
          </cell>
          <cell r="P25">
            <v>8</v>
          </cell>
          <cell r="Q25">
            <v>9</v>
          </cell>
          <cell r="R25">
            <v>10</v>
          </cell>
          <cell r="S25">
            <v>11</v>
          </cell>
          <cell r="T25">
            <v>12</v>
          </cell>
          <cell r="U25">
            <v>1</v>
          </cell>
          <cell r="V25">
            <v>2</v>
          </cell>
          <cell r="W25">
            <v>3</v>
          </cell>
          <cell r="X25">
            <v>4</v>
          </cell>
          <cell r="Y25">
            <v>5</v>
          </cell>
          <cell r="Z25">
            <v>6</v>
          </cell>
          <cell r="AA25">
            <v>7</v>
          </cell>
          <cell r="AB25">
            <v>8</v>
          </cell>
          <cell r="AC25">
            <v>9</v>
          </cell>
          <cell r="AD25">
            <v>10</v>
          </cell>
          <cell r="AE25">
            <v>11</v>
          </cell>
          <cell r="AF25">
            <v>12</v>
          </cell>
          <cell r="AG25">
            <v>13</v>
          </cell>
          <cell r="AH25">
            <v>14</v>
          </cell>
          <cell r="AI25">
            <v>1</v>
          </cell>
          <cell r="AJ25">
            <v>71</v>
          </cell>
          <cell r="AK25">
            <v>34.21</v>
          </cell>
          <cell r="AO25" t="str">
            <v>0</v>
          </cell>
          <cell r="AP25">
            <v>0</v>
          </cell>
          <cell r="AQ25">
            <v>26.28</v>
          </cell>
          <cell r="AU25" t="str">
            <v>0</v>
          </cell>
          <cell r="AV25">
            <v>0</v>
          </cell>
          <cell r="BA25" t="str">
            <v>0</v>
          </cell>
          <cell r="BB25">
            <v>0</v>
          </cell>
          <cell r="BE25">
            <v>60.49</v>
          </cell>
          <cell r="BF25">
            <v>0</v>
          </cell>
          <cell r="BG25">
            <v>15</v>
          </cell>
        </row>
        <row r="26">
          <cell r="I26">
            <v>10</v>
          </cell>
          <cell r="J26">
            <v>16</v>
          </cell>
          <cell r="U26">
            <v>10</v>
          </cell>
          <cell r="V26">
            <v>18</v>
          </cell>
          <cell r="AI26">
            <v>17</v>
          </cell>
        </row>
        <row r="27">
          <cell r="C27">
            <v>16</v>
          </cell>
          <cell r="D27">
            <v>50.4</v>
          </cell>
          <cell r="E27">
            <v>10</v>
          </cell>
          <cell r="F27">
            <v>11</v>
          </cell>
          <cell r="G27">
            <v>12</v>
          </cell>
          <cell r="H27">
            <v>1</v>
          </cell>
          <cell r="I27">
            <v>2</v>
          </cell>
          <cell r="J27">
            <v>3</v>
          </cell>
          <cell r="K27">
            <v>4</v>
          </cell>
          <cell r="L27">
            <v>5</v>
          </cell>
          <cell r="M27">
            <v>6</v>
          </cell>
          <cell r="N27">
            <v>7</v>
          </cell>
          <cell r="O27">
            <v>8</v>
          </cell>
          <cell r="P27">
            <v>9</v>
          </cell>
          <cell r="Q27">
            <v>10</v>
          </cell>
          <cell r="R27">
            <v>11</v>
          </cell>
          <cell r="S27">
            <v>12</v>
          </cell>
          <cell r="T27">
            <v>1</v>
          </cell>
          <cell r="U27">
            <v>2</v>
          </cell>
          <cell r="V27">
            <v>3</v>
          </cell>
          <cell r="W27">
            <v>4</v>
          </cell>
          <cell r="X27">
            <v>5</v>
          </cell>
          <cell r="Y27">
            <v>6</v>
          </cell>
          <cell r="Z27">
            <v>7</v>
          </cell>
          <cell r="AA27">
            <v>8</v>
          </cell>
          <cell r="AB27">
            <v>9</v>
          </cell>
          <cell r="AC27">
            <v>10</v>
          </cell>
          <cell r="AD27">
            <v>11</v>
          </cell>
          <cell r="AE27">
            <v>12</v>
          </cell>
          <cell r="AF27">
            <v>1</v>
          </cell>
          <cell r="AG27">
            <v>2</v>
          </cell>
          <cell r="AH27">
            <v>3</v>
          </cell>
          <cell r="AI27">
            <v>4</v>
          </cell>
          <cell r="AJ27">
            <v>70</v>
          </cell>
          <cell r="AK27">
            <v>28.6</v>
          </cell>
          <cell r="AO27" t="str">
            <v>0</v>
          </cell>
          <cell r="AP27">
            <v>0</v>
          </cell>
          <cell r="AQ27">
            <v>27.35</v>
          </cell>
          <cell r="AU27" t="str">
            <v>0</v>
          </cell>
          <cell r="AV27">
            <v>0</v>
          </cell>
          <cell r="AW27">
            <v>31.71</v>
          </cell>
          <cell r="BA27" t="str">
            <v>0</v>
          </cell>
          <cell r="BB27">
            <v>0</v>
          </cell>
          <cell r="BE27">
            <v>87.66</v>
          </cell>
          <cell r="BF27">
            <v>0</v>
          </cell>
          <cell r="BG27">
            <v>16</v>
          </cell>
        </row>
        <row r="28">
          <cell r="H28">
            <v>6</v>
          </cell>
          <cell r="I28">
            <v>6</v>
          </cell>
          <cell r="T28">
            <v>16</v>
          </cell>
          <cell r="U28">
            <v>7</v>
          </cell>
          <cell r="AF28">
            <v>18</v>
          </cell>
          <cell r="AH28">
            <v>17</v>
          </cell>
        </row>
        <row r="29">
          <cell r="C29">
            <v>17</v>
          </cell>
          <cell r="D29">
            <v>45.7</v>
          </cell>
          <cell r="E29">
            <v>1</v>
          </cell>
          <cell r="F29">
            <v>2</v>
          </cell>
          <cell r="G29">
            <v>3</v>
          </cell>
          <cell r="H29">
            <v>4</v>
          </cell>
          <cell r="I29">
            <v>5</v>
          </cell>
          <cell r="J29">
            <v>6</v>
          </cell>
          <cell r="K29">
            <v>7</v>
          </cell>
          <cell r="L29">
            <v>8</v>
          </cell>
          <cell r="M29">
            <v>9</v>
          </cell>
          <cell r="N29">
            <v>10</v>
          </cell>
          <cell r="O29">
            <v>11</v>
          </cell>
          <cell r="P29">
            <v>12</v>
          </cell>
          <cell r="Q29">
            <v>1</v>
          </cell>
          <cell r="R29">
            <v>2</v>
          </cell>
          <cell r="S29">
            <v>3</v>
          </cell>
          <cell r="T29">
            <v>4</v>
          </cell>
          <cell r="U29">
            <v>5</v>
          </cell>
          <cell r="V29">
            <v>6</v>
          </cell>
          <cell r="W29">
            <v>7</v>
          </cell>
          <cell r="X29">
            <v>8</v>
          </cell>
          <cell r="Y29">
            <v>9</v>
          </cell>
          <cell r="Z29">
            <v>10</v>
          </cell>
          <cell r="AA29">
            <v>11</v>
          </cell>
          <cell r="AB29">
            <v>12</v>
          </cell>
          <cell r="AC29">
            <v>13</v>
          </cell>
          <cell r="AD29">
            <v>1</v>
          </cell>
          <cell r="AE29">
            <v>2</v>
          </cell>
          <cell r="AF29">
            <v>3</v>
          </cell>
          <cell r="AG29">
            <v>4</v>
          </cell>
          <cell r="AH29">
            <v>5</v>
          </cell>
          <cell r="AI29">
            <v>6</v>
          </cell>
          <cell r="AJ29">
            <v>82</v>
          </cell>
          <cell r="AK29">
            <v>28.849999999999998</v>
          </cell>
          <cell r="AO29" t="str">
            <v>0</v>
          </cell>
          <cell r="AP29">
            <v>0</v>
          </cell>
          <cell r="AQ29">
            <v>35.46</v>
          </cell>
          <cell r="AU29" t="str">
            <v>0</v>
          </cell>
          <cell r="AV29">
            <v>0</v>
          </cell>
          <cell r="AW29">
            <v>32.58</v>
          </cell>
          <cell r="BA29" t="str">
            <v>0</v>
          </cell>
          <cell r="BB29">
            <v>0</v>
          </cell>
          <cell r="BE29">
            <v>96.89</v>
          </cell>
          <cell r="BF29">
            <v>0</v>
          </cell>
          <cell r="BG29">
            <v>17</v>
          </cell>
        </row>
        <row r="30">
          <cell r="E30">
            <v>10</v>
          </cell>
          <cell r="G30">
            <v>15</v>
          </cell>
          <cell r="K30">
            <v>7</v>
          </cell>
          <cell r="Q30">
            <v>10</v>
          </cell>
          <cell r="S30">
            <v>15</v>
          </cell>
          <cell r="AD30">
            <v>7</v>
          </cell>
          <cell r="AE30">
            <v>18</v>
          </cell>
        </row>
        <row r="31">
          <cell r="C31">
            <v>19</v>
          </cell>
          <cell r="D31">
            <v>50.6</v>
          </cell>
          <cell r="E31">
            <v>7</v>
          </cell>
          <cell r="F31">
            <v>8</v>
          </cell>
          <cell r="G31">
            <v>9</v>
          </cell>
          <cell r="H31">
            <v>10</v>
          </cell>
          <cell r="I31">
            <v>11</v>
          </cell>
          <cell r="J31">
            <v>12</v>
          </cell>
          <cell r="K31">
            <v>1</v>
          </cell>
          <cell r="L31">
            <v>2</v>
          </cell>
          <cell r="M31">
            <v>3</v>
          </cell>
          <cell r="N31">
            <v>4</v>
          </cell>
          <cell r="O31">
            <v>5</v>
          </cell>
          <cell r="P31">
            <v>6</v>
          </cell>
          <cell r="Q31">
            <v>7</v>
          </cell>
          <cell r="R31">
            <v>8</v>
          </cell>
          <cell r="S31">
            <v>9</v>
          </cell>
          <cell r="T31">
            <v>10</v>
          </cell>
          <cell r="U31">
            <v>11</v>
          </cell>
          <cell r="V31">
            <v>12</v>
          </cell>
          <cell r="W31">
            <v>1</v>
          </cell>
          <cell r="X31">
            <v>2</v>
          </cell>
          <cell r="Y31">
            <v>3</v>
          </cell>
          <cell r="Z31">
            <v>4</v>
          </cell>
          <cell r="AA31">
            <v>5</v>
          </cell>
          <cell r="AB31">
            <v>6</v>
          </cell>
          <cell r="AC31">
            <v>7</v>
          </cell>
          <cell r="AD31">
            <v>8</v>
          </cell>
          <cell r="AE31">
            <v>9</v>
          </cell>
          <cell r="AF31">
            <v>10</v>
          </cell>
          <cell r="AG31">
            <v>11</v>
          </cell>
          <cell r="AH31">
            <v>12</v>
          </cell>
          <cell r="AI31">
            <v>13</v>
          </cell>
          <cell r="AJ31">
            <v>34</v>
          </cell>
          <cell r="AK31">
            <v>40.1</v>
          </cell>
          <cell r="AO31" t="str">
            <v>0</v>
          </cell>
          <cell r="AP31">
            <v>0</v>
          </cell>
          <cell r="AQ31">
            <v>9.11</v>
          </cell>
          <cell r="AU31" t="str">
            <v>0</v>
          </cell>
          <cell r="AV31">
            <v>0</v>
          </cell>
          <cell r="BA31" t="str">
            <v>0</v>
          </cell>
          <cell r="BB31">
            <v>0</v>
          </cell>
          <cell r="BE31">
            <v>49.21</v>
          </cell>
          <cell r="BF31">
            <v>0</v>
          </cell>
          <cell r="BG31">
            <v>19</v>
          </cell>
        </row>
        <row r="32">
          <cell r="K32">
            <v>10</v>
          </cell>
          <cell r="W32">
            <v>6</v>
          </cell>
          <cell r="X32">
            <v>18</v>
          </cell>
        </row>
        <row r="33">
          <cell r="C33">
            <v>20</v>
          </cell>
          <cell r="D33">
            <v>62.1</v>
          </cell>
          <cell r="E33">
            <v>6</v>
          </cell>
          <cell r="F33">
            <v>7</v>
          </cell>
          <cell r="G33">
            <v>8</v>
          </cell>
          <cell r="H33">
            <v>9</v>
          </cell>
          <cell r="I33">
            <v>10</v>
          </cell>
          <cell r="J33">
            <v>11</v>
          </cell>
          <cell r="K33">
            <v>12</v>
          </cell>
          <cell r="L33">
            <v>1</v>
          </cell>
          <cell r="M33">
            <v>2</v>
          </cell>
          <cell r="N33">
            <v>3</v>
          </cell>
          <cell r="O33">
            <v>4</v>
          </cell>
          <cell r="P33">
            <v>5</v>
          </cell>
          <cell r="Q33">
            <v>6</v>
          </cell>
          <cell r="R33">
            <v>7</v>
          </cell>
          <cell r="S33">
            <v>8</v>
          </cell>
          <cell r="T33">
            <v>9</v>
          </cell>
          <cell r="U33">
            <v>10</v>
          </cell>
          <cell r="V33">
            <v>11</v>
          </cell>
          <cell r="W33">
            <v>12</v>
          </cell>
          <cell r="X33">
            <v>13</v>
          </cell>
          <cell r="Y33">
            <v>1</v>
          </cell>
          <cell r="Z33">
            <v>2</v>
          </cell>
          <cell r="AA33">
            <v>3</v>
          </cell>
          <cell r="AB33">
            <v>4</v>
          </cell>
          <cell r="AC33">
            <v>5</v>
          </cell>
          <cell r="AD33">
            <v>6</v>
          </cell>
          <cell r="AE33">
            <v>7</v>
          </cell>
          <cell r="AF33">
            <v>8</v>
          </cell>
          <cell r="AG33">
            <v>9</v>
          </cell>
          <cell r="AH33">
            <v>10</v>
          </cell>
          <cell r="AI33">
            <v>11</v>
          </cell>
          <cell r="AJ33">
            <v>47</v>
          </cell>
          <cell r="AK33">
            <v>47.959999999999994</v>
          </cell>
          <cell r="AO33" t="str">
            <v>0</v>
          </cell>
          <cell r="AP33">
            <v>0</v>
          </cell>
          <cell r="AQ33">
            <v>21.04</v>
          </cell>
          <cell r="AU33" t="str">
            <v>0</v>
          </cell>
          <cell r="AV33">
            <v>0</v>
          </cell>
          <cell r="BA33" t="str">
            <v>0</v>
          </cell>
          <cell r="BB33">
            <v>0</v>
          </cell>
          <cell r="BE33">
            <v>69</v>
          </cell>
          <cell r="BF33">
            <v>0</v>
          </cell>
          <cell r="BG33">
            <v>20</v>
          </cell>
        </row>
        <row r="34">
          <cell r="L34">
            <v>15</v>
          </cell>
          <cell r="M34">
            <v>6</v>
          </cell>
          <cell r="Y34">
            <v>18</v>
          </cell>
          <cell r="Z34">
            <v>8</v>
          </cell>
        </row>
        <row r="35">
          <cell r="C35">
            <v>21</v>
          </cell>
          <cell r="D35">
            <v>72.2</v>
          </cell>
          <cell r="E35">
            <v>5</v>
          </cell>
          <cell r="F35">
            <v>6</v>
          </cell>
          <cell r="G35">
            <v>7</v>
          </cell>
          <cell r="H35">
            <v>8</v>
          </cell>
          <cell r="I35">
            <v>9</v>
          </cell>
          <cell r="J35">
            <v>10</v>
          </cell>
          <cell r="K35">
            <v>11</v>
          </cell>
          <cell r="L35">
            <v>12</v>
          </cell>
          <cell r="M35">
            <v>1</v>
          </cell>
          <cell r="N35">
            <v>2</v>
          </cell>
          <cell r="O35">
            <v>3</v>
          </cell>
          <cell r="P35">
            <v>4</v>
          </cell>
          <cell r="Q35">
            <v>5</v>
          </cell>
          <cell r="R35">
            <v>6</v>
          </cell>
          <cell r="S35">
            <v>7</v>
          </cell>
          <cell r="T35">
            <v>8</v>
          </cell>
          <cell r="U35">
            <v>9</v>
          </cell>
          <cell r="V35">
            <v>10</v>
          </cell>
          <cell r="W35">
            <v>1</v>
          </cell>
          <cell r="X35">
            <v>2</v>
          </cell>
          <cell r="Y35">
            <v>3</v>
          </cell>
          <cell r="Z35">
            <v>4</v>
          </cell>
          <cell r="AA35">
            <v>5</v>
          </cell>
          <cell r="AB35">
            <v>6</v>
          </cell>
          <cell r="AC35">
            <v>7</v>
          </cell>
          <cell r="AD35">
            <v>8</v>
          </cell>
          <cell r="AE35">
            <v>9</v>
          </cell>
          <cell r="AF35">
            <v>10</v>
          </cell>
          <cell r="AG35">
            <v>11</v>
          </cell>
          <cell r="AH35">
            <v>12</v>
          </cell>
          <cell r="AI35">
            <v>13</v>
          </cell>
          <cell r="AJ35">
            <v>76</v>
          </cell>
          <cell r="AK35">
            <v>46.57</v>
          </cell>
          <cell r="AO35" t="str">
            <v>0</v>
          </cell>
          <cell r="AP35">
            <v>0</v>
          </cell>
          <cell r="AQ35">
            <v>49.48</v>
          </cell>
          <cell r="AU35" t="str">
            <v>0</v>
          </cell>
          <cell r="AV35">
            <v>0</v>
          </cell>
          <cell r="BA35" t="str">
            <v>0</v>
          </cell>
          <cell r="BB35">
            <v>0</v>
          </cell>
          <cell r="BE35">
            <v>96.05</v>
          </cell>
          <cell r="BF35">
            <v>0</v>
          </cell>
          <cell r="BG35">
            <v>21</v>
          </cell>
        </row>
        <row r="36">
          <cell r="M36">
            <v>10</v>
          </cell>
          <cell r="N36">
            <v>18</v>
          </cell>
          <cell r="O36">
            <v>6</v>
          </cell>
          <cell r="W36">
            <v>8</v>
          </cell>
          <cell r="Z36">
            <v>10</v>
          </cell>
          <cell r="AA36">
            <v>17</v>
          </cell>
          <cell r="AB36">
            <v>7</v>
          </cell>
        </row>
        <row r="37">
          <cell r="C37">
            <v>11</v>
          </cell>
          <cell r="D37">
            <v>44.5</v>
          </cell>
          <cell r="E37">
            <v>17</v>
          </cell>
          <cell r="F37">
            <v>18</v>
          </cell>
          <cell r="G37">
            <v>19</v>
          </cell>
          <cell r="H37">
            <v>20</v>
          </cell>
          <cell r="I37">
            <v>21</v>
          </cell>
          <cell r="J37">
            <v>22</v>
          </cell>
          <cell r="K37">
            <v>23</v>
          </cell>
          <cell r="L37">
            <v>24</v>
          </cell>
          <cell r="M37">
            <v>1</v>
          </cell>
          <cell r="N37">
            <v>2</v>
          </cell>
          <cell r="O37">
            <v>3</v>
          </cell>
          <cell r="P37">
            <v>4</v>
          </cell>
          <cell r="Q37">
            <v>5</v>
          </cell>
          <cell r="R37">
            <v>6</v>
          </cell>
          <cell r="S37">
            <v>7</v>
          </cell>
          <cell r="T37">
            <v>8</v>
          </cell>
          <cell r="U37">
            <v>9</v>
          </cell>
          <cell r="V37">
            <v>10</v>
          </cell>
          <cell r="W37">
            <v>11</v>
          </cell>
          <cell r="X37">
            <v>12</v>
          </cell>
          <cell r="Y37">
            <v>13</v>
          </cell>
          <cell r="Z37">
            <v>14</v>
          </cell>
          <cell r="AA37">
            <v>1</v>
          </cell>
          <cell r="AB37">
            <v>2</v>
          </cell>
          <cell r="AC37">
            <v>3</v>
          </cell>
          <cell r="AD37">
            <v>4</v>
          </cell>
          <cell r="AE37">
            <v>5</v>
          </cell>
          <cell r="AF37">
            <v>6</v>
          </cell>
          <cell r="AG37">
            <v>7</v>
          </cell>
          <cell r="AH37">
            <v>8</v>
          </cell>
          <cell r="AI37">
            <v>9</v>
          </cell>
          <cell r="AJ37">
            <v>32</v>
          </cell>
          <cell r="AK37">
            <v>29.380000000000003</v>
          </cell>
          <cell r="AO37" t="str">
            <v>0</v>
          </cell>
          <cell r="AP37">
            <v>0</v>
          </cell>
          <cell r="AQ37">
            <v>22.619999999999997</v>
          </cell>
          <cell r="AU37" t="str">
            <v>0</v>
          </cell>
          <cell r="AV37">
            <v>0</v>
          </cell>
          <cell r="BA37" t="str">
            <v>0</v>
          </cell>
          <cell r="BB37">
            <v>0</v>
          </cell>
          <cell r="BE37">
            <v>52</v>
          </cell>
          <cell r="BF37">
            <v>0</v>
          </cell>
          <cell r="BG37">
            <v>11</v>
          </cell>
        </row>
        <row r="38">
          <cell r="M38">
            <v>4</v>
          </cell>
          <cell r="N38">
            <v>4</v>
          </cell>
          <cell r="O38">
            <v>4</v>
          </cell>
          <cell r="P38">
            <v>4</v>
          </cell>
          <cell r="AA38">
            <v>4</v>
          </cell>
          <cell r="AB38">
            <v>4</v>
          </cell>
          <cell r="AD38">
            <v>4</v>
          </cell>
          <cell r="AE38">
            <v>4</v>
          </cell>
        </row>
        <row r="39">
          <cell r="C39">
            <v>22</v>
          </cell>
          <cell r="D39">
            <v>52.3</v>
          </cell>
          <cell r="E39">
            <v>3</v>
          </cell>
          <cell r="F39">
            <v>4</v>
          </cell>
          <cell r="G39">
            <v>5</v>
          </cell>
          <cell r="H39">
            <v>6</v>
          </cell>
          <cell r="I39">
            <v>7</v>
          </cell>
          <cell r="J39">
            <v>8</v>
          </cell>
          <cell r="K39">
            <v>9</v>
          </cell>
          <cell r="L39">
            <v>10</v>
          </cell>
          <cell r="M39">
            <v>11</v>
          </cell>
          <cell r="N39">
            <v>12</v>
          </cell>
          <cell r="O39">
            <v>1</v>
          </cell>
          <cell r="P39">
            <v>2</v>
          </cell>
          <cell r="Q39">
            <v>3</v>
          </cell>
          <cell r="R39">
            <v>4</v>
          </cell>
          <cell r="S39">
            <v>5</v>
          </cell>
          <cell r="T39">
            <v>6</v>
          </cell>
          <cell r="U39">
            <v>7</v>
          </cell>
          <cell r="V39">
            <v>8</v>
          </cell>
          <cell r="W39">
            <v>9</v>
          </cell>
          <cell r="X39">
            <v>10</v>
          </cell>
          <cell r="Y39">
            <v>11</v>
          </cell>
          <cell r="Z39">
            <v>12</v>
          </cell>
          <cell r="AA39">
            <v>13</v>
          </cell>
          <cell r="AB39">
            <v>1</v>
          </cell>
          <cell r="AC39">
            <v>2</v>
          </cell>
          <cell r="AD39">
            <v>3</v>
          </cell>
          <cell r="AE39">
            <v>4</v>
          </cell>
          <cell r="AF39">
            <v>5</v>
          </cell>
          <cell r="AG39">
            <v>6</v>
          </cell>
          <cell r="AH39">
            <v>7</v>
          </cell>
          <cell r="AI39">
            <v>8</v>
          </cell>
          <cell r="AJ39">
            <v>78</v>
          </cell>
          <cell r="AK39">
            <v>7.25</v>
          </cell>
          <cell r="AO39" t="str">
            <v>0</v>
          </cell>
          <cell r="AP39">
            <v>0</v>
          </cell>
          <cell r="AQ39">
            <v>29.27</v>
          </cell>
          <cell r="AU39" t="str">
            <v>0</v>
          </cell>
          <cell r="AV39">
            <v>0</v>
          </cell>
          <cell r="AW39">
            <v>31.16</v>
          </cell>
          <cell r="BA39" t="str">
            <v>0</v>
          </cell>
          <cell r="BB39">
            <v>0</v>
          </cell>
          <cell r="BE39">
            <v>67.679999999999993</v>
          </cell>
          <cell r="BF39">
            <v>0</v>
          </cell>
          <cell r="BG39">
            <v>22</v>
          </cell>
        </row>
        <row r="40">
          <cell r="E40">
            <v>6</v>
          </cell>
          <cell r="O40">
            <v>10</v>
          </cell>
          <cell r="P40">
            <v>17</v>
          </cell>
          <cell r="Q40">
            <v>8</v>
          </cell>
          <cell r="AB40">
            <v>10</v>
          </cell>
          <cell r="AC40">
            <v>17</v>
          </cell>
          <cell r="AD40">
            <v>10</v>
          </cell>
        </row>
        <row r="41">
          <cell r="C41">
            <v>10</v>
          </cell>
          <cell r="D41">
            <v>19.100000000000001</v>
          </cell>
          <cell r="E41">
            <v>9</v>
          </cell>
          <cell r="F41">
            <v>10</v>
          </cell>
          <cell r="G41">
            <v>11</v>
          </cell>
          <cell r="H41">
            <v>12</v>
          </cell>
          <cell r="I41">
            <v>13</v>
          </cell>
          <cell r="J41">
            <v>14</v>
          </cell>
          <cell r="K41">
            <v>15</v>
          </cell>
          <cell r="L41">
            <v>1</v>
          </cell>
          <cell r="M41">
            <v>2</v>
          </cell>
          <cell r="N41">
            <v>3</v>
          </cell>
          <cell r="O41">
            <v>4</v>
          </cell>
          <cell r="P41">
            <v>5</v>
          </cell>
          <cell r="Q41">
            <v>6</v>
          </cell>
          <cell r="R41">
            <v>7</v>
          </cell>
          <cell r="S41">
            <v>8</v>
          </cell>
          <cell r="T41">
            <v>9</v>
          </cell>
          <cell r="U41">
            <v>10</v>
          </cell>
          <cell r="V41">
            <v>11</v>
          </cell>
          <cell r="W41">
            <v>12</v>
          </cell>
          <cell r="X41">
            <v>13</v>
          </cell>
          <cell r="Y41">
            <v>14</v>
          </cell>
          <cell r="Z41">
            <v>15</v>
          </cell>
          <cell r="AA41">
            <v>16</v>
          </cell>
          <cell r="AB41">
            <v>17</v>
          </cell>
          <cell r="AC41">
            <v>18</v>
          </cell>
          <cell r="AD41">
            <v>19</v>
          </cell>
          <cell r="AE41">
            <v>1</v>
          </cell>
          <cell r="AF41">
            <v>2</v>
          </cell>
          <cell r="AG41">
            <v>3</v>
          </cell>
          <cell r="AH41">
            <v>4</v>
          </cell>
          <cell r="AI41">
            <v>5</v>
          </cell>
          <cell r="AJ41">
            <v>18</v>
          </cell>
          <cell r="AK41">
            <v>14.74</v>
          </cell>
          <cell r="AO41" t="str">
            <v>0</v>
          </cell>
          <cell r="AP41">
            <v>0</v>
          </cell>
          <cell r="AQ41">
            <v>14.57</v>
          </cell>
          <cell r="AU41" t="str">
            <v>0</v>
          </cell>
          <cell r="AV41">
            <v>0</v>
          </cell>
          <cell r="BA41" t="str">
            <v>0</v>
          </cell>
          <cell r="BB41">
            <v>0</v>
          </cell>
          <cell r="BE41">
            <v>29.310000000000002</v>
          </cell>
          <cell r="BF41">
            <v>0</v>
          </cell>
          <cell r="BG41">
            <v>10</v>
          </cell>
        </row>
        <row r="42">
          <cell r="L42">
            <v>9</v>
          </cell>
          <cell r="AE42">
            <v>9</v>
          </cell>
        </row>
        <row r="43">
          <cell r="C43">
            <v>8</v>
          </cell>
          <cell r="D43">
            <v>61.6</v>
          </cell>
          <cell r="E43">
            <v>1</v>
          </cell>
          <cell r="F43">
            <v>2</v>
          </cell>
          <cell r="G43">
            <v>3</v>
          </cell>
          <cell r="H43">
            <v>4</v>
          </cell>
          <cell r="I43">
            <v>5</v>
          </cell>
          <cell r="J43">
            <v>6</v>
          </cell>
          <cell r="K43">
            <v>7</v>
          </cell>
          <cell r="L43">
            <v>8</v>
          </cell>
          <cell r="M43">
            <v>9</v>
          </cell>
          <cell r="N43">
            <v>10</v>
          </cell>
          <cell r="O43">
            <v>11</v>
          </cell>
          <cell r="P43">
            <v>12</v>
          </cell>
          <cell r="Q43">
            <v>13</v>
          </cell>
          <cell r="R43">
            <v>14</v>
          </cell>
          <cell r="S43">
            <v>15</v>
          </cell>
          <cell r="T43">
            <v>16</v>
          </cell>
          <cell r="U43">
            <v>17</v>
          </cell>
          <cell r="V43">
            <v>18</v>
          </cell>
          <cell r="W43">
            <v>19</v>
          </cell>
          <cell r="X43">
            <v>20</v>
          </cell>
          <cell r="Y43">
            <v>1</v>
          </cell>
          <cell r="Z43">
            <v>2</v>
          </cell>
          <cell r="AA43">
            <v>3</v>
          </cell>
          <cell r="AB43">
            <v>4</v>
          </cell>
          <cell r="AC43">
            <v>5</v>
          </cell>
          <cell r="AD43">
            <v>6</v>
          </cell>
          <cell r="AE43">
            <v>7</v>
          </cell>
          <cell r="AF43">
            <v>8</v>
          </cell>
          <cell r="AG43">
            <v>9</v>
          </cell>
          <cell r="AH43">
            <v>10</v>
          </cell>
          <cell r="AI43">
            <v>11</v>
          </cell>
          <cell r="AJ43">
            <v>64</v>
          </cell>
          <cell r="AK43">
            <v>61.179999999999993</v>
          </cell>
          <cell r="AO43" t="str">
            <v>0</v>
          </cell>
          <cell r="AP43">
            <v>0</v>
          </cell>
          <cell r="AQ43">
            <v>61.97</v>
          </cell>
          <cell r="AU43" t="str">
            <v>0</v>
          </cell>
          <cell r="AV43">
            <v>0</v>
          </cell>
          <cell r="BA43" t="str">
            <v>0</v>
          </cell>
          <cell r="BB43">
            <v>0</v>
          </cell>
          <cell r="BE43">
            <v>123.14999999999999</v>
          </cell>
          <cell r="BF43">
            <v>0</v>
          </cell>
          <cell r="BG43">
            <v>8</v>
          </cell>
        </row>
        <row r="44">
          <cell r="E44">
            <v>4</v>
          </cell>
          <cell r="G44">
            <v>9</v>
          </cell>
          <cell r="H44">
            <v>9</v>
          </cell>
          <cell r="I44">
            <v>9</v>
          </cell>
          <cell r="J44">
            <v>4</v>
          </cell>
          <cell r="Y44">
            <v>8</v>
          </cell>
          <cell r="Z44">
            <v>8</v>
          </cell>
          <cell r="AA44">
            <v>9</v>
          </cell>
          <cell r="AB44">
            <v>4</v>
          </cell>
        </row>
        <row r="45">
          <cell r="C45">
            <v>9</v>
          </cell>
          <cell r="D45">
            <v>38.299999999999997</v>
          </cell>
          <cell r="E45">
            <v>12</v>
          </cell>
          <cell r="F45">
            <v>13</v>
          </cell>
          <cell r="G45">
            <v>14</v>
          </cell>
          <cell r="H45">
            <v>15</v>
          </cell>
          <cell r="I45">
            <v>16</v>
          </cell>
          <cell r="J45">
            <v>1</v>
          </cell>
          <cell r="K45">
            <v>2</v>
          </cell>
          <cell r="L45">
            <v>3</v>
          </cell>
          <cell r="M45">
            <v>4</v>
          </cell>
          <cell r="N45">
            <v>5</v>
          </cell>
          <cell r="O45">
            <v>6</v>
          </cell>
          <cell r="P45">
            <v>7</v>
          </cell>
          <cell r="Q45">
            <v>8</v>
          </cell>
          <cell r="R45">
            <v>9</v>
          </cell>
          <cell r="S45">
            <v>10</v>
          </cell>
          <cell r="T45">
            <v>11</v>
          </cell>
          <cell r="U45">
            <v>12</v>
          </cell>
          <cell r="V45">
            <v>13</v>
          </cell>
          <cell r="W45">
            <v>14</v>
          </cell>
          <cell r="X45">
            <v>15</v>
          </cell>
          <cell r="Y45">
            <v>16</v>
          </cell>
          <cell r="Z45">
            <v>17</v>
          </cell>
          <cell r="AA45">
            <v>18</v>
          </cell>
          <cell r="AB45">
            <v>1</v>
          </cell>
          <cell r="AC45">
            <v>2</v>
          </cell>
          <cell r="AD45">
            <v>2</v>
          </cell>
          <cell r="AE45">
            <v>3</v>
          </cell>
          <cell r="AF45">
            <v>4</v>
          </cell>
          <cell r="AG45">
            <v>5</v>
          </cell>
          <cell r="AH45">
            <v>6</v>
          </cell>
          <cell r="AI45">
            <v>7</v>
          </cell>
          <cell r="AJ45">
            <v>37</v>
          </cell>
          <cell r="AK45">
            <v>27.910000000000004</v>
          </cell>
          <cell r="AO45" t="str">
            <v>0</v>
          </cell>
          <cell r="AP45">
            <v>0</v>
          </cell>
          <cell r="AQ45">
            <v>34.54</v>
          </cell>
          <cell r="AU45" t="str">
            <v>0</v>
          </cell>
          <cell r="AV45">
            <v>0</v>
          </cell>
          <cell r="BA45" t="str">
            <v>0</v>
          </cell>
          <cell r="BB45">
            <v>0</v>
          </cell>
          <cell r="BE45">
            <v>62.45</v>
          </cell>
          <cell r="BF45">
            <v>0</v>
          </cell>
          <cell r="BG45">
            <v>9</v>
          </cell>
        </row>
        <row r="46">
          <cell r="J46">
            <v>5</v>
          </cell>
          <cell r="K46">
            <v>9</v>
          </cell>
          <cell r="AB46">
            <v>5</v>
          </cell>
          <cell r="AC46">
            <v>9</v>
          </cell>
          <cell r="AD46">
            <v>9</v>
          </cell>
        </row>
        <row r="47">
          <cell r="C47">
            <v>12</v>
          </cell>
          <cell r="D47">
            <v>71</v>
          </cell>
          <cell r="E47">
            <v>8</v>
          </cell>
          <cell r="F47">
            <v>9</v>
          </cell>
          <cell r="G47">
            <v>10</v>
          </cell>
          <cell r="H47">
            <v>11</v>
          </cell>
          <cell r="I47">
            <v>12</v>
          </cell>
          <cell r="J47">
            <v>13</v>
          </cell>
          <cell r="K47">
            <v>14</v>
          </cell>
          <cell r="L47">
            <v>15</v>
          </cell>
          <cell r="M47">
            <v>1</v>
          </cell>
          <cell r="N47">
            <v>2</v>
          </cell>
          <cell r="O47">
            <v>3</v>
          </cell>
          <cell r="P47">
            <v>4</v>
          </cell>
          <cell r="Q47">
            <v>5</v>
          </cell>
          <cell r="R47">
            <v>6</v>
          </cell>
          <cell r="S47">
            <v>7</v>
          </cell>
          <cell r="T47">
            <v>8</v>
          </cell>
          <cell r="U47">
            <v>9</v>
          </cell>
          <cell r="V47">
            <v>10</v>
          </cell>
          <cell r="W47">
            <v>11</v>
          </cell>
          <cell r="X47">
            <v>12</v>
          </cell>
          <cell r="Y47">
            <v>13</v>
          </cell>
          <cell r="Z47">
            <v>14</v>
          </cell>
          <cell r="AA47">
            <v>15</v>
          </cell>
          <cell r="AB47">
            <v>16</v>
          </cell>
          <cell r="AC47">
            <v>17</v>
          </cell>
          <cell r="AD47">
            <v>18</v>
          </cell>
          <cell r="AE47">
            <v>19</v>
          </cell>
          <cell r="AF47">
            <v>1</v>
          </cell>
          <cell r="AG47">
            <v>2</v>
          </cell>
          <cell r="AH47">
            <v>3</v>
          </cell>
          <cell r="AI47">
            <v>4</v>
          </cell>
          <cell r="AJ47">
            <v>57</v>
          </cell>
          <cell r="AK47">
            <v>58.8</v>
          </cell>
          <cell r="AO47" t="str">
            <v>0</v>
          </cell>
          <cell r="AP47">
            <v>0</v>
          </cell>
          <cell r="AQ47">
            <v>39.67</v>
          </cell>
          <cell r="AU47" t="str">
            <v>0</v>
          </cell>
          <cell r="AV47">
            <v>0</v>
          </cell>
          <cell r="BA47" t="str">
            <v>0</v>
          </cell>
          <cell r="BB47">
            <v>0</v>
          </cell>
          <cell r="BE47">
            <v>98.47</v>
          </cell>
          <cell r="BF47">
            <v>0</v>
          </cell>
          <cell r="BG47">
            <v>12</v>
          </cell>
        </row>
        <row r="48">
          <cell r="M48">
            <v>9</v>
          </cell>
          <cell r="N48">
            <v>9</v>
          </cell>
          <cell r="O48">
            <v>9</v>
          </cell>
          <cell r="P48">
            <v>9</v>
          </cell>
          <cell r="AF48">
            <v>9</v>
          </cell>
          <cell r="AG48">
            <v>5</v>
          </cell>
          <cell r="AH48">
            <v>7</v>
          </cell>
        </row>
        <row r="49">
          <cell r="C49">
            <v>13</v>
          </cell>
          <cell r="D49">
            <v>60.8</v>
          </cell>
          <cell r="E49">
            <v>5</v>
          </cell>
          <cell r="F49">
            <v>6</v>
          </cell>
          <cell r="G49">
            <v>7</v>
          </cell>
          <cell r="H49">
            <v>8</v>
          </cell>
          <cell r="I49">
            <v>9</v>
          </cell>
          <cell r="J49">
            <v>10</v>
          </cell>
          <cell r="K49">
            <v>11</v>
          </cell>
          <cell r="L49">
            <v>12</v>
          </cell>
          <cell r="M49">
            <v>13</v>
          </cell>
          <cell r="N49">
            <v>14</v>
          </cell>
          <cell r="O49">
            <v>15</v>
          </cell>
          <cell r="P49">
            <v>16</v>
          </cell>
          <cell r="Q49">
            <v>17</v>
          </cell>
          <cell r="R49">
            <v>18</v>
          </cell>
          <cell r="S49">
            <v>19</v>
          </cell>
          <cell r="T49">
            <v>1</v>
          </cell>
          <cell r="U49">
            <v>2</v>
          </cell>
          <cell r="V49">
            <v>3</v>
          </cell>
          <cell r="W49">
            <v>4</v>
          </cell>
          <cell r="X49">
            <v>5</v>
          </cell>
          <cell r="Y49">
            <v>6</v>
          </cell>
          <cell r="Z49">
            <v>7</v>
          </cell>
          <cell r="AA49">
            <v>8</v>
          </cell>
          <cell r="AB49">
            <v>9</v>
          </cell>
          <cell r="AC49">
            <v>10</v>
          </cell>
          <cell r="AD49">
            <v>11</v>
          </cell>
          <cell r="AE49">
            <v>12</v>
          </cell>
          <cell r="AF49">
            <v>13</v>
          </cell>
          <cell r="AG49">
            <v>14</v>
          </cell>
          <cell r="AH49">
            <v>15</v>
          </cell>
          <cell r="AI49">
            <v>1</v>
          </cell>
          <cell r="AJ49">
            <v>40</v>
          </cell>
          <cell r="AK49">
            <v>28.759999999999998</v>
          </cell>
          <cell r="AO49" t="str">
            <v>0</v>
          </cell>
          <cell r="AP49">
            <v>0</v>
          </cell>
          <cell r="AQ49">
            <v>42.980000000000004</v>
          </cell>
          <cell r="AU49" t="str">
            <v>0</v>
          </cell>
          <cell r="AV49">
            <v>0</v>
          </cell>
          <cell r="AW49">
            <v>8.58</v>
          </cell>
          <cell r="BA49" t="str">
            <v>0</v>
          </cell>
          <cell r="BB49">
            <v>0</v>
          </cell>
          <cell r="BE49">
            <v>80.320000000000007</v>
          </cell>
          <cell r="BF49">
            <v>0</v>
          </cell>
          <cell r="BG49">
            <v>13</v>
          </cell>
        </row>
        <row r="50">
          <cell r="E50">
            <v>5</v>
          </cell>
          <cell r="T50">
            <v>4</v>
          </cell>
          <cell r="U50">
            <v>7</v>
          </cell>
          <cell r="V50">
            <v>8</v>
          </cell>
          <cell r="X50">
            <v>8</v>
          </cell>
          <cell r="AI50">
            <v>8</v>
          </cell>
        </row>
        <row r="51">
          <cell r="C51">
            <v>18</v>
          </cell>
          <cell r="D51">
            <v>40.799999999999997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J51">
            <v>8</v>
          </cell>
          <cell r="K51">
            <v>9</v>
          </cell>
          <cell r="L51">
            <v>10</v>
          </cell>
          <cell r="M51">
            <v>11</v>
          </cell>
          <cell r="N51">
            <v>12</v>
          </cell>
          <cell r="O51">
            <v>13</v>
          </cell>
          <cell r="P51">
            <v>14</v>
          </cell>
          <cell r="Q51">
            <v>1</v>
          </cell>
          <cell r="R51">
            <v>2</v>
          </cell>
          <cell r="S51">
            <v>3</v>
          </cell>
          <cell r="T51">
            <v>4</v>
          </cell>
          <cell r="U51">
            <v>5</v>
          </cell>
          <cell r="V51">
            <v>6</v>
          </cell>
          <cell r="W51">
            <v>7</v>
          </cell>
          <cell r="X51">
            <v>8</v>
          </cell>
          <cell r="Y51">
            <v>9</v>
          </cell>
          <cell r="Z51">
            <v>10</v>
          </cell>
          <cell r="AA51">
            <v>11</v>
          </cell>
          <cell r="AB51">
            <v>12</v>
          </cell>
          <cell r="AC51">
            <v>13</v>
          </cell>
          <cell r="AD51">
            <v>14</v>
          </cell>
          <cell r="AE51">
            <v>15</v>
          </cell>
          <cell r="AF51">
            <v>16</v>
          </cell>
          <cell r="AG51">
            <v>1</v>
          </cell>
          <cell r="AH51">
            <v>2</v>
          </cell>
          <cell r="AI51">
            <v>3</v>
          </cell>
          <cell r="AJ51">
            <v>53</v>
          </cell>
          <cell r="AK51">
            <v>45.2</v>
          </cell>
          <cell r="AO51" t="str">
            <v>0</v>
          </cell>
          <cell r="AP51">
            <v>0</v>
          </cell>
          <cell r="AQ51">
            <v>32.75</v>
          </cell>
          <cell r="AU51" t="str">
            <v>0</v>
          </cell>
          <cell r="AV51">
            <v>0</v>
          </cell>
          <cell r="AW51">
            <v>24.38</v>
          </cell>
          <cell r="BA51" t="str">
            <v>0</v>
          </cell>
          <cell r="BB51">
            <v>0</v>
          </cell>
          <cell r="BE51">
            <v>102.33</v>
          </cell>
          <cell r="BF51">
            <v>0</v>
          </cell>
          <cell r="BG51">
            <v>18</v>
          </cell>
        </row>
        <row r="52">
          <cell r="E52">
            <v>4</v>
          </cell>
          <cell r="G52">
            <v>4</v>
          </cell>
          <cell r="H52">
            <v>4</v>
          </cell>
          <cell r="I52">
            <v>4</v>
          </cell>
          <cell r="J52">
            <v>4</v>
          </cell>
          <cell r="K52">
            <v>4</v>
          </cell>
          <cell r="L52">
            <v>4</v>
          </cell>
          <cell r="Q52">
            <v>9</v>
          </cell>
          <cell r="S52">
            <v>8</v>
          </cell>
          <cell r="T52">
            <v>4</v>
          </cell>
          <cell r="AG52">
            <v>4</v>
          </cell>
        </row>
        <row r="53">
          <cell r="C53">
            <v>39</v>
          </cell>
          <cell r="D53">
            <v>1.48</v>
          </cell>
          <cell r="E53">
            <v>1</v>
          </cell>
          <cell r="F53">
            <v>2</v>
          </cell>
          <cell r="G53">
            <v>3</v>
          </cell>
          <cell r="H53">
            <v>4</v>
          </cell>
          <cell r="I53">
            <v>5</v>
          </cell>
          <cell r="J53">
            <v>6</v>
          </cell>
          <cell r="K53">
            <v>7</v>
          </cell>
          <cell r="L53">
            <v>8</v>
          </cell>
          <cell r="M53">
            <v>9</v>
          </cell>
          <cell r="N53">
            <v>10</v>
          </cell>
          <cell r="O53">
            <v>11</v>
          </cell>
          <cell r="P53">
            <v>12</v>
          </cell>
          <cell r="Q53">
            <v>13</v>
          </cell>
          <cell r="R53">
            <v>14</v>
          </cell>
          <cell r="S53">
            <v>15</v>
          </cell>
          <cell r="T53">
            <v>16</v>
          </cell>
          <cell r="U53">
            <v>17</v>
          </cell>
          <cell r="V53">
            <v>1</v>
          </cell>
          <cell r="W53">
            <v>2</v>
          </cell>
          <cell r="X53">
            <v>3</v>
          </cell>
          <cell r="Y53">
            <v>4</v>
          </cell>
          <cell r="Z53">
            <v>5</v>
          </cell>
          <cell r="AA53">
            <v>6</v>
          </cell>
          <cell r="AB53">
            <v>7</v>
          </cell>
          <cell r="AC53">
            <v>8</v>
          </cell>
          <cell r="AD53">
            <v>9</v>
          </cell>
          <cell r="AE53">
            <v>10</v>
          </cell>
          <cell r="AF53">
            <v>11</v>
          </cell>
          <cell r="AG53">
            <v>12</v>
          </cell>
          <cell r="AH53">
            <v>13</v>
          </cell>
          <cell r="AI53">
            <v>14</v>
          </cell>
          <cell r="AJ53">
            <v>12</v>
          </cell>
          <cell r="AK53">
            <v>1.19</v>
          </cell>
          <cell r="AO53" t="str">
            <v>0</v>
          </cell>
          <cell r="AP53">
            <v>0</v>
          </cell>
          <cell r="AQ53">
            <v>2.02</v>
          </cell>
          <cell r="AU53" t="str">
            <v>0</v>
          </cell>
          <cell r="AV53">
            <v>0</v>
          </cell>
          <cell r="BA53" t="str">
            <v>0</v>
          </cell>
          <cell r="BB53">
            <v>0</v>
          </cell>
          <cell r="BE53">
            <v>3.21</v>
          </cell>
          <cell r="BF53">
            <v>0</v>
          </cell>
          <cell r="BG53">
            <v>39</v>
          </cell>
        </row>
        <row r="54">
          <cell r="E54">
            <v>6</v>
          </cell>
          <cell r="V54">
            <v>6</v>
          </cell>
        </row>
        <row r="55">
          <cell r="C55">
            <v>33</v>
          </cell>
          <cell r="D55">
            <v>28.72</v>
          </cell>
          <cell r="E55">
            <v>5</v>
          </cell>
          <cell r="F55">
            <v>6</v>
          </cell>
          <cell r="G55">
            <v>7</v>
          </cell>
          <cell r="H55">
            <v>8</v>
          </cell>
          <cell r="I55">
            <v>9</v>
          </cell>
          <cell r="J55">
            <v>10</v>
          </cell>
          <cell r="K55">
            <v>11</v>
          </cell>
          <cell r="L55">
            <v>12</v>
          </cell>
          <cell r="M55">
            <v>13</v>
          </cell>
          <cell r="N55">
            <v>14</v>
          </cell>
          <cell r="O55">
            <v>1</v>
          </cell>
          <cell r="P55">
            <v>2</v>
          </cell>
          <cell r="Q55">
            <v>3</v>
          </cell>
          <cell r="R55">
            <v>4</v>
          </cell>
          <cell r="S55">
            <v>5</v>
          </cell>
          <cell r="T55">
            <v>6</v>
          </cell>
          <cell r="U55">
            <v>7</v>
          </cell>
          <cell r="V55">
            <v>8</v>
          </cell>
          <cell r="W55">
            <v>9</v>
          </cell>
          <cell r="X55">
            <v>10</v>
          </cell>
          <cell r="Y55">
            <v>11</v>
          </cell>
          <cell r="Z55">
            <v>12</v>
          </cell>
          <cell r="AA55">
            <v>13</v>
          </cell>
          <cell r="AB55">
            <v>14</v>
          </cell>
          <cell r="AC55">
            <v>15</v>
          </cell>
          <cell r="AD55">
            <v>16</v>
          </cell>
          <cell r="AE55">
            <v>17</v>
          </cell>
          <cell r="AF55">
            <v>18</v>
          </cell>
          <cell r="AG55">
            <v>1</v>
          </cell>
          <cell r="AH55">
            <v>2</v>
          </cell>
          <cell r="AI55">
            <v>3</v>
          </cell>
          <cell r="AJ55">
            <v>36</v>
          </cell>
          <cell r="AK55">
            <v>20.59</v>
          </cell>
          <cell r="AO55" t="str">
            <v>0</v>
          </cell>
          <cell r="AP55">
            <v>0</v>
          </cell>
          <cell r="AQ55">
            <v>10.199999999999999</v>
          </cell>
          <cell r="AU55" t="str">
            <v>0</v>
          </cell>
          <cell r="AV55">
            <v>0</v>
          </cell>
          <cell r="BA55" t="str">
            <v>0</v>
          </cell>
          <cell r="BB55">
            <v>0</v>
          </cell>
          <cell r="BE55">
            <v>30.79</v>
          </cell>
          <cell r="BF55">
            <v>0</v>
          </cell>
          <cell r="BG55">
            <v>33</v>
          </cell>
        </row>
        <row r="56">
          <cell r="O56">
            <v>6</v>
          </cell>
          <cell r="P56">
            <v>6</v>
          </cell>
          <cell r="Q56">
            <v>6</v>
          </cell>
          <cell r="AG56">
            <v>6</v>
          </cell>
          <cell r="AH56">
            <v>6</v>
          </cell>
          <cell r="AI56">
            <v>6</v>
          </cell>
        </row>
        <row r="57">
          <cell r="C57">
            <v>28</v>
          </cell>
          <cell r="D57">
            <v>25.54</v>
          </cell>
          <cell r="E57">
            <v>11</v>
          </cell>
          <cell r="F57">
            <v>1</v>
          </cell>
          <cell r="G57">
            <v>2</v>
          </cell>
          <cell r="H57">
            <v>3</v>
          </cell>
          <cell r="I57">
            <v>4</v>
          </cell>
          <cell r="J57">
            <v>5</v>
          </cell>
          <cell r="K57">
            <v>6</v>
          </cell>
          <cell r="L57">
            <v>7</v>
          </cell>
          <cell r="M57">
            <v>8</v>
          </cell>
          <cell r="N57">
            <v>9</v>
          </cell>
          <cell r="O57">
            <v>10</v>
          </cell>
          <cell r="P57">
            <v>11</v>
          </cell>
          <cell r="Q57">
            <v>12</v>
          </cell>
          <cell r="R57">
            <v>13</v>
          </cell>
          <cell r="S57">
            <v>14</v>
          </cell>
          <cell r="T57">
            <v>15</v>
          </cell>
          <cell r="U57">
            <v>16</v>
          </cell>
          <cell r="V57">
            <v>17</v>
          </cell>
          <cell r="W57">
            <v>18</v>
          </cell>
          <cell r="X57">
            <v>1</v>
          </cell>
          <cell r="Y57">
            <v>2</v>
          </cell>
          <cell r="Z57">
            <v>3</v>
          </cell>
          <cell r="AA57">
            <v>4</v>
          </cell>
          <cell r="AB57">
            <v>5</v>
          </cell>
          <cell r="AC57">
            <v>6</v>
          </cell>
          <cell r="AD57">
            <v>7</v>
          </cell>
          <cell r="AE57">
            <v>8</v>
          </cell>
          <cell r="AF57">
            <v>9</v>
          </cell>
          <cell r="AG57">
            <v>10</v>
          </cell>
          <cell r="AH57">
            <v>11</v>
          </cell>
          <cell r="AI57">
            <v>12</v>
          </cell>
          <cell r="AJ57">
            <v>24</v>
          </cell>
          <cell r="AK57">
            <v>8.5400000000000009</v>
          </cell>
          <cell r="AO57" t="str">
            <v>0</v>
          </cell>
          <cell r="AP57">
            <v>0</v>
          </cell>
          <cell r="AQ57">
            <v>11.07</v>
          </cell>
          <cell r="AU57" t="str">
            <v>0</v>
          </cell>
          <cell r="AV57">
            <v>0</v>
          </cell>
          <cell r="BA57" t="str">
            <v>0</v>
          </cell>
          <cell r="BB57">
            <v>0</v>
          </cell>
          <cell r="BE57">
            <v>19.61</v>
          </cell>
          <cell r="BF57">
            <v>0</v>
          </cell>
          <cell r="BG57">
            <v>28</v>
          </cell>
        </row>
        <row r="58">
          <cell r="F58">
            <v>6</v>
          </cell>
          <cell r="H58">
            <v>6</v>
          </cell>
          <cell r="X58">
            <v>6</v>
          </cell>
          <cell r="Y58">
            <v>6</v>
          </cell>
        </row>
        <row r="59">
          <cell r="C59">
            <v>27</v>
          </cell>
          <cell r="D59">
            <v>35.93</v>
          </cell>
          <cell r="E59">
            <v>6</v>
          </cell>
          <cell r="F59">
            <v>7</v>
          </cell>
          <cell r="G59">
            <v>8</v>
          </cell>
          <cell r="H59">
            <v>9</v>
          </cell>
          <cell r="I59">
            <v>10</v>
          </cell>
          <cell r="J59">
            <v>11</v>
          </cell>
          <cell r="K59">
            <v>12</v>
          </cell>
          <cell r="L59">
            <v>1</v>
          </cell>
          <cell r="M59">
            <v>2</v>
          </cell>
          <cell r="N59">
            <v>3</v>
          </cell>
          <cell r="O59">
            <v>4</v>
          </cell>
          <cell r="P59">
            <v>5</v>
          </cell>
          <cell r="Q59">
            <v>6</v>
          </cell>
          <cell r="R59">
            <v>7</v>
          </cell>
          <cell r="S59">
            <v>8</v>
          </cell>
          <cell r="T59">
            <v>9</v>
          </cell>
          <cell r="U59">
            <v>10</v>
          </cell>
          <cell r="V59">
            <v>11</v>
          </cell>
          <cell r="W59">
            <v>12</v>
          </cell>
          <cell r="X59">
            <v>13</v>
          </cell>
          <cell r="Y59">
            <v>14</v>
          </cell>
          <cell r="Z59">
            <v>15</v>
          </cell>
          <cell r="AA59">
            <v>16</v>
          </cell>
          <cell r="AB59">
            <v>17</v>
          </cell>
          <cell r="AC59">
            <v>18</v>
          </cell>
          <cell r="AD59">
            <v>19</v>
          </cell>
          <cell r="AE59">
            <v>1</v>
          </cell>
          <cell r="AF59">
            <v>2</v>
          </cell>
          <cell r="AG59">
            <v>3</v>
          </cell>
          <cell r="AH59">
            <v>4</v>
          </cell>
          <cell r="AI59">
            <v>5</v>
          </cell>
          <cell r="AJ59">
            <v>12</v>
          </cell>
          <cell r="AK59">
            <v>6.3599999999999994</v>
          </cell>
          <cell r="AO59" t="str">
            <v>0</v>
          </cell>
          <cell r="AP59">
            <v>0</v>
          </cell>
          <cell r="AQ59">
            <v>7.39</v>
          </cell>
          <cell r="AU59" t="str">
            <v>0</v>
          </cell>
          <cell r="AV59">
            <v>0</v>
          </cell>
          <cell r="BA59" t="str">
            <v>0</v>
          </cell>
          <cell r="BB59">
            <v>0</v>
          </cell>
          <cell r="BE59">
            <v>13.75</v>
          </cell>
          <cell r="BF59">
            <v>0</v>
          </cell>
          <cell r="BG59">
            <v>27</v>
          </cell>
        </row>
        <row r="60">
          <cell r="L60">
            <v>6</v>
          </cell>
          <cell r="AE60">
            <v>6</v>
          </cell>
        </row>
        <row r="61">
          <cell r="C61">
            <v>25</v>
          </cell>
          <cell r="D61">
            <v>36.64</v>
          </cell>
          <cell r="E61">
            <v>6</v>
          </cell>
          <cell r="F61">
            <v>7</v>
          </cell>
          <cell r="G61">
            <v>8</v>
          </cell>
          <cell r="H61">
            <v>9</v>
          </cell>
          <cell r="I61">
            <v>10</v>
          </cell>
          <cell r="J61">
            <v>11</v>
          </cell>
          <cell r="K61">
            <v>12</v>
          </cell>
          <cell r="L61">
            <v>13</v>
          </cell>
          <cell r="M61">
            <v>1</v>
          </cell>
          <cell r="N61">
            <v>2</v>
          </cell>
          <cell r="O61">
            <v>3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13</v>
          </cell>
          <cell r="Z61">
            <v>14</v>
          </cell>
          <cell r="AA61">
            <v>15</v>
          </cell>
          <cell r="AB61">
            <v>16</v>
          </cell>
          <cell r="AC61">
            <v>17</v>
          </cell>
          <cell r="AD61">
            <v>18</v>
          </cell>
          <cell r="AE61">
            <v>19</v>
          </cell>
          <cell r="AF61">
            <v>1</v>
          </cell>
          <cell r="AG61">
            <v>2</v>
          </cell>
          <cell r="AH61">
            <v>3</v>
          </cell>
          <cell r="AI61">
            <v>4</v>
          </cell>
          <cell r="AJ61">
            <v>18</v>
          </cell>
          <cell r="AK61">
            <v>4.58</v>
          </cell>
          <cell r="AO61" t="str">
            <v>0</v>
          </cell>
          <cell r="AP61">
            <v>0</v>
          </cell>
          <cell r="AQ61">
            <v>4.53</v>
          </cell>
          <cell r="AU61" t="str">
            <v>0</v>
          </cell>
          <cell r="AV61">
            <v>0</v>
          </cell>
          <cell r="BA61" t="str">
            <v>0</v>
          </cell>
          <cell r="BB61">
            <v>0</v>
          </cell>
          <cell r="BE61">
            <v>9.11</v>
          </cell>
          <cell r="BF61">
            <v>0</v>
          </cell>
          <cell r="BG61">
            <v>25</v>
          </cell>
        </row>
        <row r="62">
          <cell r="M62">
            <v>6</v>
          </cell>
          <cell r="N62">
            <v>6</v>
          </cell>
          <cell r="AF62">
            <v>6</v>
          </cell>
        </row>
        <row r="63">
          <cell r="C63" t="str">
            <v>26A</v>
          </cell>
          <cell r="D63">
            <v>22.75</v>
          </cell>
          <cell r="E63">
            <v>9</v>
          </cell>
          <cell r="F63">
            <v>10</v>
          </cell>
          <cell r="G63">
            <v>11</v>
          </cell>
          <cell r="H63">
            <v>12</v>
          </cell>
          <cell r="I63">
            <v>1</v>
          </cell>
          <cell r="J63">
            <v>2</v>
          </cell>
          <cell r="K63">
            <v>3</v>
          </cell>
          <cell r="L63">
            <v>4</v>
          </cell>
          <cell r="M63">
            <v>5</v>
          </cell>
          <cell r="N63">
            <v>6</v>
          </cell>
          <cell r="O63">
            <v>7</v>
          </cell>
          <cell r="P63">
            <v>8</v>
          </cell>
          <cell r="Q63">
            <v>9</v>
          </cell>
          <cell r="R63">
            <v>10</v>
          </cell>
          <cell r="S63">
            <v>11</v>
          </cell>
          <cell r="T63">
            <v>12</v>
          </cell>
          <cell r="U63">
            <v>13</v>
          </cell>
          <cell r="V63">
            <v>14</v>
          </cell>
          <cell r="W63">
            <v>15</v>
          </cell>
          <cell r="X63">
            <v>16</v>
          </cell>
          <cell r="Y63">
            <v>17</v>
          </cell>
          <cell r="Z63">
            <v>1</v>
          </cell>
          <cell r="AA63">
            <v>2</v>
          </cell>
          <cell r="AB63">
            <v>3</v>
          </cell>
          <cell r="AC63">
            <v>4</v>
          </cell>
          <cell r="AD63">
            <v>5</v>
          </cell>
          <cell r="AE63">
            <v>6</v>
          </cell>
          <cell r="AF63">
            <v>7</v>
          </cell>
          <cell r="AG63">
            <v>8</v>
          </cell>
          <cell r="AH63">
            <v>9</v>
          </cell>
          <cell r="AI63">
            <v>10</v>
          </cell>
          <cell r="AJ63">
            <v>30</v>
          </cell>
          <cell r="AK63">
            <v>7.88</v>
          </cell>
          <cell r="AO63" t="str">
            <v>0</v>
          </cell>
          <cell r="AP63">
            <v>0</v>
          </cell>
          <cell r="AQ63">
            <v>14.17</v>
          </cell>
          <cell r="AU63" t="str">
            <v>0</v>
          </cell>
          <cell r="AV63">
            <v>0</v>
          </cell>
          <cell r="BA63" t="str">
            <v>0</v>
          </cell>
          <cell r="BB63">
            <v>0</v>
          </cell>
          <cell r="BE63">
            <v>22.05</v>
          </cell>
          <cell r="BF63">
            <v>0</v>
          </cell>
          <cell r="BG63" t="str">
            <v>26A</v>
          </cell>
        </row>
        <row r="64">
          <cell r="I64">
            <v>6</v>
          </cell>
          <cell r="J64">
            <v>6</v>
          </cell>
          <cell r="Z64">
            <v>6</v>
          </cell>
          <cell r="AA64">
            <v>6</v>
          </cell>
          <cell r="AB64">
            <v>6</v>
          </cell>
        </row>
        <row r="65">
          <cell r="C65">
            <v>30</v>
          </cell>
          <cell r="D65">
            <v>66.13</v>
          </cell>
          <cell r="E65">
            <v>3</v>
          </cell>
          <cell r="F65">
            <v>4</v>
          </cell>
          <cell r="G65">
            <v>5</v>
          </cell>
          <cell r="H65">
            <v>6</v>
          </cell>
          <cell r="I65">
            <v>7</v>
          </cell>
          <cell r="J65">
            <v>8</v>
          </cell>
          <cell r="K65">
            <v>9</v>
          </cell>
          <cell r="L65">
            <v>10</v>
          </cell>
          <cell r="M65">
            <v>11</v>
          </cell>
          <cell r="N65">
            <v>12</v>
          </cell>
          <cell r="O65">
            <v>13</v>
          </cell>
          <cell r="P65">
            <v>14</v>
          </cell>
          <cell r="Q65">
            <v>15</v>
          </cell>
          <cell r="R65">
            <v>16</v>
          </cell>
          <cell r="S65">
            <v>17</v>
          </cell>
          <cell r="T65">
            <v>18</v>
          </cell>
          <cell r="U65">
            <v>1</v>
          </cell>
          <cell r="V65">
            <v>2</v>
          </cell>
          <cell r="W65">
            <v>3</v>
          </cell>
          <cell r="X65">
            <v>4</v>
          </cell>
          <cell r="Y65">
            <v>5</v>
          </cell>
          <cell r="Z65">
            <v>6</v>
          </cell>
          <cell r="AA65">
            <v>7</v>
          </cell>
          <cell r="AB65">
            <v>8</v>
          </cell>
          <cell r="AC65">
            <v>9</v>
          </cell>
          <cell r="AD65">
            <v>10</v>
          </cell>
          <cell r="AE65">
            <v>11</v>
          </cell>
          <cell r="AF65">
            <v>12</v>
          </cell>
          <cell r="AG65">
            <v>13</v>
          </cell>
          <cell r="AH65">
            <v>14</v>
          </cell>
          <cell r="AI65">
            <v>15</v>
          </cell>
          <cell r="AJ65">
            <v>6</v>
          </cell>
          <cell r="AK65">
            <v>2.2400000000000002</v>
          </cell>
          <cell r="AO65" t="str">
            <v>0</v>
          </cell>
          <cell r="AP65">
            <v>0</v>
          </cell>
          <cell r="AU65" t="str">
            <v>0</v>
          </cell>
          <cell r="AV65">
            <v>0</v>
          </cell>
          <cell r="BA65" t="str">
            <v>0</v>
          </cell>
          <cell r="BB65">
            <v>0</v>
          </cell>
          <cell r="BE65">
            <v>2.2400000000000002</v>
          </cell>
          <cell r="BF65">
            <v>0</v>
          </cell>
          <cell r="BG65">
            <v>30</v>
          </cell>
        </row>
        <row r="66">
          <cell r="U66">
            <v>6</v>
          </cell>
        </row>
        <row r="67">
          <cell r="C67">
            <v>31</v>
          </cell>
          <cell r="D67">
            <v>34.08</v>
          </cell>
          <cell r="E67">
            <v>3</v>
          </cell>
          <cell r="F67">
            <v>4</v>
          </cell>
          <cell r="G67">
            <v>5</v>
          </cell>
          <cell r="H67">
            <v>6</v>
          </cell>
          <cell r="I67">
            <v>7</v>
          </cell>
          <cell r="J67">
            <v>8</v>
          </cell>
          <cell r="K67">
            <v>9</v>
          </cell>
          <cell r="L67">
            <v>10</v>
          </cell>
          <cell r="M67">
            <v>11</v>
          </cell>
          <cell r="N67">
            <v>12</v>
          </cell>
          <cell r="O67">
            <v>13</v>
          </cell>
          <cell r="P67">
            <v>14</v>
          </cell>
          <cell r="Q67">
            <v>15</v>
          </cell>
          <cell r="R67">
            <v>16</v>
          </cell>
          <cell r="S67">
            <v>1</v>
          </cell>
          <cell r="T67">
            <v>2</v>
          </cell>
          <cell r="U67">
            <v>3</v>
          </cell>
          <cell r="V67">
            <v>4</v>
          </cell>
          <cell r="W67">
            <v>5</v>
          </cell>
          <cell r="X67">
            <v>6</v>
          </cell>
          <cell r="Y67">
            <v>7</v>
          </cell>
          <cell r="Z67">
            <v>8</v>
          </cell>
          <cell r="AA67">
            <v>9</v>
          </cell>
          <cell r="AB67">
            <v>10</v>
          </cell>
          <cell r="AC67">
            <v>11</v>
          </cell>
          <cell r="AD67">
            <v>12</v>
          </cell>
          <cell r="AE67">
            <v>13</v>
          </cell>
          <cell r="AF67">
            <v>14</v>
          </cell>
          <cell r="AG67">
            <v>15</v>
          </cell>
          <cell r="AH67">
            <v>16</v>
          </cell>
          <cell r="AI67">
            <v>1</v>
          </cell>
          <cell r="AJ67">
            <v>21</v>
          </cell>
          <cell r="AK67">
            <v>3.33</v>
          </cell>
          <cell r="AO67" t="str">
            <v>0</v>
          </cell>
          <cell r="AP67">
            <v>0</v>
          </cell>
          <cell r="AU67" t="str">
            <v>0</v>
          </cell>
          <cell r="AV67">
            <v>0</v>
          </cell>
          <cell r="BA67" t="str">
            <v>0</v>
          </cell>
          <cell r="BB67">
            <v>0</v>
          </cell>
          <cell r="BE67">
            <v>3.33</v>
          </cell>
          <cell r="BF67">
            <v>0</v>
          </cell>
          <cell r="BG67">
            <v>31</v>
          </cell>
        </row>
        <row r="68">
          <cell r="S68">
            <v>6</v>
          </cell>
          <cell r="T68">
            <v>6</v>
          </cell>
          <cell r="AI68">
            <v>9</v>
          </cell>
        </row>
        <row r="69">
          <cell r="C69">
            <v>29</v>
          </cell>
          <cell r="D69">
            <v>11.38</v>
          </cell>
          <cell r="E69">
            <v>10</v>
          </cell>
          <cell r="F69">
            <v>11</v>
          </cell>
          <cell r="G69">
            <v>12</v>
          </cell>
          <cell r="H69">
            <v>13</v>
          </cell>
          <cell r="I69">
            <v>14</v>
          </cell>
          <cell r="J69">
            <v>15</v>
          </cell>
          <cell r="K69">
            <v>1</v>
          </cell>
          <cell r="L69">
            <v>2</v>
          </cell>
          <cell r="M69">
            <v>3</v>
          </cell>
          <cell r="N69">
            <v>4</v>
          </cell>
          <cell r="O69">
            <v>5</v>
          </cell>
          <cell r="P69">
            <v>6</v>
          </cell>
          <cell r="Q69">
            <v>7</v>
          </cell>
          <cell r="R69">
            <v>8</v>
          </cell>
          <cell r="S69">
            <v>9</v>
          </cell>
          <cell r="T69">
            <v>10</v>
          </cell>
          <cell r="U69">
            <v>11</v>
          </cell>
          <cell r="V69">
            <v>12</v>
          </cell>
          <cell r="W69">
            <v>1</v>
          </cell>
          <cell r="X69">
            <v>2</v>
          </cell>
          <cell r="Y69">
            <v>3</v>
          </cell>
          <cell r="Z69">
            <v>4</v>
          </cell>
          <cell r="AA69">
            <v>5</v>
          </cell>
          <cell r="AB69">
            <v>6</v>
          </cell>
          <cell r="AC69">
            <v>7</v>
          </cell>
          <cell r="AD69">
            <v>8</v>
          </cell>
          <cell r="AE69">
            <v>9</v>
          </cell>
          <cell r="AF69">
            <v>10</v>
          </cell>
          <cell r="AG69">
            <v>11</v>
          </cell>
          <cell r="AH69">
            <v>12</v>
          </cell>
          <cell r="AI69">
            <v>13</v>
          </cell>
          <cell r="AJ69">
            <v>12</v>
          </cell>
          <cell r="AK69">
            <v>1.3</v>
          </cell>
          <cell r="AO69" t="str">
            <v>0</v>
          </cell>
          <cell r="AP69">
            <v>0</v>
          </cell>
          <cell r="AQ69">
            <v>1.4</v>
          </cell>
          <cell r="AU69" t="str">
            <v>0</v>
          </cell>
          <cell r="AV69">
            <v>0</v>
          </cell>
          <cell r="BA69" t="str">
            <v>0</v>
          </cell>
          <cell r="BB69">
            <v>0</v>
          </cell>
          <cell r="BE69">
            <v>2.7</v>
          </cell>
          <cell r="BF69">
            <v>0</v>
          </cell>
          <cell r="BG69">
            <v>29</v>
          </cell>
        </row>
        <row r="70">
          <cell r="K70">
            <v>6</v>
          </cell>
          <cell r="W70">
            <v>6</v>
          </cell>
        </row>
        <row r="71">
          <cell r="C71">
            <v>105</v>
          </cell>
          <cell r="E71">
            <v>181</v>
          </cell>
          <cell r="F71">
            <v>182</v>
          </cell>
          <cell r="G71">
            <v>183</v>
          </cell>
          <cell r="H71">
            <v>184</v>
          </cell>
          <cell r="I71">
            <v>185</v>
          </cell>
          <cell r="J71">
            <v>186</v>
          </cell>
          <cell r="K71">
            <v>187</v>
          </cell>
          <cell r="L71">
            <v>188</v>
          </cell>
          <cell r="M71">
            <v>189</v>
          </cell>
          <cell r="N71">
            <v>190</v>
          </cell>
          <cell r="O71">
            <v>191</v>
          </cell>
          <cell r="P71">
            <v>192</v>
          </cell>
          <cell r="Q71">
            <v>193</v>
          </cell>
          <cell r="R71">
            <v>194</v>
          </cell>
          <cell r="S71">
            <v>195</v>
          </cell>
          <cell r="T71">
            <v>196</v>
          </cell>
          <cell r="U71">
            <v>197</v>
          </cell>
          <cell r="V71">
            <v>198</v>
          </cell>
          <cell r="W71">
            <v>199</v>
          </cell>
          <cell r="X71">
            <v>200</v>
          </cell>
          <cell r="Y71">
            <v>201</v>
          </cell>
          <cell r="Z71">
            <v>202</v>
          </cell>
          <cell r="AA71">
            <v>203</v>
          </cell>
          <cell r="AB71">
            <v>204</v>
          </cell>
          <cell r="AC71">
            <v>205</v>
          </cell>
          <cell r="AD71">
            <v>206</v>
          </cell>
          <cell r="AE71">
            <v>207</v>
          </cell>
          <cell r="AF71">
            <v>208</v>
          </cell>
          <cell r="AG71">
            <v>209</v>
          </cell>
          <cell r="AH71">
            <v>210</v>
          </cell>
          <cell r="AI71">
            <v>211</v>
          </cell>
          <cell r="AJ71">
            <v>0</v>
          </cell>
          <cell r="BE71">
            <v>0</v>
          </cell>
          <cell r="BF71">
            <v>0</v>
          </cell>
          <cell r="BG71">
            <v>105</v>
          </cell>
        </row>
        <row r="73">
          <cell r="C73">
            <v>114</v>
          </cell>
          <cell r="E73">
            <v>181</v>
          </cell>
          <cell r="F73">
            <v>182</v>
          </cell>
          <cell r="G73">
            <v>183</v>
          </cell>
          <cell r="H73">
            <v>184</v>
          </cell>
          <cell r="I73">
            <v>185</v>
          </cell>
          <cell r="J73">
            <v>186</v>
          </cell>
          <cell r="K73">
            <v>187</v>
          </cell>
          <cell r="L73">
            <v>188</v>
          </cell>
          <cell r="M73">
            <v>189</v>
          </cell>
          <cell r="N73">
            <v>190</v>
          </cell>
          <cell r="O73">
            <v>191</v>
          </cell>
          <cell r="P73">
            <v>192</v>
          </cell>
          <cell r="Q73">
            <v>193</v>
          </cell>
          <cell r="R73">
            <v>194</v>
          </cell>
          <cell r="S73">
            <v>195</v>
          </cell>
          <cell r="T73">
            <v>196</v>
          </cell>
          <cell r="U73">
            <v>197</v>
          </cell>
          <cell r="V73">
            <v>198</v>
          </cell>
          <cell r="W73">
            <v>199</v>
          </cell>
          <cell r="X73">
            <v>200</v>
          </cell>
          <cell r="Y73">
            <v>201</v>
          </cell>
          <cell r="Z73">
            <v>202</v>
          </cell>
          <cell r="AA73">
            <v>203</v>
          </cell>
          <cell r="AB73">
            <v>204</v>
          </cell>
          <cell r="AC73">
            <v>205</v>
          </cell>
          <cell r="AD73">
            <v>206</v>
          </cell>
          <cell r="AE73">
            <v>207</v>
          </cell>
          <cell r="AF73">
            <v>208</v>
          </cell>
          <cell r="AG73">
            <v>209</v>
          </cell>
          <cell r="AH73">
            <v>210</v>
          </cell>
          <cell r="AI73">
            <v>211</v>
          </cell>
          <cell r="AJ73">
            <v>0</v>
          </cell>
          <cell r="BE73">
            <v>0</v>
          </cell>
          <cell r="BF73">
            <v>0</v>
          </cell>
          <cell r="BG73">
            <v>114</v>
          </cell>
        </row>
        <row r="75">
          <cell r="E75">
            <v>53</v>
          </cell>
          <cell r="F75">
            <v>25</v>
          </cell>
          <cell r="G75">
            <v>32</v>
          </cell>
          <cell r="H75">
            <v>47</v>
          </cell>
          <cell r="I75">
            <v>54</v>
          </cell>
          <cell r="J75">
            <v>55</v>
          </cell>
          <cell r="K75">
            <v>49</v>
          </cell>
          <cell r="L75">
            <v>53</v>
          </cell>
          <cell r="M75">
            <v>54</v>
          </cell>
          <cell r="N75">
            <v>57</v>
          </cell>
          <cell r="O75">
            <v>55</v>
          </cell>
          <cell r="P75">
            <v>57</v>
          </cell>
          <cell r="Q75">
            <v>58</v>
          </cell>
          <cell r="R75">
            <v>0</v>
          </cell>
          <cell r="S75">
            <v>54</v>
          </cell>
          <cell r="T75">
            <v>55</v>
          </cell>
          <cell r="U75">
            <v>55</v>
          </cell>
          <cell r="V75">
            <v>56</v>
          </cell>
          <cell r="W75">
            <v>39</v>
          </cell>
          <cell r="X75">
            <v>57</v>
          </cell>
          <cell r="Y75">
            <v>57</v>
          </cell>
          <cell r="Z75">
            <v>56</v>
          </cell>
          <cell r="AA75">
            <v>55</v>
          </cell>
          <cell r="AB75">
            <v>55</v>
          </cell>
          <cell r="AC75">
            <v>26</v>
          </cell>
          <cell r="AD75">
            <v>30</v>
          </cell>
          <cell r="AE75">
            <v>58</v>
          </cell>
          <cell r="AF75">
            <v>57</v>
          </cell>
          <cell r="AG75">
            <v>57</v>
          </cell>
          <cell r="AH75">
            <v>55</v>
          </cell>
          <cell r="AI75">
            <v>55</v>
          </cell>
          <cell r="AJ75" t="str">
            <v>SUB TOTAL (MT)</v>
          </cell>
          <cell r="AK75">
            <v>1065.6099999999999</v>
          </cell>
          <cell r="AO75">
            <v>0</v>
          </cell>
          <cell r="AP75" t="e">
            <v>#DIV/0!</v>
          </cell>
          <cell r="AQ75">
            <v>795.41</v>
          </cell>
          <cell r="AU75">
            <v>0</v>
          </cell>
          <cell r="AV75" t="e">
            <v>#DIV/0!</v>
          </cell>
          <cell r="AW75">
            <v>128.41</v>
          </cell>
          <cell r="AX75">
            <v>0</v>
          </cell>
          <cell r="BA75">
            <v>0</v>
          </cell>
          <cell r="BB75" t="e">
            <v>#DIV/0!</v>
          </cell>
          <cell r="BC75">
            <v>0</v>
          </cell>
          <cell r="BD75">
            <v>0</v>
          </cell>
          <cell r="BE75">
            <v>1989.4299999999996</v>
          </cell>
          <cell r="BF75">
            <v>0</v>
          </cell>
        </row>
        <row r="76">
          <cell r="E76">
            <v>53</v>
          </cell>
          <cell r="F76">
            <v>78</v>
          </cell>
          <cell r="G76">
            <v>110</v>
          </cell>
          <cell r="H76">
            <v>157</v>
          </cell>
          <cell r="I76">
            <v>211</v>
          </cell>
          <cell r="J76">
            <v>266</v>
          </cell>
          <cell r="K76">
            <v>315</v>
          </cell>
          <cell r="L76">
            <v>368</v>
          </cell>
          <cell r="M76">
            <v>422</v>
          </cell>
          <cell r="N76">
            <v>479</v>
          </cell>
          <cell r="O76">
            <v>534</v>
          </cell>
          <cell r="P76">
            <v>591</v>
          </cell>
          <cell r="Q76">
            <v>649</v>
          </cell>
          <cell r="R76">
            <v>649</v>
          </cell>
          <cell r="S76">
            <v>703</v>
          </cell>
          <cell r="T76">
            <v>758</v>
          </cell>
          <cell r="U76">
            <v>813</v>
          </cell>
          <cell r="V76">
            <v>869</v>
          </cell>
          <cell r="W76">
            <v>908</v>
          </cell>
          <cell r="X76">
            <v>965</v>
          </cell>
          <cell r="Y76">
            <v>1022</v>
          </cell>
          <cell r="Z76">
            <v>1078</v>
          </cell>
          <cell r="AA76">
            <v>1133</v>
          </cell>
          <cell r="AB76">
            <v>1188</v>
          </cell>
          <cell r="AC76">
            <v>1214</v>
          </cell>
          <cell r="AD76">
            <v>1244</v>
          </cell>
          <cell r="AE76">
            <v>1302</v>
          </cell>
          <cell r="AF76">
            <v>1359</v>
          </cell>
          <cell r="AG76">
            <v>1416</v>
          </cell>
          <cell r="AH76">
            <v>1471</v>
          </cell>
          <cell r="AI76">
            <v>1526</v>
          </cell>
        </row>
      </sheetData>
      <sheetData sheetId="12">
        <row r="5">
          <cell r="C5">
            <v>1</v>
          </cell>
          <cell r="D5">
            <v>53.2</v>
          </cell>
          <cell r="E5">
            <v>15</v>
          </cell>
          <cell r="F5">
            <v>16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1</v>
          </cell>
          <cell r="AA5">
            <v>2</v>
          </cell>
          <cell r="AB5">
            <v>3</v>
          </cell>
          <cell r="AC5">
            <v>4</v>
          </cell>
          <cell r="AD5">
            <v>5</v>
          </cell>
          <cell r="AE5">
            <v>6</v>
          </cell>
          <cell r="AF5">
            <v>7</v>
          </cell>
          <cell r="AG5">
            <v>8</v>
          </cell>
          <cell r="AH5">
            <v>9</v>
          </cell>
          <cell r="AI5">
            <v>10</v>
          </cell>
          <cell r="AJ5">
            <v>98</v>
          </cell>
          <cell r="AK5">
            <v>45.47</v>
          </cell>
          <cell r="AN5">
            <v>10</v>
          </cell>
          <cell r="AO5" t="str">
            <v>0</v>
          </cell>
          <cell r="AP5">
            <v>0</v>
          </cell>
          <cell r="AQ5">
            <v>61.180000000000007</v>
          </cell>
          <cell r="AV5">
            <v>0</v>
          </cell>
          <cell r="BA5" t="str">
            <v>0</v>
          </cell>
          <cell r="BB5">
            <v>0</v>
          </cell>
          <cell r="BE5">
            <v>106.65</v>
          </cell>
          <cell r="BF5">
            <v>0</v>
          </cell>
          <cell r="BG5">
            <v>1</v>
          </cell>
        </row>
        <row r="6">
          <cell r="G6">
            <v>3</v>
          </cell>
          <cell r="H6">
            <v>8</v>
          </cell>
          <cell r="I6">
            <v>7</v>
          </cell>
          <cell r="J6">
            <v>8</v>
          </cell>
          <cell r="M6">
            <v>10</v>
          </cell>
          <cell r="Z6">
            <v>10</v>
          </cell>
          <cell r="AA6">
            <v>10</v>
          </cell>
          <cell r="AB6">
            <v>8</v>
          </cell>
          <cell r="AE6">
            <v>7</v>
          </cell>
          <cell r="AF6">
            <v>8</v>
          </cell>
          <cell r="AG6">
            <v>9</v>
          </cell>
          <cell r="AH6">
            <v>10</v>
          </cell>
        </row>
        <row r="7">
          <cell r="C7">
            <v>3</v>
          </cell>
          <cell r="D7">
            <v>69.2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</v>
          </cell>
          <cell r="T7">
            <v>2</v>
          </cell>
          <cell r="U7">
            <v>3</v>
          </cell>
          <cell r="V7">
            <v>4</v>
          </cell>
          <cell r="W7">
            <v>5</v>
          </cell>
          <cell r="X7">
            <v>6</v>
          </cell>
          <cell r="Y7">
            <v>7</v>
          </cell>
          <cell r="Z7">
            <v>8</v>
          </cell>
          <cell r="AA7">
            <v>9</v>
          </cell>
          <cell r="AB7">
            <v>10</v>
          </cell>
          <cell r="AC7">
            <v>11</v>
          </cell>
          <cell r="AD7">
            <v>12</v>
          </cell>
          <cell r="AE7">
            <v>13</v>
          </cell>
          <cell r="AF7">
            <v>14</v>
          </cell>
          <cell r="AG7">
            <v>15</v>
          </cell>
          <cell r="AH7">
            <v>16</v>
          </cell>
          <cell r="AI7">
            <v>17</v>
          </cell>
          <cell r="AJ7">
            <v>67</v>
          </cell>
          <cell r="AK7">
            <v>15.21</v>
          </cell>
          <cell r="AN7">
            <v>7</v>
          </cell>
          <cell r="AO7" t="str">
            <v>0</v>
          </cell>
          <cell r="AP7">
            <v>0</v>
          </cell>
          <cell r="AQ7">
            <v>64.8</v>
          </cell>
          <cell r="AV7">
            <v>0</v>
          </cell>
          <cell r="BA7" t="str">
            <v>0</v>
          </cell>
          <cell r="BB7">
            <v>0</v>
          </cell>
          <cell r="BE7">
            <v>80.009999999999991</v>
          </cell>
          <cell r="BF7">
            <v>0</v>
          </cell>
          <cell r="BG7">
            <v>3</v>
          </cell>
        </row>
        <row r="8">
          <cell r="E8">
            <v>8</v>
          </cell>
          <cell r="G8">
            <v>4</v>
          </cell>
          <cell r="S8">
            <v>10</v>
          </cell>
          <cell r="T8">
            <v>10</v>
          </cell>
          <cell r="U8">
            <v>9</v>
          </cell>
          <cell r="V8">
            <v>8</v>
          </cell>
          <cell r="X8">
            <v>9</v>
          </cell>
          <cell r="Y8">
            <v>9</v>
          </cell>
        </row>
        <row r="9">
          <cell r="C9">
            <v>14</v>
          </cell>
          <cell r="D9">
            <v>41.6</v>
          </cell>
          <cell r="E9">
            <v>9</v>
          </cell>
          <cell r="F9">
            <v>10</v>
          </cell>
          <cell r="G9">
            <v>11</v>
          </cell>
          <cell r="H9">
            <v>12</v>
          </cell>
          <cell r="I9">
            <v>13</v>
          </cell>
          <cell r="J9">
            <v>14</v>
          </cell>
          <cell r="K9">
            <v>15</v>
          </cell>
          <cell r="L9">
            <v>16</v>
          </cell>
          <cell r="M9">
            <v>17</v>
          </cell>
          <cell r="N9">
            <v>1</v>
          </cell>
          <cell r="O9">
            <v>2</v>
          </cell>
          <cell r="P9">
            <v>3</v>
          </cell>
          <cell r="Q9">
            <v>4</v>
          </cell>
          <cell r="R9">
            <v>5</v>
          </cell>
          <cell r="S9">
            <v>6</v>
          </cell>
          <cell r="T9">
            <v>7</v>
          </cell>
          <cell r="U9">
            <v>8</v>
          </cell>
          <cell r="V9">
            <v>9</v>
          </cell>
          <cell r="W9">
            <v>10</v>
          </cell>
          <cell r="X9">
            <v>11</v>
          </cell>
          <cell r="Y9">
            <v>12</v>
          </cell>
          <cell r="Z9">
            <v>13</v>
          </cell>
          <cell r="AA9">
            <v>14</v>
          </cell>
          <cell r="AB9">
            <v>15</v>
          </cell>
          <cell r="AC9">
            <v>16</v>
          </cell>
          <cell r="AD9">
            <v>17</v>
          </cell>
          <cell r="AE9">
            <v>18</v>
          </cell>
          <cell r="AF9">
            <v>19</v>
          </cell>
          <cell r="AG9">
            <v>20</v>
          </cell>
          <cell r="AH9">
            <v>21</v>
          </cell>
          <cell r="AI9">
            <v>1</v>
          </cell>
          <cell r="AJ9">
            <v>45</v>
          </cell>
          <cell r="AK9">
            <v>45.839999999999996</v>
          </cell>
          <cell r="AN9">
            <v>3</v>
          </cell>
          <cell r="AO9" t="str">
            <v>0</v>
          </cell>
          <cell r="AP9">
            <v>0</v>
          </cell>
          <cell r="AV9">
            <v>0</v>
          </cell>
          <cell r="BA9" t="str">
            <v>0</v>
          </cell>
          <cell r="BB9">
            <v>0</v>
          </cell>
          <cell r="BE9">
            <v>45.839999999999996</v>
          </cell>
          <cell r="BF9">
            <v>0</v>
          </cell>
          <cell r="BG9">
            <v>14</v>
          </cell>
        </row>
        <row r="10">
          <cell r="N10">
            <v>9</v>
          </cell>
          <cell r="O10">
            <v>10</v>
          </cell>
          <cell r="P10">
            <v>9</v>
          </cell>
          <cell r="R10">
            <v>7</v>
          </cell>
          <cell r="AI10">
            <v>10</v>
          </cell>
        </row>
        <row r="11">
          <cell r="C11">
            <v>4</v>
          </cell>
          <cell r="D11">
            <v>70.599999999999994</v>
          </cell>
          <cell r="E11">
            <v>9</v>
          </cell>
          <cell r="F11">
            <v>10</v>
          </cell>
          <cell r="G11">
            <v>11</v>
          </cell>
          <cell r="H11">
            <v>12</v>
          </cell>
          <cell r="I11">
            <v>13</v>
          </cell>
          <cell r="J11">
            <v>14</v>
          </cell>
          <cell r="K11">
            <v>15</v>
          </cell>
          <cell r="L11">
            <v>16</v>
          </cell>
          <cell r="M11">
            <v>17</v>
          </cell>
          <cell r="N11">
            <v>18</v>
          </cell>
          <cell r="O11">
            <v>19</v>
          </cell>
          <cell r="P11">
            <v>1</v>
          </cell>
          <cell r="Q11">
            <v>2</v>
          </cell>
          <cell r="R11">
            <v>3</v>
          </cell>
          <cell r="S11">
            <v>4</v>
          </cell>
          <cell r="T11">
            <v>5</v>
          </cell>
          <cell r="U11">
            <v>6</v>
          </cell>
          <cell r="V11">
            <v>7</v>
          </cell>
          <cell r="W11">
            <v>8</v>
          </cell>
          <cell r="X11">
            <v>9</v>
          </cell>
          <cell r="Y11">
            <v>10</v>
          </cell>
          <cell r="Z11">
            <v>11</v>
          </cell>
          <cell r="AA11">
            <v>12</v>
          </cell>
          <cell r="AB11">
            <v>13</v>
          </cell>
          <cell r="AC11">
            <v>14</v>
          </cell>
          <cell r="AD11">
            <v>15</v>
          </cell>
          <cell r="AE11">
            <v>16</v>
          </cell>
          <cell r="AF11">
            <v>17</v>
          </cell>
          <cell r="AG11">
            <v>18</v>
          </cell>
          <cell r="AH11">
            <v>19</v>
          </cell>
          <cell r="AI11">
            <v>20</v>
          </cell>
          <cell r="AJ11">
            <v>46</v>
          </cell>
          <cell r="AK11">
            <v>65.040000000000006</v>
          </cell>
          <cell r="AN11">
            <v>4</v>
          </cell>
          <cell r="AO11" t="str">
            <v>0</v>
          </cell>
          <cell r="AP11">
            <v>0</v>
          </cell>
          <cell r="AV11">
            <v>0</v>
          </cell>
          <cell r="BA11" t="str">
            <v>0</v>
          </cell>
          <cell r="BB11">
            <v>0</v>
          </cell>
          <cell r="BE11">
            <v>65.040000000000006</v>
          </cell>
          <cell r="BF11">
            <v>0</v>
          </cell>
          <cell r="BG11">
            <v>4</v>
          </cell>
        </row>
        <row r="12">
          <cell r="P12">
            <v>12</v>
          </cell>
          <cell r="R12">
            <v>10</v>
          </cell>
          <cell r="S12">
            <v>12</v>
          </cell>
          <cell r="T12">
            <v>12</v>
          </cell>
        </row>
        <row r="13">
          <cell r="C13">
            <v>5</v>
          </cell>
          <cell r="D13">
            <v>54.3</v>
          </cell>
          <cell r="E13">
            <v>13</v>
          </cell>
          <cell r="F13">
            <v>14</v>
          </cell>
          <cell r="G13">
            <v>15</v>
          </cell>
          <cell r="H13">
            <v>16</v>
          </cell>
          <cell r="I13">
            <v>17</v>
          </cell>
          <cell r="J13">
            <v>1</v>
          </cell>
          <cell r="K13">
            <v>2</v>
          </cell>
          <cell r="L13">
            <v>3</v>
          </cell>
          <cell r="M13">
            <v>4</v>
          </cell>
          <cell r="N13">
            <v>5</v>
          </cell>
          <cell r="O13">
            <v>6</v>
          </cell>
          <cell r="P13">
            <v>7</v>
          </cell>
          <cell r="Q13">
            <v>8</v>
          </cell>
          <cell r="R13">
            <v>9</v>
          </cell>
          <cell r="S13">
            <v>10</v>
          </cell>
          <cell r="T13">
            <v>11</v>
          </cell>
          <cell r="U13">
            <v>12</v>
          </cell>
          <cell r="V13">
            <v>13</v>
          </cell>
          <cell r="W13">
            <v>14</v>
          </cell>
          <cell r="X13">
            <v>15</v>
          </cell>
          <cell r="Y13">
            <v>16</v>
          </cell>
          <cell r="Z13">
            <v>17</v>
          </cell>
          <cell r="AA13">
            <v>18</v>
          </cell>
          <cell r="AB13">
            <v>19</v>
          </cell>
          <cell r="AC13">
            <v>20</v>
          </cell>
          <cell r="AD13">
            <v>21</v>
          </cell>
          <cell r="AE13">
            <v>22</v>
          </cell>
          <cell r="AF13">
            <v>23</v>
          </cell>
          <cell r="AG13">
            <v>1</v>
          </cell>
          <cell r="AH13">
            <v>2</v>
          </cell>
          <cell r="AI13">
            <v>3</v>
          </cell>
          <cell r="AJ13">
            <v>62</v>
          </cell>
          <cell r="AK13">
            <v>47.44</v>
          </cell>
          <cell r="AN13">
            <v>5</v>
          </cell>
          <cell r="AO13" t="str">
            <v>0</v>
          </cell>
          <cell r="AP13">
            <v>0</v>
          </cell>
          <cell r="AQ13">
            <v>32.090000000000003</v>
          </cell>
          <cell r="AV13">
            <v>0</v>
          </cell>
          <cell r="BA13" t="str">
            <v>0</v>
          </cell>
          <cell r="BB13">
            <v>0</v>
          </cell>
          <cell r="BE13">
            <v>79.53</v>
          </cell>
          <cell r="BF13">
            <v>0</v>
          </cell>
          <cell r="BG13">
            <v>5</v>
          </cell>
        </row>
        <row r="14">
          <cell r="J14">
            <v>11</v>
          </cell>
          <cell r="M14">
            <v>11</v>
          </cell>
          <cell r="N14">
            <v>4</v>
          </cell>
          <cell r="AG14">
            <v>12</v>
          </cell>
          <cell r="AH14">
            <v>12</v>
          </cell>
          <cell r="AI14">
            <v>12</v>
          </cell>
        </row>
        <row r="15">
          <cell r="C15">
            <v>6</v>
          </cell>
          <cell r="D15">
            <v>58.6</v>
          </cell>
          <cell r="E15">
            <v>1</v>
          </cell>
          <cell r="F15">
            <v>2</v>
          </cell>
          <cell r="G15">
            <v>3</v>
          </cell>
          <cell r="H15">
            <v>4</v>
          </cell>
          <cell r="I15">
            <v>5</v>
          </cell>
          <cell r="J15">
            <v>6</v>
          </cell>
          <cell r="K15">
            <v>7</v>
          </cell>
          <cell r="L15">
            <v>8</v>
          </cell>
          <cell r="M15">
            <v>9</v>
          </cell>
          <cell r="N15">
            <v>10</v>
          </cell>
          <cell r="O15">
            <v>11</v>
          </cell>
          <cell r="P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1</v>
          </cell>
          <cell r="AB15">
            <v>2</v>
          </cell>
          <cell r="AC15">
            <v>3</v>
          </cell>
          <cell r="AD15">
            <v>4</v>
          </cell>
          <cell r="AE15">
            <v>5</v>
          </cell>
          <cell r="AF15">
            <v>6</v>
          </cell>
          <cell r="AG15">
            <v>7</v>
          </cell>
          <cell r="AH15">
            <v>8</v>
          </cell>
          <cell r="AI15">
            <v>9</v>
          </cell>
          <cell r="AJ15">
            <v>86</v>
          </cell>
          <cell r="AK15">
            <v>60.33</v>
          </cell>
          <cell r="AN15">
            <v>5</v>
          </cell>
          <cell r="AO15" t="str">
            <v>0</v>
          </cell>
          <cell r="AP15">
            <v>0</v>
          </cell>
          <cell r="AQ15">
            <v>64.91</v>
          </cell>
          <cell r="AV15">
            <v>0</v>
          </cell>
          <cell r="BA15" t="str">
            <v>0</v>
          </cell>
          <cell r="BB15">
            <v>0</v>
          </cell>
          <cell r="BE15">
            <v>125.24</v>
          </cell>
          <cell r="BF15">
            <v>0</v>
          </cell>
          <cell r="BG15">
            <v>6</v>
          </cell>
        </row>
        <row r="16">
          <cell r="E16">
            <v>8</v>
          </cell>
          <cell r="G16">
            <v>9</v>
          </cell>
          <cell r="H16">
            <v>10</v>
          </cell>
          <cell r="I16">
            <v>11</v>
          </cell>
          <cell r="AA16">
            <v>12</v>
          </cell>
          <cell r="AB16">
            <v>12</v>
          </cell>
          <cell r="AE16">
            <v>12</v>
          </cell>
          <cell r="AF16">
            <v>12</v>
          </cell>
        </row>
        <row r="17">
          <cell r="C17">
            <v>7</v>
          </cell>
          <cell r="D17">
            <v>23.6</v>
          </cell>
          <cell r="E17">
            <v>10</v>
          </cell>
          <cell r="F17">
            <v>11</v>
          </cell>
          <cell r="G17">
            <v>12</v>
          </cell>
          <cell r="H17">
            <v>13</v>
          </cell>
          <cell r="I17">
            <v>14</v>
          </cell>
          <cell r="J17">
            <v>15</v>
          </cell>
          <cell r="K17">
            <v>16</v>
          </cell>
          <cell r="L17">
            <v>17</v>
          </cell>
          <cell r="M17">
            <v>18</v>
          </cell>
          <cell r="N17">
            <v>1</v>
          </cell>
          <cell r="O17">
            <v>2</v>
          </cell>
          <cell r="P17">
            <v>3</v>
          </cell>
          <cell r="Q17">
            <v>4</v>
          </cell>
          <cell r="R17">
            <v>5</v>
          </cell>
          <cell r="S17">
            <v>6</v>
          </cell>
          <cell r="T17">
            <v>7</v>
          </cell>
          <cell r="U17">
            <v>8</v>
          </cell>
          <cell r="V17">
            <v>9</v>
          </cell>
          <cell r="W17">
            <v>10</v>
          </cell>
          <cell r="X17">
            <v>11</v>
          </cell>
          <cell r="Y17">
            <v>12</v>
          </cell>
          <cell r="Z17">
            <v>13</v>
          </cell>
          <cell r="AA17">
            <v>14</v>
          </cell>
          <cell r="AB17">
            <v>15</v>
          </cell>
          <cell r="AC17">
            <v>16</v>
          </cell>
          <cell r="AD17">
            <v>17</v>
          </cell>
          <cell r="AE17">
            <v>18</v>
          </cell>
          <cell r="AF17">
            <v>19</v>
          </cell>
          <cell r="AG17">
            <v>20</v>
          </cell>
          <cell r="AH17">
            <v>21</v>
          </cell>
          <cell r="AI17">
            <v>22</v>
          </cell>
          <cell r="AJ17">
            <v>17</v>
          </cell>
          <cell r="AK17">
            <v>19.149999999999999</v>
          </cell>
          <cell r="AN17">
            <v>1</v>
          </cell>
          <cell r="AO17" t="str">
            <v>0</v>
          </cell>
          <cell r="AP17">
            <v>0</v>
          </cell>
          <cell r="AV17">
            <v>0</v>
          </cell>
          <cell r="BA17" t="str">
            <v>0</v>
          </cell>
          <cell r="BB17">
            <v>0</v>
          </cell>
          <cell r="BE17">
            <v>19.149999999999999</v>
          </cell>
          <cell r="BF17">
            <v>0</v>
          </cell>
          <cell r="BG17">
            <v>7</v>
          </cell>
        </row>
        <row r="18">
          <cell r="N18">
            <v>7</v>
          </cell>
          <cell r="O18">
            <v>10</v>
          </cell>
        </row>
        <row r="19">
          <cell r="C19">
            <v>23</v>
          </cell>
          <cell r="D19">
            <v>14.6</v>
          </cell>
          <cell r="E19">
            <v>2</v>
          </cell>
          <cell r="F19">
            <v>3</v>
          </cell>
          <cell r="G19">
            <v>4</v>
          </cell>
          <cell r="H19">
            <v>5</v>
          </cell>
          <cell r="I19">
            <v>6</v>
          </cell>
          <cell r="J19">
            <v>7</v>
          </cell>
          <cell r="K19">
            <v>8</v>
          </cell>
          <cell r="L19">
            <v>9</v>
          </cell>
          <cell r="M19">
            <v>10</v>
          </cell>
          <cell r="N19">
            <v>11</v>
          </cell>
          <cell r="O19">
            <v>12</v>
          </cell>
          <cell r="P19">
            <v>13</v>
          </cell>
          <cell r="Q19">
            <v>14</v>
          </cell>
          <cell r="R19">
            <v>15</v>
          </cell>
          <cell r="S19">
            <v>16</v>
          </cell>
          <cell r="T19">
            <v>17</v>
          </cell>
          <cell r="U19">
            <v>18</v>
          </cell>
          <cell r="V19">
            <v>19</v>
          </cell>
          <cell r="W19">
            <v>20</v>
          </cell>
          <cell r="X19">
            <v>21</v>
          </cell>
          <cell r="Y19">
            <v>1</v>
          </cell>
          <cell r="Z19">
            <v>2</v>
          </cell>
          <cell r="AA19">
            <v>3</v>
          </cell>
          <cell r="AB19">
            <v>4</v>
          </cell>
          <cell r="AC19">
            <v>5</v>
          </cell>
          <cell r="AD19">
            <v>6</v>
          </cell>
          <cell r="AE19">
            <v>7</v>
          </cell>
          <cell r="AF19">
            <v>8</v>
          </cell>
          <cell r="AG19">
            <v>9</v>
          </cell>
          <cell r="AH19">
            <v>10</v>
          </cell>
          <cell r="AI19">
            <v>11</v>
          </cell>
          <cell r="AJ19">
            <v>11</v>
          </cell>
          <cell r="AK19">
            <v>25.259999999999998</v>
          </cell>
          <cell r="AN19">
            <v>1</v>
          </cell>
          <cell r="AO19" t="str">
            <v>0</v>
          </cell>
          <cell r="AP19">
            <v>0</v>
          </cell>
          <cell r="AV19">
            <v>0</v>
          </cell>
          <cell r="BA19" t="str">
            <v>0</v>
          </cell>
          <cell r="BB19">
            <v>0</v>
          </cell>
          <cell r="BE19">
            <v>25.259999999999998</v>
          </cell>
          <cell r="BF19">
            <v>0</v>
          </cell>
          <cell r="BG19">
            <v>23</v>
          </cell>
        </row>
        <row r="20">
          <cell r="Y20">
            <v>11</v>
          </cell>
        </row>
        <row r="21">
          <cell r="C21">
            <v>24</v>
          </cell>
          <cell r="D21">
            <v>44.7</v>
          </cell>
          <cell r="E21">
            <v>5</v>
          </cell>
          <cell r="F21">
            <v>6</v>
          </cell>
          <cell r="G21">
            <v>7</v>
          </cell>
          <cell r="H21">
            <v>8</v>
          </cell>
          <cell r="I21">
            <v>9</v>
          </cell>
          <cell r="J21">
            <v>10</v>
          </cell>
          <cell r="K21">
            <v>11</v>
          </cell>
          <cell r="L21">
            <v>12</v>
          </cell>
          <cell r="M21">
            <v>13</v>
          </cell>
          <cell r="N21">
            <v>14</v>
          </cell>
          <cell r="O21">
            <v>15</v>
          </cell>
          <cell r="P21">
            <v>16</v>
          </cell>
          <cell r="Q21">
            <v>17</v>
          </cell>
          <cell r="R21">
            <v>18</v>
          </cell>
          <cell r="S21">
            <v>19</v>
          </cell>
          <cell r="T21">
            <v>20</v>
          </cell>
          <cell r="U21">
            <v>1</v>
          </cell>
          <cell r="V21">
            <v>2</v>
          </cell>
          <cell r="W21">
            <v>3</v>
          </cell>
          <cell r="X21">
            <v>4</v>
          </cell>
          <cell r="Y21">
            <v>5</v>
          </cell>
          <cell r="Z21">
            <v>6</v>
          </cell>
          <cell r="AA21">
            <v>7</v>
          </cell>
          <cell r="AB21">
            <v>8</v>
          </cell>
          <cell r="AC21">
            <v>9</v>
          </cell>
          <cell r="AD21">
            <v>10</v>
          </cell>
          <cell r="AE21">
            <v>11</v>
          </cell>
          <cell r="AF21">
            <v>12</v>
          </cell>
          <cell r="AG21">
            <v>13</v>
          </cell>
          <cell r="AH21">
            <v>14</v>
          </cell>
          <cell r="AI21">
            <v>15</v>
          </cell>
          <cell r="AJ21">
            <v>36</v>
          </cell>
          <cell r="AK21">
            <v>49.910000000000004</v>
          </cell>
          <cell r="AN21">
            <v>3</v>
          </cell>
          <cell r="AO21" t="str">
            <v>0</v>
          </cell>
          <cell r="AP21">
            <v>0</v>
          </cell>
          <cell r="AV21">
            <v>0</v>
          </cell>
          <cell r="BA21" t="str">
            <v>0</v>
          </cell>
          <cell r="BB21">
            <v>0</v>
          </cell>
          <cell r="BE21">
            <v>49.910000000000004</v>
          </cell>
          <cell r="BF21">
            <v>0</v>
          </cell>
          <cell r="BG21">
            <v>24</v>
          </cell>
        </row>
        <row r="22">
          <cell r="U22">
            <v>12</v>
          </cell>
          <cell r="V22">
            <v>12</v>
          </cell>
          <cell r="X22">
            <v>12</v>
          </cell>
        </row>
        <row r="23">
          <cell r="C23">
            <v>15</v>
          </cell>
          <cell r="D23">
            <v>49.3</v>
          </cell>
          <cell r="E23">
            <v>22</v>
          </cell>
          <cell r="F23">
            <v>23</v>
          </cell>
          <cell r="G23">
            <v>24</v>
          </cell>
          <cell r="H23">
            <v>1</v>
          </cell>
          <cell r="I23">
            <v>2</v>
          </cell>
          <cell r="J23">
            <v>3</v>
          </cell>
          <cell r="K23">
            <v>4</v>
          </cell>
          <cell r="L23">
            <v>5</v>
          </cell>
          <cell r="M23">
            <v>6</v>
          </cell>
          <cell r="N23">
            <v>7</v>
          </cell>
          <cell r="O23">
            <v>8</v>
          </cell>
          <cell r="P23">
            <v>9</v>
          </cell>
          <cell r="Q23">
            <v>10</v>
          </cell>
          <cell r="R23">
            <v>11</v>
          </cell>
          <cell r="S23">
            <v>12</v>
          </cell>
          <cell r="T23">
            <v>13</v>
          </cell>
          <cell r="U23">
            <v>14</v>
          </cell>
          <cell r="V23">
            <v>15</v>
          </cell>
          <cell r="W23">
            <v>16</v>
          </cell>
          <cell r="X23">
            <v>17</v>
          </cell>
          <cell r="Y23">
            <v>18</v>
          </cell>
          <cell r="Z23">
            <v>19</v>
          </cell>
          <cell r="AA23">
            <v>20</v>
          </cell>
          <cell r="AB23">
            <v>21</v>
          </cell>
          <cell r="AC23">
            <v>1</v>
          </cell>
          <cell r="AD23">
            <v>2</v>
          </cell>
          <cell r="AE23">
            <v>3</v>
          </cell>
          <cell r="AF23">
            <v>4</v>
          </cell>
          <cell r="AG23">
            <v>5</v>
          </cell>
          <cell r="AH23">
            <v>6</v>
          </cell>
          <cell r="AI23">
            <v>7</v>
          </cell>
          <cell r="AJ23">
            <v>60</v>
          </cell>
          <cell r="AK23">
            <v>70.900000000000006</v>
          </cell>
          <cell r="AN23">
            <v>2</v>
          </cell>
          <cell r="AO23" t="str">
            <v>0</v>
          </cell>
          <cell r="AP23">
            <v>0</v>
          </cell>
          <cell r="AQ23">
            <v>53.16</v>
          </cell>
          <cell r="AV23">
            <v>0</v>
          </cell>
          <cell r="BA23" t="str">
            <v>0</v>
          </cell>
          <cell r="BB23">
            <v>0</v>
          </cell>
          <cell r="BE23">
            <v>124.06</v>
          </cell>
          <cell r="BF23">
            <v>0</v>
          </cell>
          <cell r="BG23">
            <v>15</v>
          </cell>
        </row>
        <row r="24">
          <cell r="H24">
            <v>7</v>
          </cell>
          <cell r="I24">
            <v>13</v>
          </cell>
          <cell r="J24">
            <v>15</v>
          </cell>
          <cell r="AC24">
            <v>11</v>
          </cell>
          <cell r="AD24">
            <v>14</v>
          </cell>
        </row>
        <row r="25">
          <cell r="C25">
            <v>16</v>
          </cell>
          <cell r="D25">
            <v>50.4</v>
          </cell>
          <cell r="E25">
            <v>3</v>
          </cell>
          <cell r="F25">
            <v>4</v>
          </cell>
          <cell r="G25">
            <v>5</v>
          </cell>
          <cell r="H25">
            <v>6</v>
          </cell>
          <cell r="I25">
            <v>7</v>
          </cell>
          <cell r="J25">
            <v>8</v>
          </cell>
          <cell r="K25">
            <v>9</v>
          </cell>
          <cell r="L25">
            <v>10</v>
          </cell>
          <cell r="M25">
            <v>11</v>
          </cell>
          <cell r="N25">
            <v>12</v>
          </cell>
          <cell r="O25">
            <v>13</v>
          </cell>
          <cell r="P25">
            <v>14</v>
          </cell>
          <cell r="Q25">
            <v>15</v>
          </cell>
          <cell r="R25">
            <v>16</v>
          </cell>
          <cell r="S25">
            <v>17</v>
          </cell>
          <cell r="T25">
            <v>18</v>
          </cell>
          <cell r="U25">
            <v>19</v>
          </cell>
          <cell r="V25">
            <v>20</v>
          </cell>
          <cell r="W25">
            <v>21</v>
          </cell>
          <cell r="X25">
            <v>22</v>
          </cell>
          <cell r="Y25">
            <v>23</v>
          </cell>
          <cell r="Z25">
            <v>1</v>
          </cell>
          <cell r="AA25">
            <v>2</v>
          </cell>
          <cell r="AB25">
            <v>3</v>
          </cell>
          <cell r="AC25">
            <v>4</v>
          </cell>
          <cell r="AD25">
            <v>5</v>
          </cell>
          <cell r="AE25">
            <v>6</v>
          </cell>
          <cell r="AF25">
            <v>7</v>
          </cell>
          <cell r="AG25">
            <v>8</v>
          </cell>
          <cell r="AH25">
            <v>9</v>
          </cell>
          <cell r="AI25">
            <v>10</v>
          </cell>
          <cell r="AJ25">
            <v>60</v>
          </cell>
          <cell r="AK25">
            <v>53.38</v>
          </cell>
          <cell r="AN25">
            <v>2</v>
          </cell>
          <cell r="AO25" t="str">
            <v>0</v>
          </cell>
          <cell r="AP25">
            <v>0</v>
          </cell>
          <cell r="AQ25">
            <v>58.28</v>
          </cell>
          <cell r="AV25">
            <v>0</v>
          </cell>
          <cell r="BA25" t="str">
            <v>0</v>
          </cell>
          <cell r="BB25">
            <v>0</v>
          </cell>
          <cell r="BE25">
            <v>111.66</v>
          </cell>
          <cell r="BF25">
            <v>0</v>
          </cell>
          <cell r="BG25">
            <v>16</v>
          </cell>
        </row>
        <row r="26">
          <cell r="F26">
            <v>9</v>
          </cell>
          <cell r="G26">
            <v>12</v>
          </cell>
          <cell r="H26">
            <v>7</v>
          </cell>
          <cell r="Z26">
            <v>6</v>
          </cell>
          <cell r="AA26">
            <v>12</v>
          </cell>
          <cell r="AB26">
            <v>14</v>
          </cell>
        </row>
        <row r="27">
          <cell r="C27">
            <v>17</v>
          </cell>
          <cell r="D27">
            <v>45.7</v>
          </cell>
          <cell r="E27">
            <v>5</v>
          </cell>
          <cell r="F27">
            <v>6</v>
          </cell>
          <cell r="G27">
            <v>7</v>
          </cell>
          <cell r="H27">
            <v>8</v>
          </cell>
          <cell r="I27">
            <v>9</v>
          </cell>
          <cell r="J27">
            <v>10</v>
          </cell>
          <cell r="K27">
            <v>11</v>
          </cell>
          <cell r="L27">
            <v>12</v>
          </cell>
          <cell r="M27">
            <v>13</v>
          </cell>
          <cell r="N27">
            <v>14</v>
          </cell>
          <cell r="O27">
            <v>15</v>
          </cell>
          <cell r="P27">
            <v>16</v>
          </cell>
          <cell r="Q27">
            <v>17</v>
          </cell>
          <cell r="R27">
            <v>18</v>
          </cell>
          <cell r="S27">
            <v>19</v>
          </cell>
          <cell r="T27">
            <v>20</v>
          </cell>
          <cell r="U27">
            <v>21</v>
          </cell>
          <cell r="V27">
            <v>22</v>
          </cell>
          <cell r="W27">
            <v>23</v>
          </cell>
          <cell r="X27">
            <v>24</v>
          </cell>
          <cell r="Y27">
            <v>1</v>
          </cell>
          <cell r="Z27">
            <v>2</v>
          </cell>
          <cell r="AA27">
            <v>3</v>
          </cell>
          <cell r="AB27">
            <v>4</v>
          </cell>
          <cell r="AC27">
            <v>5</v>
          </cell>
          <cell r="AD27">
            <v>6</v>
          </cell>
          <cell r="AE27">
            <v>7</v>
          </cell>
          <cell r="AF27">
            <v>8</v>
          </cell>
          <cell r="AG27">
            <v>9</v>
          </cell>
          <cell r="AH27">
            <v>10</v>
          </cell>
          <cell r="AI27">
            <v>11</v>
          </cell>
          <cell r="AJ27">
            <v>26</v>
          </cell>
          <cell r="AK27">
            <v>43.17</v>
          </cell>
          <cell r="AN27">
            <v>3</v>
          </cell>
          <cell r="AO27" t="str">
            <v>0</v>
          </cell>
          <cell r="AP27">
            <v>0</v>
          </cell>
          <cell r="AV27">
            <v>0</v>
          </cell>
          <cell r="BA27" t="str">
            <v>0</v>
          </cell>
          <cell r="BB27">
            <v>0</v>
          </cell>
          <cell r="BE27">
            <v>43.17</v>
          </cell>
          <cell r="BF27">
            <v>0</v>
          </cell>
          <cell r="BG27">
            <v>17</v>
          </cell>
        </row>
        <row r="28">
          <cell r="Y28">
            <v>14</v>
          </cell>
          <cell r="Z28">
            <v>12</v>
          </cell>
        </row>
        <row r="29">
          <cell r="C29">
            <v>19</v>
          </cell>
          <cell r="D29">
            <v>50.6</v>
          </cell>
          <cell r="E29">
            <v>18</v>
          </cell>
          <cell r="F29">
            <v>19</v>
          </cell>
          <cell r="G29">
            <v>20</v>
          </cell>
          <cell r="H29">
            <v>21</v>
          </cell>
          <cell r="I29">
            <v>22</v>
          </cell>
          <cell r="J29">
            <v>23</v>
          </cell>
          <cell r="K29">
            <v>24</v>
          </cell>
          <cell r="L29">
            <v>1</v>
          </cell>
          <cell r="M29">
            <v>2</v>
          </cell>
          <cell r="N29">
            <v>3</v>
          </cell>
          <cell r="O29">
            <v>4</v>
          </cell>
          <cell r="P29">
            <v>5</v>
          </cell>
          <cell r="Q29">
            <v>6</v>
          </cell>
          <cell r="R29">
            <v>7</v>
          </cell>
          <cell r="S29">
            <v>8</v>
          </cell>
          <cell r="T29">
            <v>9</v>
          </cell>
          <cell r="U29">
            <v>10</v>
          </cell>
          <cell r="V29">
            <v>11</v>
          </cell>
          <cell r="W29">
            <v>12</v>
          </cell>
          <cell r="X29">
            <v>13</v>
          </cell>
          <cell r="Y29">
            <v>14</v>
          </cell>
          <cell r="Z29">
            <v>15</v>
          </cell>
          <cell r="AA29">
            <v>16</v>
          </cell>
          <cell r="AB29">
            <v>17</v>
          </cell>
          <cell r="AC29">
            <v>18</v>
          </cell>
          <cell r="AD29">
            <v>19</v>
          </cell>
          <cell r="AE29">
            <v>1</v>
          </cell>
          <cell r="AF29">
            <v>2</v>
          </cell>
          <cell r="AG29">
            <v>3</v>
          </cell>
          <cell r="AH29">
            <v>4</v>
          </cell>
          <cell r="AI29">
            <v>5</v>
          </cell>
          <cell r="AJ29">
            <v>52</v>
          </cell>
          <cell r="AK29">
            <v>56.22</v>
          </cell>
          <cell r="AN29">
            <v>3</v>
          </cell>
          <cell r="AO29" t="str">
            <v>0</v>
          </cell>
          <cell r="AP29">
            <v>0</v>
          </cell>
          <cell r="AQ29">
            <v>33.75</v>
          </cell>
          <cell r="AV29">
            <v>0</v>
          </cell>
          <cell r="BA29" t="str">
            <v>0</v>
          </cell>
          <cell r="BB29">
            <v>0</v>
          </cell>
          <cell r="BE29">
            <v>89.97</v>
          </cell>
          <cell r="BF29">
            <v>0</v>
          </cell>
          <cell r="BG29">
            <v>19</v>
          </cell>
        </row>
        <row r="30">
          <cell r="L30">
            <v>15</v>
          </cell>
          <cell r="M30">
            <v>13</v>
          </cell>
          <cell r="N30">
            <v>5</v>
          </cell>
          <cell r="AE30">
            <v>13</v>
          </cell>
          <cell r="AF30">
            <v>6</v>
          </cell>
        </row>
        <row r="31">
          <cell r="C31">
            <v>20</v>
          </cell>
          <cell r="D31">
            <v>62.1</v>
          </cell>
          <cell r="E31">
            <v>15</v>
          </cell>
          <cell r="F31">
            <v>16</v>
          </cell>
          <cell r="G31">
            <v>17</v>
          </cell>
          <cell r="H31">
            <v>18</v>
          </cell>
          <cell r="I31">
            <v>19</v>
          </cell>
          <cell r="J31">
            <v>20</v>
          </cell>
          <cell r="K31">
            <v>21</v>
          </cell>
          <cell r="L31">
            <v>22</v>
          </cell>
          <cell r="M31">
            <v>23</v>
          </cell>
          <cell r="N31">
            <v>1</v>
          </cell>
          <cell r="O31">
            <v>2</v>
          </cell>
          <cell r="P31">
            <v>3</v>
          </cell>
          <cell r="Q31">
            <v>4</v>
          </cell>
          <cell r="R31">
            <v>5</v>
          </cell>
          <cell r="S31">
            <v>6</v>
          </cell>
          <cell r="T31">
            <v>7</v>
          </cell>
          <cell r="U31">
            <v>8</v>
          </cell>
          <cell r="V31">
            <v>9</v>
          </cell>
          <cell r="W31">
            <v>10</v>
          </cell>
          <cell r="X31">
            <v>11</v>
          </cell>
          <cell r="Y31">
            <v>12</v>
          </cell>
          <cell r="Z31">
            <v>13</v>
          </cell>
          <cell r="AA31">
            <v>14</v>
          </cell>
          <cell r="AB31">
            <v>15</v>
          </cell>
          <cell r="AC31">
            <v>16</v>
          </cell>
          <cell r="AD31">
            <v>17</v>
          </cell>
          <cell r="AE31">
            <v>18</v>
          </cell>
          <cell r="AF31">
            <v>1</v>
          </cell>
          <cell r="AG31">
            <v>2</v>
          </cell>
          <cell r="AH31">
            <v>3</v>
          </cell>
          <cell r="AI31">
            <v>4</v>
          </cell>
          <cell r="AJ31">
            <v>77</v>
          </cell>
          <cell r="AK31">
            <v>84.19</v>
          </cell>
          <cell r="AN31">
            <v>3</v>
          </cell>
          <cell r="AO31" t="str">
            <v>0</v>
          </cell>
          <cell r="AP31">
            <v>0</v>
          </cell>
          <cell r="AQ31">
            <v>52.47</v>
          </cell>
          <cell r="AV31">
            <v>0</v>
          </cell>
          <cell r="BA31" t="str">
            <v>0</v>
          </cell>
          <cell r="BB31">
            <v>0</v>
          </cell>
          <cell r="BE31">
            <v>136.66</v>
          </cell>
          <cell r="BF31">
            <v>0</v>
          </cell>
          <cell r="BG31">
            <v>20</v>
          </cell>
        </row>
        <row r="32">
          <cell r="N32">
            <v>9</v>
          </cell>
          <cell r="O32">
            <v>13</v>
          </cell>
          <cell r="P32">
            <v>13</v>
          </cell>
          <cell r="R32">
            <v>11</v>
          </cell>
          <cell r="S32">
            <v>6</v>
          </cell>
          <cell r="AF32">
            <v>6</v>
          </cell>
          <cell r="AG32">
            <v>12</v>
          </cell>
          <cell r="AH32">
            <v>7</v>
          </cell>
        </row>
        <row r="33">
          <cell r="C33">
            <v>21</v>
          </cell>
          <cell r="D33">
            <v>72.2</v>
          </cell>
          <cell r="E33">
            <v>13</v>
          </cell>
          <cell r="F33">
            <v>14</v>
          </cell>
          <cell r="G33">
            <v>15</v>
          </cell>
          <cell r="H33">
            <v>16</v>
          </cell>
          <cell r="I33">
            <v>17</v>
          </cell>
          <cell r="J33">
            <v>18</v>
          </cell>
          <cell r="K33">
            <v>19</v>
          </cell>
          <cell r="L33">
            <v>20</v>
          </cell>
          <cell r="M33">
            <v>21</v>
          </cell>
          <cell r="N33">
            <v>22</v>
          </cell>
          <cell r="O33">
            <v>23</v>
          </cell>
          <cell r="P33">
            <v>24</v>
          </cell>
          <cell r="Q33">
            <v>25</v>
          </cell>
          <cell r="R33">
            <v>26</v>
          </cell>
          <cell r="S33">
            <v>1</v>
          </cell>
          <cell r="T33">
            <v>2</v>
          </cell>
          <cell r="U33">
            <v>3</v>
          </cell>
          <cell r="V33">
            <v>4</v>
          </cell>
          <cell r="W33">
            <v>5</v>
          </cell>
          <cell r="X33">
            <v>6</v>
          </cell>
          <cell r="Y33">
            <v>7</v>
          </cell>
          <cell r="Z33">
            <v>8</v>
          </cell>
          <cell r="AA33">
            <v>9</v>
          </cell>
          <cell r="AB33">
            <v>10</v>
          </cell>
          <cell r="AC33">
            <v>11</v>
          </cell>
          <cell r="AD33">
            <v>12</v>
          </cell>
          <cell r="AE33">
            <v>13</v>
          </cell>
          <cell r="AF33">
            <v>14</v>
          </cell>
          <cell r="AG33">
            <v>15</v>
          </cell>
          <cell r="AH33">
            <v>1</v>
          </cell>
          <cell r="AI33">
            <v>2</v>
          </cell>
          <cell r="AJ33">
            <v>58</v>
          </cell>
          <cell r="AK33">
            <v>101.30000000000001</v>
          </cell>
          <cell r="AN33">
            <v>5</v>
          </cell>
          <cell r="AO33" t="str">
            <v>0</v>
          </cell>
          <cell r="AP33">
            <v>0</v>
          </cell>
          <cell r="AQ33">
            <v>20.9</v>
          </cell>
          <cell r="AV33">
            <v>0</v>
          </cell>
          <cell r="BA33" t="str">
            <v>0</v>
          </cell>
          <cell r="BB33">
            <v>0</v>
          </cell>
          <cell r="BE33">
            <v>122.20000000000002</v>
          </cell>
          <cell r="BF33">
            <v>0</v>
          </cell>
          <cell r="BG33">
            <v>21</v>
          </cell>
        </row>
        <row r="34">
          <cell r="S34">
            <v>7</v>
          </cell>
          <cell r="T34">
            <v>13</v>
          </cell>
          <cell r="U34">
            <v>13</v>
          </cell>
          <cell r="V34">
            <v>7</v>
          </cell>
          <cell r="AH34">
            <v>7</v>
          </cell>
          <cell r="AI34">
            <v>11</v>
          </cell>
        </row>
        <row r="35">
          <cell r="C35">
            <v>22</v>
          </cell>
          <cell r="D35">
            <v>52.3</v>
          </cell>
          <cell r="E35">
            <v>7</v>
          </cell>
          <cell r="F35">
            <v>8</v>
          </cell>
          <cell r="G35">
            <v>9</v>
          </cell>
          <cell r="H35">
            <v>10</v>
          </cell>
          <cell r="I35">
            <v>11</v>
          </cell>
          <cell r="J35">
            <v>12</v>
          </cell>
          <cell r="K35">
            <v>13</v>
          </cell>
          <cell r="L35">
            <v>14</v>
          </cell>
          <cell r="M35">
            <v>15</v>
          </cell>
          <cell r="N35">
            <v>16</v>
          </cell>
          <cell r="O35">
            <v>17</v>
          </cell>
          <cell r="P35">
            <v>18</v>
          </cell>
          <cell r="Q35">
            <v>19</v>
          </cell>
          <cell r="R35">
            <v>20</v>
          </cell>
          <cell r="S35">
            <v>21</v>
          </cell>
          <cell r="T35">
            <v>22</v>
          </cell>
          <cell r="U35">
            <v>23</v>
          </cell>
          <cell r="V35">
            <v>1</v>
          </cell>
          <cell r="W35">
            <v>2</v>
          </cell>
          <cell r="X35">
            <v>3</v>
          </cell>
          <cell r="Y35">
            <v>4</v>
          </cell>
          <cell r="Z35">
            <v>5</v>
          </cell>
          <cell r="AA35">
            <v>6</v>
          </cell>
          <cell r="AB35">
            <v>7</v>
          </cell>
          <cell r="AC35">
            <v>8</v>
          </cell>
          <cell r="AD35">
            <v>9</v>
          </cell>
          <cell r="AE35">
            <v>10</v>
          </cell>
          <cell r="AF35">
            <v>11</v>
          </cell>
          <cell r="AG35">
            <v>12</v>
          </cell>
          <cell r="AH35">
            <v>13</v>
          </cell>
          <cell r="AI35">
            <v>14</v>
          </cell>
          <cell r="AJ35">
            <v>31</v>
          </cell>
          <cell r="AK35">
            <v>64.45</v>
          </cell>
          <cell r="AN35">
            <v>3</v>
          </cell>
          <cell r="AO35" t="str">
            <v>0</v>
          </cell>
          <cell r="AP35">
            <v>0</v>
          </cell>
          <cell r="AV35">
            <v>0</v>
          </cell>
          <cell r="BA35" t="str">
            <v>0</v>
          </cell>
          <cell r="BB35">
            <v>0</v>
          </cell>
          <cell r="BE35">
            <v>64.45</v>
          </cell>
          <cell r="BF35">
            <v>0</v>
          </cell>
          <cell r="BG35">
            <v>22</v>
          </cell>
        </row>
        <row r="36">
          <cell r="V36">
            <v>7</v>
          </cell>
          <cell r="W36">
            <v>10</v>
          </cell>
          <cell r="X36">
            <v>14</v>
          </cell>
        </row>
        <row r="37">
          <cell r="C37">
            <v>8</v>
          </cell>
          <cell r="D37">
            <v>61.6</v>
          </cell>
          <cell r="E37">
            <v>6</v>
          </cell>
          <cell r="F37">
            <v>7</v>
          </cell>
          <cell r="G37">
            <v>8</v>
          </cell>
          <cell r="H37">
            <v>9</v>
          </cell>
          <cell r="I37">
            <v>10</v>
          </cell>
          <cell r="J37">
            <v>11</v>
          </cell>
          <cell r="K37">
            <v>12</v>
          </cell>
          <cell r="L37">
            <v>13</v>
          </cell>
          <cell r="M37">
            <v>14</v>
          </cell>
          <cell r="N37">
            <v>15</v>
          </cell>
          <cell r="O37">
            <v>1</v>
          </cell>
          <cell r="P37">
            <v>2</v>
          </cell>
          <cell r="Q37">
            <v>3</v>
          </cell>
          <cell r="R37">
            <v>4</v>
          </cell>
          <cell r="S37">
            <v>5</v>
          </cell>
          <cell r="T37">
            <v>6</v>
          </cell>
          <cell r="U37">
            <v>7</v>
          </cell>
          <cell r="V37">
            <v>8</v>
          </cell>
          <cell r="W37">
            <v>9</v>
          </cell>
          <cell r="X37">
            <v>10</v>
          </cell>
          <cell r="Y37">
            <v>11</v>
          </cell>
          <cell r="Z37">
            <v>12</v>
          </cell>
          <cell r="AA37">
            <v>13</v>
          </cell>
          <cell r="AB37">
            <v>14</v>
          </cell>
          <cell r="AC37">
            <v>15</v>
          </cell>
          <cell r="AD37">
            <v>16</v>
          </cell>
          <cell r="AE37">
            <v>17</v>
          </cell>
          <cell r="AF37">
            <v>18</v>
          </cell>
          <cell r="AG37">
            <v>19</v>
          </cell>
          <cell r="AH37">
            <v>20</v>
          </cell>
          <cell r="AI37">
            <v>1</v>
          </cell>
          <cell r="AJ37">
            <v>37</v>
          </cell>
          <cell r="AK37">
            <v>59.31</v>
          </cell>
          <cell r="AN37">
            <v>4</v>
          </cell>
          <cell r="AO37" t="str">
            <v>0</v>
          </cell>
          <cell r="AP37">
            <v>0</v>
          </cell>
          <cell r="AQ37">
            <v>7.63</v>
          </cell>
          <cell r="AV37">
            <v>0</v>
          </cell>
          <cell r="BA37" t="str">
            <v>0</v>
          </cell>
          <cell r="BB37">
            <v>0</v>
          </cell>
          <cell r="BE37">
            <v>66.94</v>
          </cell>
          <cell r="BF37">
            <v>0</v>
          </cell>
          <cell r="BG37">
            <v>8</v>
          </cell>
        </row>
        <row r="38">
          <cell r="O38">
            <v>10</v>
          </cell>
          <cell r="P38">
            <v>10</v>
          </cell>
          <cell r="R38">
            <v>10</v>
          </cell>
          <cell r="AI38">
            <v>7</v>
          </cell>
        </row>
        <row r="39">
          <cell r="C39">
            <v>9</v>
          </cell>
          <cell r="D39">
            <v>38.299999999999997</v>
          </cell>
          <cell r="E39">
            <v>4</v>
          </cell>
          <cell r="F39">
            <v>5</v>
          </cell>
          <cell r="G39">
            <v>6</v>
          </cell>
          <cell r="H39">
            <v>7</v>
          </cell>
          <cell r="I39">
            <v>8</v>
          </cell>
          <cell r="J39">
            <v>9</v>
          </cell>
          <cell r="K39">
            <v>10</v>
          </cell>
          <cell r="L39">
            <v>11</v>
          </cell>
          <cell r="M39">
            <v>12</v>
          </cell>
          <cell r="N39">
            <v>13</v>
          </cell>
          <cell r="O39">
            <v>14</v>
          </cell>
          <cell r="P39">
            <v>15</v>
          </cell>
          <cell r="Q39">
            <v>16</v>
          </cell>
          <cell r="R39">
            <v>17</v>
          </cell>
          <cell r="S39">
            <v>1</v>
          </cell>
          <cell r="T39">
            <v>2</v>
          </cell>
          <cell r="U39">
            <v>3</v>
          </cell>
          <cell r="V39">
            <v>4</v>
          </cell>
          <cell r="W39">
            <v>5</v>
          </cell>
          <cell r="X39">
            <v>6</v>
          </cell>
          <cell r="Y39">
            <v>7</v>
          </cell>
          <cell r="Z39">
            <v>8</v>
          </cell>
          <cell r="AA39">
            <v>9</v>
          </cell>
          <cell r="AB39">
            <v>10</v>
          </cell>
          <cell r="AC39">
            <v>11</v>
          </cell>
          <cell r="AD39">
            <v>12</v>
          </cell>
          <cell r="AE39">
            <v>13</v>
          </cell>
          <cell r="AF39">
            <v>14</v>
          </cell>
          <cell r="AG39">
            <v>15</v>
          </cell>
          <cell r="AH39">
            <v>16</v>
          </cell>
          <cell r="AI39">
            <v>17</v>
          </cell>
          <cell r="AJ39">
            <v>18</v>
          </cell>
          <cell r="AK39">
            <v>33.010000000000005</v>
          </cell>
          <cell r="AN39">
            <v>2</v>
          </cell>
          <cell r="AO39" t="str">
            <v>0</v>
          </cell>
          <cell r="AP39">
            <v>0</v>
          </cell>
          <cell r="AV39">
            <v>0</v>
          </cell>
          <cell r="BA39" t="str">
            <v>0</v>
          </cell>
          <cell r="BB39">
            <v>0</v>
          </cell>
          <cell r="BE39">
            <v>33.010000000000005</v>
          </cell>
          <cell r="BF39">
            <v>0</v>
          </cell>
          <cell r="BG39">
            <v>9</v>
          </cell>
        </row>
        <row r="40">
          <cell r="S40">
            <v>10</v>
          </cell>
          <cell r="T40">
            <v>8</v>
          </cell>
        </row>
        <row r="41">
          <cell r="C41">
            <v>12</v>
          </cell>
          <cell r="D41">
            <v>71</v>
          </cell>
          <cell r="E41">
            <v>2</v>
          </cell>
          <cell r="F41">
            <v>3</v>
          </cell>
          <cell r="G41">
            <v>4</v>
          </cell>
          <cell r="H41">
            <v>5</v>
          </cell>
          <cell r="I41">
            <v>6</v>
          </cell>
          <cell r="J41">
            <v>7</v>
          </cell>
          <cell r="K41">
            <v>8</v>
          </cell>
          <cell r="L41">
            <v>9</v>
          </cell>
          <cell r="M41">
            <v>10</v>
          </cell>
          <cell r="N41">
            <v>11</v>
          </cell>
          <cell r="O41">
            <v>12</v>
          </cell>
          <cell r="P41">
            <v>13</v>
          </cell>
          <cell r="Q41">
            <v>14</v>
          </cell>
          <cell r="R41">
            <v>15</v>
          </cell>
          <cell r="S41">
            <v>16</v>
          </cell>
          <cell r="T41">
            <v>17</v>
          </cell>
          <cell r="U41">
            <v>18</v>
          </cell>
          <cell r="V41">
            <v>1</v>
          </cell>
          <cell r="W41">
            <v>2</v>
          </cell>
          <cell r="X41">
            <v>3</v>
          </cell>
          <cell r="Y41">
            <v>4</v>
          </cell>
          <cell r="Z41">
            <v>5</v>
          </cell>
          <cell r="AA41">
            <v>6</v>
          </cell>
          <cell r="AB41">
            <v>7</v>
          </cell>
          <cell r="AC41">
            <v>8</v>
          </cell>
          <cell r="AD41">
            <v>9</v>
          </cell>
          <cell r="AE41">
            <v>10</v>
          </cell>
          <cell r="AF41">
            <v>11</v>
          </cell>
          <cell r="AG41">
            <v>12</v>
          </cell>
          <cell r="AH41">
            <v>13</v>
          </cell>
          <cell r="AI41">
            <v>14</v>
          </cell>
          <cell r="AJ41">
            <v>51</v>
          </cell>
          <cell r="AK41">
            <v>49.47</v>
          </cell>
          <cell r="AN41">
            <v>5</v>
          </cell>
          <cell r="AO41" t="str">
            <v>0</v>
          </cell>
          <cell r="AP41">
            <v>0</v>
          </cell>
          <cell r="AQ41">
            <v>43.91</v>
          </cell>
          <cell r="AV41">
            <v>0</v>
          </cell>
          <cell r="BA41" t="str">
            <v>0</v>
          </cell>
          <cell r="BB41">
            <v>0</v>
          </cell>
          <cell r="BE41">
            <v>93.38</v>
          </cell>
          <cell r="BF41">
            <v>0</v>
          </cell>
          <cell r="BG41">
            <v>12</v>
          </cell>
        </row>
        <row r="42">
          <cell r="F42">
            <v>10</v>
          </cell>
          <cell r="H42">
            <v>10</v>
          </cell>
          <cell r="V42">
            <v>7</v>
          </cell>
          <cell r="W42">
            <v>7</v>
          </cell>
          <cell r="X42">
            <v>7</v>
          </cell>
          <cell r="Y42">
            <v>7</v>
          </cell>
          <cell r="Z42">
            <v>3</v>
          </cell>
        </row>
        <row r="43">
          <cell r="C43">
            <v>10</v>
          </cell>
          <cell r="D43">
            <v>19.100000000000001</v>
          </cell>
          <cell r="E43">
            <v>2</v>
          </cell>
          <cell r="F43">
            <v>3</v>
          </cell>
          <cell r="G43">
            <v>4</v>
          </cell>
          <cell r="H43">
            <v>5</v>
          </cell>
          <cell r="I43">
            <v>6</v>
          </cell>
          <cell r="J43">
            <v>7</v>
          </cell>
          <cell r="K43">
            <v>8</v>
          </cell>
          <cell r="L43">
            <v>9</v>
          </cell>
          <cell r="M43">
            <v>10</v>
          </cell>
          <cell r="N43">
            <v>11</v>
          </cell>
          <cell r="O43">
            <v>12</v>
          </cell>
          <cell r="P43">
            <v>13</v>
          </cell>
          <cell r="Q43">
            <v>14</v>
          </cell>
          <cell r="R43">
            <v>15</v>
          </cell>
          <cell r="S43">
            <v>16</v>
          </cell>
          <cell r="T43">
            <v>17</v>
          </cell>
          <cell r="U43">
            <v>1</v>
          </cell>
          <cell r="V43">
            <v>2</v>
          </cell>
          <cell r="W43">
            <v>3</v>
          </cell>
          <cell r="X43">
            <v>4</v>
          </cell>
          <cell r="Y43">
            <v>5</v>
          </cell>
          <cell r="Z43">
            <v>6</v>
          </cell>
          <cell r="AA43">
            <v>7</v>
          </cell>
          <cell r="AB43">
            <v>8</v>
          </cell>
          <cell r="AC43">
            <v>9</v>
          </cell>
          <cell r="AD43">
            <v>10</v>
          </cell>
          <cell r="AE43">
            <v>11</v>
          </cell>
          <cell r="AF43">
            <v>12</v>
          </cell>
          <cell r="AG43">
            <v>13</v>
          </cell>
          <cell r="AH43">
            <v>14</v>
          </cell>
          <cell r="AI43">
            <v>15</v>
          </cell>
          <cell r="AJ43">
            <v>8</v>
          </cell>
          <cell r="AK43">
            <v>13.41</v>
          </cell>
          <cell r="AN43">
            <v>2</v>
          </cell>
          <cell r="AO43" t="str">
            <v>0</v>
          </cell>
          <cell r="AP43">
            <v>0</v>
          </cell>
          <cell r="AV43">
            <v>0</v>
          </cell>
          <cell r="BA43" t="str">
            <v>0</v>
          </cell>
          <cell r="BB43">
            <v>0</v>
          </cell>
          <cell r="BE43">
            <v>13.41</v>
          </cell>
          <cell r="BF43">
            <v>0</v>
          </cell>
          <cell r="BG43">
            <v>10</v>
          </cell>
        </row>
        <row r="44">
          <cell r="U44">
            <v>8</v>
          </cell>
        </row>
        <row r="45">
          <cell r="C45">
            <v>13</v>
          </cell>
          <cell r="D45">
            <v>60.8</v>
          </cell>
          <cell r="E45">
            <v>9</v>
          </cell>
          <cell r="F45">
            <v>10</v>
          </cell>
          <cell r="G45">
            <v>11</v>
          </cell>
          <cell r="H45">
            <v>12</v>
          </cell>
          <cell r="I45">
            <v>13</v>
          </cell>
          <cell r="J45">
            <v>1</v>
          </cell>
          <cell r="K45">
            <v>2</v>
          </cell>
          <cell r="L45">
            <v>3</v>
          </cell>
          <cell r="M45">
            <v>4</v>
          </cell>
          <cell r="N45">
            <v>5</v>
          </cell>
          <cell r="O45">
            <v>6</v>
          </cell>
          <cell r="P45">
            <v>7</v>
          </cell>
          <cell r="Q45">
            <v>8</v>
          </cell>
          <cell r="R45">
            <v>9</v>
          </cell>
          <cell r="S45">
            <v>10</v>
          </cell>
          <cell r="T45">
            <v>11</v>
          </cell>
          <cell r="U45">
            <v>12</v>
          </cell>
          <cell r="V45">
            <v>13</v>
          </cell>
          <cell r="W45">
            <v>14</v>
          </cell>
          <cell r="X45">
            <v>15</v>
          </cell>
          <cell r="Y45">
            <v>16</v>
          </cell>
          <cell r="Z45">
            <v>17</v>
          </cell>
          <cell r="AA45">
            <v>18</v>
          </cell>
          <cell r="AB45">
            <v>19</v>
          </cell>
          <cell r="AC45">
            <v>1</v>
          </cell>
          <cell r="AD45">
            <v>2</v>
          </cell>
          <cell r="AE45">
            <v>3</v>
          </cell>
          <cell r="AF45">
            <v>4</v>
          </cell>
          <cell r="AG45">
            <v>5</v>
          </cell>
          <cell r="AH45">
            <v>6</v>
          </cell>
          <cell r="AI45">
            <v>7</v>
          </cell>
          <cell r="AJ45">
            <v>71</v>
          </cell>
          <cell r="AK45">
            <v>59.580000000000005</v>
          </cell>
          <cell r="AN45">
            <v>3</v>
          </cell>
          <cell r="AO45" t="str">
            <v>0</v>
          </cell>
          <cell r="AP45">
            <v>0</v>
          </cell>
          <cell r="AQ45">
            <v>53.370000000000005</v>
          </cell>
          <cell r="AV45">
            <v>0</v>
          </cell>
          <cell r="BA45" t="str">
            <v>0</v>
          </cell>
          <cell r="BB45">
            <v>0</v>
          </cell>
          <cell r="BE45">
            <v>112.95000000000002</v>
          </cell>
          <cell r="BF45">
            <v>0</v>
          </cell>
          <cell r="BG45">
            <v>13</v>
          </cell>
        </row>
        <row r="46">
          <cell r="J46">
            <v>5</v>
          </cell>
          <cell r="L46">
            <v>10</v>
          </cell>
          <cell r="M46">
            <v>10</v>
          </cell>
          <cell r="N46">
            <v>10</v>
          </cell>
          <cell r="AC46">
            <v>3</v>
          </cell>
          <cell r="AD46">
            <v>7</v>
          </cell>
          <cell r="AE46">
            <v>7</v>
          </cell>
          <cell r="AF46">
            <v>5</v>
          </cell>
          <cell r="AG46">
            <v>7</v>
          </cell>
          <cell r="AH46">
            <v>7</v>
          </cell>
        </row>
        <row r="47">
          <cell r="C47">
            <v>18</v>
          </cell>
          <cell r="D47">
            <v>40.799999999999997</v>
          </cell>
          <cell r="E47">
            <v>12</v>
          </cell>
          <cell r="F47">
            <v>13</v>
          </cell>
          <cell r="G47">
            <v>14</v>
          </cell>
          <cell r="H47">
            <v>15</v>
          </cell>
          <cell r="I47">
            <v>1</v>
          </cell>
          <cell r="J47">
            <v>2</v>
          </cell>
          <cell r="K47">
            <v>3</v>
          </cell>
          <cell r="L47">
            <v>4</v>
          </cell>
          <cell r="M47">
            <v>5</v>
          </cell>
          <cell r="N47">
            <v>6</v>
          </cell>
          <cell r="O47">
            <v>7</v>
          </cell>
          <cell r="P47">
            <v>8</v>
          </cell>
          <cell r="Q47">
            <v>9</v>
          </cell>
          <cell r="R47">
            <v>10</v>
          </cell>
          <cell r="S47">
            <v>11</v>
          </cell>
          <cell r="T47">
            <v>12</v>
          </cell>
          <cell r="U47">
            <v>13</v>
          </cell>
          <cell r="V47">
            <v>14</v>
          </cell>
          <cell r="W47">
            <v>15</v>
          </cell>
          <cell r="X47">
            <v>16</v>
          </cell>
          <cell r="Y47">
            <v>17</v>
          </cell>
          <cell r="Z47">
            <v>1</v>
          </cell>
          <cell r="AA47">
            <v>2</v>
          </cell>
          <cell r="AB47">
            <v>3</v>
          </cell>
          <cell r="AC47">
            <v>4</v>
          </cell>
          <cell r="AD47">
            <v>5</v>
          </cell>
          <cell r="AE47">
            <v>6</v>
          </cell>
          <cell r="AF47">
            <v>7</v>
          </cell>
          <cell r="AG47">
            <v>8</v>
          </cell>
          <cell r="AH47">
            <v>9</v>
          </cell>
          <cell r="AI47">
            <v>10</v>
          </cell>
          <cell r="AJ47">
            <v>36</v>
          </cell>
          <cell r="AK47">
            <v>45.21</v>
          </cell>
          <cell r="AN47">
            <v>3</v>
          </cell>
          <cell r="AO47" t="str">
            <v>0</v>
          </cell>
          <cell r="AP47">
            <v>0</v>
          </cell>
          <cell r="AQ47">
            <v>40.72</v>
          </cell>
          <cell r="AV47">
            <v>0</v>
          </cell>
          <cell r="BA47" t="str">
            <v>0</v>
          </cell>
          <cell r="BB47">
            <v>0</v>
          </cell>
          <cell r="BE47">
            <v>85.93</v>
          </cell>
          <cell r="BF47">
            <v>0</v>
          </cell>
          <cell r="BG47">
            <v>18</v>
          </cell>
        </row>
        <row r="48">
          <cell r="I48">
            <v>10</v>
          </cell>
          <cell r="J48">
            <v>5</v>
          </cell>
          <cell r="Z48">
            <v>4</v>
          </cell>
          <cell r="AA48">
            <v>6</v>
          </cell>
          <cell r="AB48">
            <v>7</v>
          </cell>
          <cell r="AC48">
            <v>4</v>
          </cell>
        </row>
        <row r="49">
          <cell r="C49">
            <v>25</v>
          </cell>
          <cell r="D49">
            <v>36.64</v>
          </cell>
          <cell r="E49">
            <v>11</v>
          </cell>
          <cell r="F49">
            <v>12</v>
          </cell>
          <cell r="G49">
            <v>13</v>
          </cell>
          <cell r="H49">
            <v>14</v>
          </cell>
          <cell r="I49">
            <v>1</v>
          </cell>
          <cell r="J49">
            <v>2</v>
          </cell>
          <cell r="K49">
            <v>3</v>
          </cell>
          <cell r="L49">
            <v>4</v>
          </cell>
          <cell r="M49">
            <v>5</v>
          </cell>
          <cell r="N49">
            <v>6</v>
          </cell>
          <cell r="O49">
            <v>7</v>
          </cell>
          <cell r="P49">
            <v>8</v>
          </cell>
          <cell r="Q49">
            <v>9</v>
          </cell>
          <cell r="R49">
            <v>10</v>
          </cell>
          <cell r="S49">
            <v>11</v>
          </cell>
          <cell r="T49">
            <v>12</v>
          </cell>
          <cell r="U49">
            <v>13</v>
          </cell>
          <cell r="V49">
            <v>14</v>
          </cell>
          <cell r="W49">
            <v>15</v>
          </cell>
          <cell r="X49">
            <v>16</v>
          </cell>
          <cell r="Y49">
            <v>17</v>
          </cell>
          <cell r="Z49">
            <v>18</v>
          </cell>
          <cell r="AA49">
            <v>19</v>
          </cell>
          <cell r="AB49">
            <v>20</v>
          </cell>
          <cell r="AC49">
            <v>21</v>
          </cell>
          <cell r="AD49">
            <v>22</v>
          </cell>
          <cell r="AE49">
            <v>23</v>
          </cell>
          <cell r="AF49">
            <v>1</v>
          </cell>
          <cell r="AG49">
            <v>2</v>
          </cell>
          <cell r="AH49">
            <v>3</v>
          </cell>
          <cell r="AI49">
            <v>4</v>
          </cell>
          <cell r="AJ49">
            <v>24</v>
          </cell>
          <cell r="AK49">
            <v>12.27</v>
          </cell>
          <cell r="AN49">
            <v>1</v>
          </cell>
          <cell r="AO49" t="str">
            <v>0</v>
          </cell>
          <cell r="AP49">
            <v>0</v>
          </cell>
          <cell r="AQ49">
            <v>9.43</v>
          </cell>
          <cell r="AV49">
            <v>0</v>
          </cell>
          <cell r="BA49" t="str">
            <v>0</v>
          </cell>
          <cell r="BB49">
            <v>0</v>
          </cell>
          <cell r="BE49">
            <v>21.7</v>
          </cell>
          <cell r="BF49">
            <v>0</v>
          </cell>
          <cell r="BG49">
            <v>25</v>
          </cell>
        </row>
        <row r="50">
          <cell r="I50">
            <v>3</v>
          </cell>
          <cell r="J50">
            <v>7</v>
          </cell>
          <cell r="L50">
            <v>7</v>
          </cell>
          <cell r="AF50">
            <v>7</v>
          </cell>
        </row>
        <row r="51">
          <cell r="C51" t="str">
            <v>26A</v>
          </cell>
          <cell r="D51">
            <v>22.75</v>
          </cell>
          <cell r="E51">
            <v>2</v>
          </cell>
          <cell r="F51">
            <v>3</v>
          </cell>
          <cell r="G51">
            <v>4</v>
          </cell>
          <cell r="H51">
            <v>5</v>
          </cell>
          <cell r="I51">
            <v>6</v>
          </cell>
          <cell r="J51">
            <v>7</v>
          </cell>
          <cell r="K51">
            <v>8</v>
          </cell>
          <cell r="L51">
            <v>9</v>
          </cell>
          <cell r="M51">
            <v>10</v>
          </cell>
          <cell r="N51">
            <v>11</v>
          </cell>
          <cell r="O51">
            <v>12</v>
          </cell>
          <cell r="P51">
            <v>13</v>
          </cell>
          <cell r="Q51">
            <v>14</v>
          </cell>
          <cell r="R51">
            <v>15</v>
          </cell>
          <cell r="S51">
            <v>16</v>
          </cell>
          <cell r="T51">
            <v>17</v>
          </cell>
          <cell r="U51">
            <v>18</v>
          </cell>
          <cell r="V51">
            <v>19</v>
          </cell>
          <cell r="W51">
            <v>20</v>
          </cell>
          <cell r="X51">
            <v>21</v>
          </cell>
          <cell r="Y51">
            <v>1</v>
          </cell>
          <cell r="Z51">
            <v>2</v>
          </cell>
          <cell r="AA51">
            <v>3</v>
          </cell>
          <cell r="AB51">
            <v>4</v>
          </cell>
          <cell r="AC51">
            <v>5</v>
          </cell>
          <cell r="AD51">
            <v>6</v>
          </cell>
          <cell r="AE51">
            <v>7</v>
          </cell>
          <cell r="AF51">
            <v>8</v>
          </cell>
          <cell r="AG51">
            <v>9</v>
          </cell>
          <cell r="AH51">
            <v>10</v>
          </cell>
          <cell r="AI51">
            <v>11</v>
          </cell>
          <cell r="AJ51">
            <v>21</v>
          </cell>
          <cell r="AK51">
            <v>10.02</v>
          </cell>
          <cell r="AN51">
            <v>4</v>
          </cell>
          <cell r="AO51" t="str">
            <v>0</v>
          </cell>
          <cell r="AP51">
            <v>0</v>
          </cell>
          <cell r="AQ51">
            <v>18.229999999999997</v>
          </cell>
          <cell r="AV51">
            <v>0</v>
          </cell>
          <cell r="BA51" t="str">
            <v>0</v>
          </cell>
          <cell r="BB51">
            <v>0</v>
          </cell>
          <cell r="BE51">
            <v>28.249999999999996</v>
          </cell>
          <cell r="BF51">
            <v>0</v>
          </cell>
          <cell r="BG51" t="str">
            <v>26A</v>
          </cell>
        </row>
        <row r="52">
          <cell r="E52">
            <v>7</v>
          </cell>
          <cell r="Y52">
            <v>7</v>
          </cell>
          <cell r="Z52">
            <v>7</v>
          </cell>
        </row>
        <row r="53">
          <cell r="C53">
            <v>27</v>
          </cell>
          <cell r="D53">
            <v>35.93</v>
          </cell>
          <cell r="E53">
            <v>13</v>
          </cell>
          <cell r="F53">
            <v>14</v>
          </cell>
          <cell r="G53">
            <v>15</v>
          </cell>
          <cell r="H53">
            <v>1</v>
          </cell>
          <cell r="I53">
            <v>2</v>
          </cell>
          <cell r="J53">
            <v>3</v>
          </cell>
          <cell r="K53">
            <v>4</v>
          </cell>
          <cell r="L53">
            <v>5</v>
          </cell>
          <cell r="M53">
            <v>6</v>
          </cell>
          <cell r="N53">
            <v>7</v>
          </cell>
          <cell r="O53">
            <v>8</v>
          </cell>
          <cell r="P53">
            <v>9</v>
          </cell>
          <cell r="Q53">
            <v>10</v>
          </cell>
          <cell r="R53">
            <v>11</v>
          </cell>
          <cell r="S53">
            <v>12</v>
          </cell>
          <cell r="T53">
            <v>13</v>
          </cell>
          <cell r="U53">
            <v>14</v>
          </cell>
          <cell r="V53">
            <v>15</v>
          </cell>
          <cell r="W53">
            <v>16</v>
          </cell>
          <cell r="X53">
            <v>17</v>
          </cell>
          <cell r="Y53">
            <v>18</v>
          </cell>
          <cell r="Z53">
            <v>19</v>
          </cell>
          <cell r="AA53">
            <v>20</v>
          </cell>
          <cell r="AB53">
            <v>21</v>
          </cell>
          <cell r="AC53">
            <v>22</v>
          </cell>
          <cell r="AD53">
            <v>23</v>
          </cell>
          <cell r="AE53">
            <v>1</v>
          </cell>
          <cell r="AF53">
            <v>2</v>
          </cell>
          <cell r="AG53">
            <v>3</v>
          </cell>
          <cell r="AH53">
            <v>4</v>
          </cell>
          <cell r="AI53">
            <v>5</v>
          </cell>
          <cell r="AJ53">
            <v>18</v>
          </cell>
          <cell r="AK53">
            <v>10</v>
          </cell>
          <cell r="AN53">
            <v>3</v>
          </cell>
          <cell r="AO53" t="str">
            <v>0</v>
          </cell>
          <cell r="AP53">
            <v>0</v>
          </cell>
          <cell r="AQ53">
            <v>9</v>
          </cell>
          <cell r="AV53">
            <v>0</v>
          </cell>
          <cell r="BA53" t="str">
            <v>0</v>
          </cell>
          <cell r="BB53">
            <v>0</v>
          </cell>
          <cell r="BE53">
            <v>19</v>
          </cell>
          <cell r="BF53">
            <v>0</v>
          </cell>
          <cell r="BG53">
            <v>27</v>
          </cell>
        </row>
        <row r="54">
          <cell r="H54">
            <v>7</v>
          </cell>
          <cell r="I54">
            <v>4</v>
          </cell>
          <cell r="AE54">
            <v>7</v>
          </cell>
        </row>
        <row r="55">
          <cell r="C55">
            <v>28</v>
          </cell>
          <cell r="D55">
            <v>25.54</v>
          </cell>
          <cell r="E55">
            <v>3</v>
          </cell>
          <cell r="F55">
            <v>4</v>
          </cell>
          <cell r="G55">
            <v>5</v>
          </cell>
          <cell r="H55">
            <v>6</v>
          </cell>
          <cell r="I55">
            <v>7</v>
          </cell>
          <cell r="J55">
            <v>8</v>
          </cell>
          <cell r="K55">
            <v>9</v>
          </cell>
          <cell r="L55">
            <v>10</v>
          </cell>
          <cell r="M55">
            <v>11</v>
          </cell>
          <cell r="N55">
            <v>12</v>
          </cell>
          <cell r="O55">
            <v>13</v>
          </cell>
          <cell r="P55">
            <v>14</v>
          </cell>
          <cell r="Q55">
            <v>15</v>
          </cell>
          <cell r="R55">
            <v>16</v>
          </cell>
          <cell r="S55">
            <v>17</v>
          </cell>
          <cell r="T55">
            <v>18</v>
          </cell>
          <cell r="U55">
            <v>19</v>
          </cell>
          <cell r="V55">
            <v>1</v>
          </cell>
          <cell r="W55">
            <v>2</v>
          </cell>
          <cell r="X55">
            <v>3</v>
          </cell>
          <cell r="Y55">
            <v>4</v>
          </cell>
          <cell r="Z55">
            <v>5</v>
          </cell>
          <cell r="AA55">
            <v>6</v>
          </cell>
          <cell r="AB55">
            <v>7</v>
          </cell>
          <cell r="AC55">
            <v>8</v>
          </cell>
          <cell r="AD55">
            <v>9</v>
          </cell>
          <cell r="AE55">
            <v>10</v>
          </cell>
          <cell r="AF55">
            <v>11</v>
          </cell>
          <cell r="AG55">
            <v>12</v>
          </cell>
          <cell r="AH55">
            <v>13</v>
          </cell>
          <cell r="AI55">
            <v>14</v>
          </cell>
          <cell r="AJ55">
            <v>14</v>
          </cell>
          <cell r="AK55">
            <v>23.75</v>
          </cell>
          <cell r="AN55">
            <v>2</v>
          </cell>
          <cell r="AO55" t="str">
            <v>0</v>
          </cell>
          <cell r="AP55">
            <v>0</v>
          </cell>
          <cell r="AV55">
            <v>0</v>
          </cell>
          <cell r="BA55" t="str">
            <v>0</v>
          </cell>
          <cell r="BB55">
            <v>0</v>
          </cell>
          <cell r="BE55">
            <v>23.75</v>
          </cell>
          <cell r="BF55">
            <v>0</v>
          </cell>
          <cell r="BG55">
            <v>28</v>
          </cell>
        </row>
        <row r="56">
          <cell r="V56">
            <v>7</v>
          </cell>
          <cell r="X56">
            <v>7</v>
          </cell>
        </row>
        <row r="57">
          <cell r="C57">
            <v>30</v>
          </cell>
          <cell r="D57">
            <v>66.13</v>
          </cell>
          <cell r="E57">
            <v>5</v>
          </cell>
          <cell r="F57">
            <v>6</v>
          </cell>
          <cell r="G57">
            <v>7</v>
          </cell>
          <cell r="H57">
            <v>8</v>
          </cell>
          <cell r="I57">
            <v>9</v>
          </cell>
          <cell r="J57">
            <v>10</v>
          </cell>
          <cell r="K57">
            <v>11</v>
          </cell>
          <cell r="L57">
            <v>12</v>
          </cell>
          <cell r="M57">
            <v>13</v>
          </cell>
          <cell r="N57">
            <v>14</v>
          </cell>
          <cell r="O57">
            <v>15</v>
          </cell>
          <cell r="P57">
            <v>16</v>
          </cell>
          <cell r="Q57">
            <v>17</v>
          </cell>
          <cell r="R57">
            <v>1</v>
          </cell>
          <cell r="S57">
            <v>2</v>
          </cell>
          <cell r="T57">
            <v>3</v>
          </cell>
          <cell r="U57">
            <v>4</v>
          </cell>
          <cell r="V57">
            <v>5</v>
          </cell>
          <cell r="W57">
            <v>6</v>
          </cell>
          <cell r="X57">
            <v>7</v>
          </cell>
          <cell r="Y57">
            <v>8</v>
          </cell>
          <cell r="Z57">
            <v>9</v>
          </cell>
          <cell r="AA57">
            <v>10</v>
          </cell>
          <cell r="AB57">
            <v>11</v>
          </cell>
          <cell r="AC57">
            <v>12</v>
          </cell>
          <cell r="AD57">
            <v>13</v>
          </cell>
          <cell r="AE57">
            <v>14</v>
          </cell>
          <cell r="AF57">
            <v>15</v>
          </cell>
          <cell r="AG57">
            <v>16</v>
          </cell>
          <cell r="AH57">
            <v>17</v>
          </cell>
          <cell r="AI57">
            <v>18</v>
          </cell>
          <cell r="AJ57">
            <v>17</v>
          </cell>
          <cell r="AK57">
            <v>12.309999999999999</v>
          </cell>
          <cell r="AN57">
            <v>2</v>
          </cell>
          <cell r="AO57" t="str">
            <v>0</v>
          </cell>
          <cell r="AP57">
            <v>0</v>
          </cell>
          <cell r="AV57">
            <v>0</v>
          </cell>
          <cell r="BA57" t="str">
            <v>0</v>
          </cell>
          <cell r="BB57">
            <v>0</v>
          </cell>
          <cell r="BE57">
            <v>12.309999999999999</v>
          </cell>
          <cell r="BF57">
            <v>0</v>
          </cell>
          <cell r="BG57">
            <v>30</v>
          </cell>
        </row>
        <row r="58">
          <cell r="R58">
            <v>3</v>
          </cell>
          <cell r="S58">
            <v>7</v>
          </cell>
          <cell r="T58">
            <v>7</v>
          </cell>
        </row>
        <row r="59">
          <cell r="C59">
            <v>31</v>
          </cell>
          <cell r="D59">
            <v>34.08</v>
          </cell>
          <cell r="E59">
            <v>6</v>
          </cell>
          <cell r="F59">
            <v>7</v>
          </cell>
          <cell r="G59">
            <v>8</v>
          </cell>
          <cell r="H59">
            <v>9</v>
          </cell>
          <cell r="I59">
            <v>10</v>
          </cell>
          <cell r="J59">
            <v>11</v>
          </cell>
          <cell r="K59">
            <v>12</v>
          </cell>
          <cell r="L59">
            <v>13</v>
          </cell>
          <cell r="M59">
            <v>14</v>
          </cell>
          <cell r="N59">
            <v>15</v>
          </cell>
          <cell r="O59">
            <v>16</v>
          </cell>
          <cell r="P59">
            <v>1</v>
          </cell>
          <cell r="Q59">
            <v>2</v>
          </cell>
          <cell r="R59">
            <v>3</v>
          </cell>
          <cell r="S59">
            <v>4</v>
          </cell>
          <cell r="T59">
            <v>5</v>
          </cell>
          <cell r="U59">
            <v>6</v>
          </cell>
          <cell r="V59">
            <v>7</v>
          </cell>
          <cell r="W59">
            <v>8</v>
          </cell>
          <cell r="X59">
            <v>9</v>
          </cell>
          <cell r="Y59">
            <v>10</v>
          </cell>
          <cell r="Z59">
            <v>11</v>
          </cell>
          <cell r="AA59">
            <v>12</v>
          </cell>
          <cell r="AB59">
            <v>13</v>
          </cell>
          <cell r="AC59">
            <v>14</v>
          </cell>
          <cell r="AD59">
            <v>15</v>
          </cell>
          <cell r="AE59">
            <v>16</v>
          </cell>
          <cell r="AF59">
            <v>17</v>
          </cell>
          <cell r="AG59">
            <v>18</v>
          </cell>
          <cell r="AH59">
            <v>19</v>
          </cell>
          <cell r="AI59">
            <v>20</v>
          </cell>
          <cell r="AJ59">
            <v>11</v>
          </cell>
          <cell r="AK59">
            <v>14.02</v>
          </cell>
          <cell r="AN59">
            <v>2</v>
          </cell>
          <cell r="AO59" t="str">
            <v>0</v>
          </cell>
          <cell r="AP59">
            <v>0</v>
          </cell>
          <cell r="AV59">
            <v>0</v>
          </cell>
          <cell r="BA59" t="str">
            <v>0</v>
          </cell>
          <cell r="BB59">
            <v>0</v>
          </cell>
          <cell r="BE59">
            <v>14.02</v>
          </cell>
          <cell r="BF59">
            <v>0</v>
          </cell>
          <cell r="BG59">
            <v>31</v>
          </cell>
        </row>
        <row r="60">
          <cell r="P60">
            <v>7</v>
          </cell>
          <cell r="R60">
            <v>4</v>
          </cell>
        </row>
        <row r="61">
          <cell r="C61">
            <v>33</v>
          </cell>
          <cell r="D61">
            <v>28.72</v>
          </cell>
          <cell r="E61">
            <v>7</v>
          </cell>
          <cell r="F61">
            <v>8</v>
          </cell>
          <cell r="G61">
            <v>9</v>
          </cell>
          <cell r="H61">
            <v>10</v>
          </cell>
          <cell r="I61">
            <v>11</v>
          </cell>
          <cell r="J61">
            <v>12</v>
          </cell>
          <cell r="K61">
            <v>13</v>
          </cell>
          <cell r="L61">
            <v>14</v>
          </cell>
          <cell r="M61">
            <v>1</v>
          </cell>
          <cell r="N61">
            <v>2</v>
          </cell>
          <cell r="O61">
            <v>3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13</v>
          </cell>
          <cell r="Z61">
            <v>14</v>
          </cell>
          <cell r="AA61">
            <v>15</v>
          </cell>
          <cell r="AB61">
            <v>16</v>
          </cell>
          <cell r="AC61">
            <v>17</v>
          </cell>
          <cell r="AD61">
            <v>18</v>
          </cell>
          <cell r="AE61">
            <v>19</v>
          </cell>
          <cell r="AF61">
            <v>20</v>
          </cell>
          <cell r="AG61">
            <v>1</v>
          </cell>
          <cell r="AH61">
            <v>2</v>
          </cell>
          <cell r="AI61">
            <v>3</v>
          </cell>
          <cell r="AJ61">
            <v>42</v>
          </cell>
          <cell r="AK61">
            <v>24.580000000000002</v>
          </cell>
          <cell r="AN61">
            <v>3</v>
          </cell>
          <cell r="AO61" t="str">
            <v>0</v>
          </cell>
          <cell r="AP61">
            <v>0</v>
          </cell>
          <cell r="AQ61">
            <v>25.439999999999998</v>
          </cell>
          <cell r="AV61">
            <v>0</v>
          </cell>
          <cell r="BA61" t="str">
            <v>0</v>
          </cell>
          <cell r="BB61">
            <v>0</v>
          </cell>
          <cell r="BE61">
            <v>50.019999999999996</v>
          </cell>
          <cell r="BF61">
            <v>0</v>
          </cell>
          <cell r="BG61">
            <v>33</v>
          </cell>
        </row>
        <row r="62">
          <cell r="M62">
            <v>7</v>
          </cell>
          <cell r="N62">
            <v>7</v>
          </cell>
          <cell r="O62">
            <v>7</v>
          </cell>
          <cell r="AG62">
            <v>7</v>
          </cell>
          <cell r="AH62">
            <v>7</v>
          </cell>
          <cell r="AI62">
            <v>7</v>
          </cell>
        </row>
        <row r="63">
          <cell r="C63">
            <v>39</v>
          </cell>
          <cell r="D63">
            <v>1.48</v>
          </cell>
          <cell r="E63">
            <v>4</v>
          </cell>
          <cell r="F63">
            <v>5</v>
          </cell>
          <cell r="G63">
            <v>6</v>
          </cell>
          <cell r="H63">
            <v>7</v>
          </cell>
          <cell r="I63">
            <v>8</v>
          </cell>
          <cell r="J63">
            <v>9</v>
          </cell>
          <cell r="K63">
            <v>10</v>
          </cell>
          <cell r="L63">
            <v>11</v>
          </cell>
          <cell r="M63">
            <v>12</v>
          </cell>
          <cell r="N63">
            <v>13</v>
          </cell>
          <cell r="O63">
            <v>14</v>
          </cell>
          <cell r="P63">
            <v>15</v>
          </cell>
          <cell r="Q63">
            <v>16</v>
          </cell>
          <cell r="R63">
            <v>17</v>
          </cell>
          <cell r="S63">
            <v>18</v>
          </cell>
          <cell r="T63">
            <v>19</v>
          </cell>
          <cell r="U63">
            <v>1</v>
          </cell>
          <cell r="V63">
            <v>2</v>
          </cell>
          <cell r="W63">
            <v>3</v>
          </cell>
          <cell r="X63">
            <v>4</v>
          </cell>
          <cell r="Y63">
            <v>5</v>
          </cell>
          <cell r="Z63">
            <v>6</v>
          </cell>
          <cell r="AA63">
            <v>7</v>
          </cell>
          <cell r="AB63">
            <v>8</v>
          </cell>
          <cell r="AC63">
            <v>9</v>
          </cell>
          <cell r="AD63">
            <v>10</v>
          </cell>
          <cell r="AE63">
            <v>11</v>
          </cell>
          <cell r="AF63">
            <v>12</v>
          </cell>
          <cell r="AG63">
            <v>13</v>
          </cell>
          <cell r="AH63">
            <v>14</v>
          </cell>
          <cell r="AI63">
            <v>15</v>
          </cell>
          <cell r="AJ63">
            <v>7</v>
          </cell>
          <cell r="AK63">
            <v>2.39</v>
          </cell>
          <cell r="AN63">
            <v>1</v>
          </cell>
          <cell r="AO63" t="str">
            <v>0</v>
          </cell>
          <cell r="AP63">
            <v>0</v>
          </cell>
          <cell r="AV63">
            <v>0</v>
          </cell>
          <cell r="BA63" t="str">
            <v>0</v>
          </cell>
          <cell r="BB63">
            <v>0</v>
          </cell>
          <cell r="BE63">
            <v>2.39</v>
          </cell>
          <cell r="BF63">
            <v>0</v>
          </cell>
          <cell r="BG63">
            <v>39</v>
          </cell>
        </row>
        <row r="64">
          <cell r="U64">
            <v>7</v>
          </cell>
        </row>
        <row r="65">
          <cell r="C65">
            <v>2</v>
          </cell>
          <cell r="D65">
            <v>60.4</v>
          </cell>
          <cell r="E65">
            <v>11</v>
          </cell>
          <cell r="F65">
            <v>12</v>
          </cell>
          <cell r="G65">
            <v>13</v>
          </cell>
          <cell r="H65">
            <v>14</v>
          </cell>
          <cell r="I65">
            <v>15</v>
          </cell>
          <cell r="J65">
            <v>16</v>
          </cell>
          <cell r="K65">
            <v>17</v>
          </cell>
          <cell r="L65">
            <v>18</v>
          </cell>
          <cell r="M65">
            <v>19</v>
          </cell>
          <cell r="N65">
            <v>20</v>
          </cell>
          <cell r="O65">
            <v>21</v>
          </cell>
          <cell r="P65">
            <v>22</v>
          </cell>
          <cell r="Q65">
            <v>23</v>
          </cell>
          <cell r="R65">
            <v>1</v>
          </cell>
          <cell r="S65">
            <v>2</v>
          </cell>
          <cell r="T65">
            <v>3</v>
          </cell>
          <cell r="U65">
            <v>4</v>
          </cell>
          <cell r="V65">
            <v>5</v>
          </cell>
          <cell r="W65">
            <v>6</v>
          </cell>
          <cell r="X65">
            <v>7</v>
          </cell>
          <cell r="Y65">
            <v>8</v>
          </cell>
          <cell r="Z65">
            <v>9</v>
          </cell>
          <cell r="AA65">
            <v>10</v>
          </cell>
          <cell r="AB65">
            <v>11</v>
          </cell>
          <cell r="AC65">
            <v>12</v>
          </cell>
          <cell r="AD65">
            <v>13</v>
          </cell>
          <cell r="AE65">
            <v>14</v>
          </cell>
          <cell r="AF65">
            <v>15</v>
          </cell>
          <cell r="AG65">
            <v>16</v>
          </cell>
          <cell r="AH65">
            <v>17</v>
          </cell>
          <cell r="AI65">
            <v>18</v>
          </cell>
          <cell r="AJ65">
            <v>71</v>
          </cell>
          <cell r="AK65">
            <v>57.309999999999995</v>
          </cell>
          <cell r="AN65">
            <v>14</v>
          </cell>
          <cell r="AO65" t="str">
            <v>0</v>
          </cell>
          <cell r="AP65">
            <v>0</v>
          </cell>
          <cell r="AV65">
            <v>0</v>
          </cell>
          <cell r="BA65" t="str">
            <v>0</v>
          </cell>
          <cell r="BB65">
            <v>0</v>
          </cell>
          <cell r="BE65">
            <v>57.309999999999995</v>
          </cell>
          <cell r="BF65">
            <v>0</v>
          </cell>
          <cell r="BG65">
            <v>2</v>
          </cell>
        </row>
        <row r="66">
          <cell r="R66">
            <v>4</v>
          </cell>
          <cell r="S66">
            <v>4</v>
          </cell>
          <cell r="T66">
            <v>4</v>
          </cell>
          <cell r="U66">
            <v>4</v>
          </cell>
          <cell r="V66">
            <v>4</v>
          </cell>
          <cell r="W66">
            <v>4</v>
          </cell>
          <cell r="X66">
            <v>3</v>
          </cell>
          <cell r="Y66">
            <v>4</v>
          </cell>
          <cell r="Z66">
            <v>4</v>
          </cell>
          <cell r="AA66">
            <v>4</v>
          </cell>
          <cell r="AB66">
            <v>4</v>
          </cell>
          <cell r="AC66">
            <v>4</v>
          </cell>
          <cell r="AD66">
            <v>4</v>
          </cell>
          <cell r="AE66">
            <v>4</v>
          </cell>
          <cell r="AF66">
            <v>4</v>
          </cell>
          <cell r="AG66">
            <v>4</v>
          </cell>
          <cell r="AH66">
            <v>4</v>
          </cell>
          <cell r="AI66">
            <v>4</v>
          </cell>
        </row>
        <row r="67">
          <cell r="C67">
            <v>11</v>
          </cell>
          <cell r="D67">
            <v>44.5</v>
          </cell>
          <cell r="E67">
            <v>3</v>
          </cell>
          <cell r="F67">
            <v>4</v>
          </cell>
          <cell r="G67">
            <v>5</v>
          </cell>
          <cell r="H67">
            <v>6</v>
          </cell>
          <cell r="I67">
            <v>7</v>
          </cell>
          <cell r="J67">
            <v>8</v>
          </cell>
          <cell r="K67">
            <v>9</v>
          </cell>
          <cell r="L67">
            <v>10</v>
          </cell>
          <cell r="M67">
            <v>11</v>
          </cell>
          <cell r="N67">
            <v>12</v>
          </cell>
          <cell r="O67">
            <v>13</v>
          </cell>
          <cell r="P67">
            <v>14</v>
          </cell>
          <cell r="Q67">
            <v>15</v>
          </cell>
          <cell r="R67">
            <v>16</v>
          </cell>
          <cell r="S67">
            <v>17</v>
          </cell>
          <cell r="T67">
            <v>18</v>
          </cell>
          <cell r="U67">
            <v>19</v>
          </cell>
          <cell r="V67">
            <v>20</v>
          </cell>
          <cell r="W67">
            <v>21</v>
          </cell>
          <cell r="X67">
            <v>22</v>
          </cell>
          <cell r="Y67">
            <v>23</v>
          </cell>
          <cell r="Z67">
            <v>24</v>
          </cell>
          <cell r="AA67">
            <v>25</v>
          </cell>
          <cell r="AB67">
            <v>26</v>
          </cell>
          <cell r="AC67">
            <v>27</v>
          </cell>
          <cell r="AD67">
            <v>28</v>
          </cell>
          <cell r="AE67">
            <v>29</v>
          </cell>
          <cell r="AF67">
            <v>30</v>
          </cell>
          <cell r="AG67">
            <v>31</v>
          </cell>
          <cell r="AH67">
            <v>32</v>
          </cell>
          <cell r="AI67">
            <v>33</v>
          </cell>
          <cell r="AJ67">
            <v>36</v>
          </cell>
          <cell r="AK67">
            <v>32.42</v>
          </cell>
          <cell r="AN67">
            <v>2</v>
          </cell>
          <cell r="AO67" t="str">
            <v>0</v>
          </cell>
          <cell r="AP67">
            <v>0</v>
          </cell>
          <cell r="AV67">
            <v>0</v>
          </cell>
          <cell r="BA67" t="str">
            <v>0</v>
          </cell>
          <cell r="BB67">
            <v>0</v>
          </cell>
          <cell r="BE67">
            <v>32.42</v>
          </cell>
          <cell r="BF67">
            <v>0</v>
          </cell>
          <cell r="BG67">
            <v>11</v>
          </cell>
        </row>
        <row r="68">
          <cell r="F68">
            <v>4</v>
          </cell>
          <cell r="G68">
            <v>4</v>
          </cell>
          <cell r="H68">
            <v>4</v>
          </cell>
          <cell r="I68">
            <v>4</v>
          </cell>
          <cell r="J68">
            <v>4</v>
          </cell>
          <cell r="L68">
            <v>4</v>
          </cell>
          <cell r="M68">
            <v>4</v>
          </cell>
          <cell r="N68">
            <v>4</v>
          </cell>
          <cell r="O68">
            <v>4</v>
          </cell>
        </row>
        <row r="69">
          <cell r="C69">
            <v>29</v>
          </cell>
          <cell r="D69">
            <v>11.38</v>
          </cell>
          <cell r="E69">
            <v>15</v>
          </cell>
          <cell r="F69">
            <v>16</v>
          </cell>
          <cell r="G69">
            <v>1</v>
          </cell>
          <cell r="H69">
            <v>2</v>
          </cell>
          <cell r="I69">
            <v>3</v>
          </cell>
          <cell r="J69">
            <v>4</v>
          </cell>
          <cell r="K69">
            <v>5</v>
          </cell>
          <cell r="L69">
            <v>6</v>
          </cell>
          <cell r="M69">
            <v>7</v>
          </cell>
          <cell r="N69">
            <v>8</v>
          </cell>
          <cell r="O69">
            <v>9</v>
          </cell>
          <cell r="P69">
            <v>10</v>
          </cell>
          <cell r="Q69">
            <v>11</v>
          </cell>
          <cell r="R69">
            <v>12</v>
          </cell>
          <cell r="S69">
            <v>13</v>
          </cell>
          <cell r="T69">
            <v>14</v>
          </cell>
          <cell r="U69">
            <v>15</v>
          </cell>
          <cell r="V69">
            <v>16</v>
          </cell>
          <cell r="W69">
            <v>17</v>
          </cell>
          <cell r="X69">
            <v>18</v>
          </cell>
          <cell r="Y69">
            <v>19</v>
          </cell>
          <cell r="Z69">
            <v>20</v>
          </cell>
          <cell r="AA69">
            <v>1</v>
          </cell>
          <cell r="AB69">
            <v>2</v>
          </cell>
          <cell r="AC69">
            <v>3</v>
          </cell>
          <cell r="AD69">
            <v>4</v>
          </cell>
          <cell r="AE69">
            <v>5</v>
          </cell>
          <cell r="AF69">
            <v>6</v>
          </cell>
          <cell r="AG69">
            <v>7</v>
          </cell>
          <cell r="AH69">
            <v>8</v>
          </cell>
          <cell r="AI69">
            <v>9</v>
          </cell>
          <cell r="AJ69">
            <v>21</v>
          </cell>
          <cell r="AK69">
            <v>4.74</v>
          </cell>
          <cell r="AN69">
            <v>2</v>
          </cell>
          <cell r="AO69" t="str">
            <v>0</v>
          </cell>
          <cell r="AP69">
            <v>0</v>
          </cell>
          <cell r="AQ69">
            <v>10.379999999999999</v>
          </cell>
          <cell r="AV69">
            <v>0</v>
          </cell>
          <cell r="BA69" t="str">
            <v>0</v>
          </cell>
          <cell r="BB69">
            <v>0</v>
          </cell>
          <cell r="BE69">
            <v>15.12</v>
          </cell>
          <cell r="BF69">
            <v>0</v>
          </cell>
          <cell r="BG69">
            <v>29</v>
          </cell>
        </row>
        <row r="70">
          <cell r="G70">
            <v>7</v>
          </cell>
          <cell r="AA70">
            <v>7</v>
          </cell>
          <cell r="AB70">
            <v>7</v>
          </cell>
        </row>
        <row r="71">
          <cell r="C71">
            <v>105</v>
          </cell>
          <cell r="E71">
            <v>526</v>
          </cell>
          <cell r="F71">
            <v>527</v>
          </cell>
          <cell r="G71">
            <v>528</v>
          </cell>
          <cell r="H71">
            <v>529</v>
          </cell>
          <cell r="I71">
            <v>530</v>
          </cell>
          <cell r="J71">
            <v>531</v>
          </cell>
          <cell r="K71">
            <v>532</v>
          </cell>
          <cell r="L71">
            <v>533</v>
          </cell>
          <cell r="M71">
            <v>534</v>
          </cell>
          <cell r="N71">
            <v>535</v>
          </cell>
          <cell r="O71">
            <v>536</v>
          </cell>
          <cell r="P71">
            <v>537</v>
          </cell>
          <cell r="Q71">
            <v>538</v>
          </cell>
          <cell r="R71">
            <v>539</v>
          </cell>
          <cell r="S71">
            <v>540</v>
          </cell>
          <cell r="T71">
            <v>541</v>
          </cell>
          <cell r="U71">
            <v>542</v>
          </cell>
          <cell r="V71">
            <v>543</v>
          </cell>
          <cell r="W71">
            <v>544</v>
          </cell>
          <cell r="X71">
            <v>545</v>
          </cell>
          <cell r="Y71">
            <v>546</v>
          </cell>
          <cell r="Z71">
            <v>547</v>
          </cell>
          <cell r="AA71">
            <v>548</v>
          </cell>
          <cell r="AB71">
            <v>549</v>
          </cell>
          <cell r="AC71">
            <v>550</v>
          </cell>
          <cell r="AD71">
            <v>551</v>
          </cell>
          <cell r="AE71">
            <v>552</v>
          </cell>
          <cell r="AF71">
            <v>553</v>
          </cell>
          <cell r="AG71">
            <v>554</v>
          </cell>
          <cell r="AH71">
            <v>555</v>
          </cell>
          <cell r="AI71">
            <v>556</v>
          </cell>
          <cell r="AJ71">
            <v>0</v>
          </cell>
          <cell r="BE71">
            <v>0</v>
          </cell>
          <cell r="BF71">
            <v>0</v>
          </cell>
          <cell r="BG71">
            <v>105</v>
          </cell>
        </row>
        <row r="73">
          <cell r="C73">
            <v>114</v>
          </cell>
          <cell r="E73">
            <v>526</v>
          </cell>
          <cell r="F73">
            <v>527</v>
          </cell>
          <cell r="G73">
            <v>528</v>
          </cell>
          <cell r="H73">
            <v>529</v>
          </cell>
          <cell r="I73">
            <v>530</v>
          </cell>
          <cell r="J73">
            <v>531</v>
          </cell>
          <cell r="K73">
            <v>532</v>
          </cell>
          <cell r="L73">
            <v>533</v>
          </cell>
          <cell r="M73">
            <v>534</v>
          </cell>
          <cell r="N73">
            <v>535</v>
          </cell>
          <cell r="O73">
            <v>536</v>
          </cell>
          <cell r="P73">
            <v>537</v>
          </cell>
          <cell r="Q73">
            <v>538</v>
          </cell>
          <cell r="R73">
            <v>539</v>
          </cell>
          <cell r="S73">
            <v>540</v>
          </cell>
          <cell r="T73">
            <v>541</v>
          </cell>
          <cell r="U73">
            <v>542</v>
          </cell>
          <cell r="V73">
            <v>543</v>
          </cell>
          <cell r="W73">
            <v>544</v>
          </cell>
          <cell r="X73">
            <v>545</v>
          </cell>
          <cell r="Y73">
            <v>546</v>
          </cell>
          <cell r="Z73">
            <v>547</v>
          </cell>
          <cell r="AA73">
            <v>548</v>
          </cell>
          <cell r="AB73">
            <v>549</v>
          </cell>
          <cell r="AC73">
            <v>550</v>
          </cell>
          <cell r="AD73">
            <v>551</v>
          </cell>
          <cell r="AE73">
            <v>552</v>
          </cell>
          <cell r="AF73">
            <v>553</v>
          </cell>
          <cell r="AG73">
            <v>554</v>
          </cell>
          <cell r="AH73">
            <v>555</v>
          </cell>
          <cell r="AI73">
            <v>556</v>
          </cell>
          <cell r="AJ73">
            <v>0</v>
          </cell>
          <cell r="BE73">
            <v>0</v>
          </cell>
          <cell r="BF73">
            <v>0</v>
          </cell>
          <cell r="BG73">
            <v>114</v>
          </cell>
        </row>
        <row r="75">
          <cell r="E75">
            <v>23</v>
          </cell>
          <cell r="F75">
            <v>23</v>
          </cell>
          <cell r="G75">
            <v>39</v>
          </cell>
          <cell r="H75">
            <v>53</v>
          </cell>
          <cell r="I75">
            <v>52</v>
          </cell>
          <cell r="J75">
            <v>55</v>
          </cell>
          <cell r="K75">
            <v>0</v>
          </cell>
          <cell r="L75">
            <v>36</v>
          </cell>
          <cell r="M75">
            <v>55</v>
          </cell>
          <cell r="N75">
            <v>55</v>
          </cell>
          <cell r="O75">
            <v>54</v>
          </cell>
          <cell r="P75">
            <v>51</v>
          </cell>
          <cell r="Q75">
            <v>0</v>
          </cell>
          <cell r="R75">
            <v>49</v>
          </cell>
          <cell r="S75">
            <v>56</v>
          </cell>
          <cell r="T75">
            <v>54</v>
          </cell>
          <cell r="U75">
            <v>53</v>
          </cell>
          <cell r="V75">
            <v>52</v>
          </cell>
          <cell r="W75">
            <v>21</v>
          </cell>
          <cell r="X75">
            <v>52</v>
          </cell>
          <cell r="Y75">
            <v>52</v>
          </cell>
          <cell r="Z75">
            <v>46</v>
          </cell>
          <cell r="AA75">
            <v>51</v>
          </cell>
          <cell r="AB75">
            <v>52</v>
          </cell>
          <cell r="AC75">
            <v>22</v>
          </cell>
          <cell r="AD75">
            <v>25</v>
          </cell>
          <cell r="AE75">
            <v>50</v>
          </cell>
          <cell r="AF75">
            <v>48</v>
          </cell>
          <cell r="AG75">
            <v>51</v>
          </cell>
          <cell r="AH75">
            <v>54</v>
          </cell>
          <cell r="AI75">
            <v>51</v>
          </cell>
          <cell r="AJ75" t="str">
            <v>SUB TOTAL (MT)</v>
          </cell>
          <cell r="AK75">
            <v>1311.06</v>
          </cell>
          <cell r="AL75">
            <v>0</v>
          </cell>
          <cell r="AO75">
            <v>0</v>
          </cell>
          <cell r="AP75" t="e">
            <v>#DIV/0!</v>
          </cell>
          <cell r="AQ75">
            <v>659.65</v>
          </cell>
          <cell r="AR75">
            <v>0</v>
          </cell>
          <cell r="AU75">
            <v>0</v>
          </cell>
          <cell r="AV75" t="e">
            <v>#DIV/0!</v>
          </cell>
          <cell r="AW75">
            <v>0</v>
          </cell>
          <cell r="AX75">
            <v>0</v>
          </cell>
          <cell r="BA75">
            <v>0</v>
          </cell>
          <cell r="BB75" t="e">
            <v>#DIV/0!</v>
          </cell>
          <cell r="BC75">
            <v>0</v>
          </cell>
          <cell r="BD75">
            <v>0</v>
          </cell>
          <cell r="BE75">
            <v>1970.7100000000003</v>
          </cell>
          <cell r="BF75">
            <v>0</v>
          </cell>
        </row>
        <row r="76">
          <cell r="E76">
            <v>23</v>
          </cell>
          <cell r="F76">
            <v>46</v>
          </cell>
          <cell r="G76">
            <v>85</v>
          </cell>
          <cell r="H76">
            <v>138</v>
          </cell>
          <cell r="I76">
            <v>190</v>
          </cell>
          <cell r="J76">
            <v>245</v>
          </cell>
          <cell r="K76">
            <v>245</v>
          </cell>
          <cell r="L76">
            <v>281</v>
          </cell>
          <cell r="M76">
            <v>336</v>
          </cell>
          <cell r="N76">
            <v>391</v>
          </cell>
          <cell r="O76">
            <v>445</v>
          </cell>
          <cell r="P76">
            <v>496</v>
          </cell>
          <cell r="Q76">
            <v>496</v>
          </cell>
          <cell r="R76">
            <v>545</v>
          </cell>
          <cell r="S76">
            <v>601</v>
          </cell>
          <cell r="T76">
            <v>655</v>
          </cell>
          <cell r="U76">
            <v>708</v>
          </cell>
          <cell r="V76">
            <v>760</v>
          </cell>
          <cell r="W76">
            <v>781</v>
          </cell>
          <cell r="X76">
            <v>833</v>
          </cell>
          <cell r="Y76">
            <v>885</v>
          </cell>
          <cell r="Z76">
            <v>931</v>
          </cell>
          <cell r="AA76">
            <v>982</v>
          </cell>
          <cell r="AB76">
            <v>1034</v>
          </cell>
          <cell r="AC76">
            <v>1056</v>
          </cell>
          <cell r="AD76">
            <v>1081</v>
          </cell>
          <cell r="AE76">
            <v>1131</v>
          </cell>
          <cell r="AF76">
            <v>1179</v>
          </cell>
          <cell r="AG76">
            <v>1230</v>
          </cell>
          <cell r="AH76">
            <v>1284</v>
          </cell>
          <cell r="AI76">
            <v>1335</v>
          </cell>
        </row>
      </sheetData>
      <sheetData sheetId="13">
        <row r="3">
          <cell r="B3">
            <v>1</v>
          </cell>
          <cell r="C3">
            <v>53.2</v>
          </cell>
          <cell r="D3">
            <v>164</v>
          </cell>
          <cell r="E3">
            <v>149</v>
          </cell>
          <cell r="F3">
            <v>45.47</v>
          </cell>
          <cell r="G3">
            <v>61.180000000000007</v>
          </cell>
          <cell r="H3">
            <v>0</v>
          </cell>
          <cell r="J3">
            <v>106.65</v>
          </cell>
          <cell r="N3">
            <v>1</v>
          </cell>
          <cell r="S3">
            <v>1</v>
          </cell>
          <cell r="T3">
            <v>45.47</v>
          </cell>
          <cell r="V3">
            <v>61.180000000000007</v>
          </cell>
        </row>
        <row r="4">
          <cell r="B4">
            <v>3</v>
          </cell>
          <cell r="C4">
            <v>69.2</v>
          </cell>
          <cell r="E4">
            <v>194</v>
          </cell>
          <cell r="F4">
            <v>15.21</v>
          </cell>
          <cell r="G4">
            <v>64.8</v>
          </cell>
          <cell r="H4">
            <v>0</v>
          </cell>
          <cell r="J4">
            <v>80.009999999999991</v>
          </cell>
          <cell r="N4">
            <v>2</v>
          </cell>
          <cell r="S4">
            <v>2</v>
          </cell>
          <cell r="T4">
            <v>57.309999999999995</v>
          </cell>
        </row>
        <row r="5">
          <cell r="B5">
            <v>14</v>
          </cell>
          <cell r="C5">
            <v>41.6</v>
          </cell>
          <cell r="E5">
            <v>122</v>
          </cell>
          <cell r="F5">
            <v>45.839999999999996</v>
          </cell>
          <cell r="G5">
            <v>0</v>
          </cell>
          <cell r="H5">
            <v>0</v>
          </cell>
          <cell r="J5">
            <v>45.839999999999996</v>
          </cell>
          <cell r="N5">
            <v>3</v>
          </cell>
          <cell r="S5">
            <v>3</v>
          </cell>
          <cell r="T5">
            <v>15.21</v>
          </cell>
          <cell r="V5">
            <v>64.8</v>
          </cell>
        </row>
        <row r="6">
          <cell r="B6">
            <v>15</v>
          </cell>
          <cell r="C6">
            <v>49.3</v>
          </cell>
          <cell r="D6">
            <v>385.4</v>
          </cell>
          <cell r="E6">
            <v>138</v>
          </cell>
          <cell r="F6">
            <v>70.900000000000006</v>
          </cell>
          <cell r="G6">
            <v>53.16</v>
          </cell>
          <cell r="H6">
            <v>0</v>
          </cell>
          <cell r="J6">
            <v>124.06</v>
          </cell>
          <cell r="N6">
            <v>4</v>
          </cell>
          <cell r="S6">
            <v>4</v>
          </cell>
          <cell r="T6">
            <v>65.040000000000006</v>
          </cell>
        </row>
        <row r="7">
          <cell r="B7">
            <v>16</v>
          </cell>
          <cell r="C7">
            <v>53.2</v>
          </cell>
          <cell r="E7">
            <v>149</v>
          </cell>
          <cell r="F7">
            <v>53.38</v>
          </cell>
          <cell r="G7">
            <v>58.28</v>
          </cell>
          <cell r="H7">
            <v>0</v>
          </cell>
          <cell r="J7">
            <v>111.66</v>
          </cell>
          <cell r="N7">
            <v>5</v>
          </cell>
          <cell r="S7">
            <v>5</v>
          </cell>
          <cell r="T7">
            <v>47.44</v>
          </cell>
          <cell r="V7">
            <v>32.090000000000003</v>
          </cell>
        </row>
        <row r="8">
          <cell r="B8">
            <v>17</v>
          </cell>
          <cell r="C8">
            <v>45.7</v>
          </cell>
          <cell r="E8">
            <v>141</v>
          </cell>
          <cell r="F8">
            <v>43.17</v>
          </cell>
          <cell r="G8">
            <v>0</v>
          </cell>
          <cell r="H8">
            <v>0</v>
          </cell>
          <cell r="J8">
            <v>43.17</v>
          </cell>
          <cell r="N8">
            <v>6</v>
          </cell>
          <cell r="S8">
            <v>6</v>
          </cell>
          <cell r="T8">
            <v>60.33</v>
          </cell>
          <cell r="V8">
            <v>64.91</v>
          </cell>
        </row>
        <row r="9">
          <cell r="B9">
            <v>19</v>
          </cell>
          <cell r="C9">
            <v>50.62</v>
          </cell>
          <cell r="E9">
            <v>149</v>
          </cell>
          <cell r="F9">
            <v>56.22</v>
          </cell>
          <cell r="G9">
            <v>33.75</v>
          </cell>
          <cell r="H9">
            <v>0</v>
          </cell>
          <cell r="J9">
            <v>89.97</v>
          </cell>
          <cell r="N9">
            <v>7</v>
          </cell>
          <cell r="S9">
            <v>7</v>
          </cell>
          <cell r="T9">
            <v>19.149999999999999</v>
          </cell>
        </row>
        <row r="10">
          <cell r="B10">
            <v>20</v>
          </cell>
          <cell r="C10">
            <v>62.08</v>
          </cell>
          <cell r="E10">
            <v>183</v>
          </cell>
          <cell r="F10">
            <v>84.19</v>
          </cell>
          <cell r="G10">
            <v>52.47</v>
          </cell>
          <cell r="H10">
            <v>0</v>
          </cell>
          <cell r="J10">
            <v>136.66</v>
          </cell>
          <cell r="N10">
            <v>8</v>
          </cell>
          <cell r="S10">
            <v>8</v>
          </cell>
          <cell r="T10">
            <v>59.31</v>
          </cell>
          <cell r="V10">
            <v>7.63</v>
          </cell>
        </row>
        <row r="11">
          <cell r="B11">
            <v>21</v>
          </cell>
          <cell r="C11">
            <v>72.2</v>
          </cell>
          <cell r="E11">
            <v>232</v>
          </cell>
          <cell r="F11">
            <v>101.30000000000001</v>
          </cell>
          <cell r="G11">
            <v>20.9</v>
          </cell>
          <cell r="H11">
            <v>0</v>
          </cell>
          <cell r="J11">
            <v>122.20000000000002</v>
          </cell>
          <cell r="N11">
            <v>9</v>
          </cell>
          <cell r="S11">
            <v>9</v>
          </cell>
          <cell r="T11">
            <v>33.010000000000005</v>
          </cell>
        </row>
        <row r="12">
          <cell r="B12">
            <v>22</v>
          </cell>
          <cell r="C12">
            <v>52.3</v>
          </cell>
          <cell r="E12">
            <v>154</v>
          </cell>
          <cell r="F12">
            <v>64.45</v>
          </cell>
          <cell r="G12">
            <v>0</v>
          </cell>
          <cell r="H12">
            <v>0</v>
          </cell>
          <cell r="J12">
            <v>64.45</v>
          </cell>
          <cell r="N12">
            <v>10</v>
          </cell>
          <cell r="S12">
            <v>10</v>
          </cell>
          <cell r="T12">
            <v>13.41</v>
          </cell>
        </row>
        <row r="13">
          <cell r="B13">
            <v>2</v>
          </cell>
          <cell r="C13">
            <v>60.4</v>
          </cell>
          <cell r="D13">
            <v>104.9</v>
          </cell>
          <cell r="E13">
            <v>169</v>
          </cell>
          <cell r="F13">
            <v>57.309999999999995</v>
          </cell>
          <cell r="G13">
            <v>0</v>
          </cell>
          <cell r="H13">
            <v>0</v>
          </cell>
          <cell r="J13">
            <v>57.309999999999995</v>
          </cell>
          <cell r="N13">
            <v>11</v>
          </cell>
          <cell r="S13">
            <v>11</v>
          </cell>
          <cell r="T13">
            <v>32.42</v>
          </cell>
        </row>
        <row r="14">
          <cell r="B14">
            <v>11</v>
          </cell>
          <cell r="C14">
            <v>44.5</v>
          </cell>
          <cell r="E14">
            <v>118</v>
          </cell>
          <cell r="F14">
            <v>32.42</v>
          </cell>
          <cell r="G14">
            <v>0</v>
          </cell>
          <cell r="H14">
            <v>0</v>
          </cell>
          <cell r="J14">
            <v>32.42</v>
          </cell>
          <cell r="N14">
            <v>12</v>
          </cell>
          <cell r="S14">
            <v>12</v>
          </cell>
          <cell r="T14">
            <v>49.47</v>
          </cell>
          <cell r="V14">
            <v>43.91</v>
          </cell>
        </row>
        <row r="15">
          <cell r="B15">
            <v>4</v>
          </cell>
          <cell r="C15">
            <v>70.599999999999994</v>
          </cell>
          <cell r="D15">
            <v>262.5</v>
          </cell>
          <cell r="E15">
            <v>198</v>
          </cell>
          <cell r="F15">
            <v>65.040000000000006</v>
          </cell>
          <cell r="G15">
            <v>0</v>
          </cell>
          <cell r="H15">
            <v>0</v>
          </cell>
          <cell r="J15">
            <v>65.040000000000006</v>
          </cell>
          <cell r="N15">
            <v>13</v>
          </cell>
          <cell r="S15">
            <v>13</v>
          </cell>
          <cell r="T15">
            <v>59.580000000000005</v>
          </cell>
          <cell r="V15">
            <v>53.370000000000005</v>
          </cell>
        </row>
        <row r="16">
          <cell r="B16">
            <v>5</v>
          </cell>
          <cell r="C16">
            <v>50.4</v>
          </cell>
          <cell r="E16">
            <v>141</v>
          </cell>
          <cell r="F16">
            <v>47.44</v>
          </cell>
          <cell r="G16">
            <v>32.090000000000003</v>
          </cell>
          <cell r="H16">
            <v>0</v>
          </cell>
          <cell r="J16">
            <v>79.53</v>
          </cell>
          <cell r="N16">
            <v>14</v>
          </cell>
          <cell r="S16">
            <v>14</v>
          </cell>
          <cell r="T16">
            <v>45.839999999999996</v>
          </cell>
        </row>
        <row r="17">
          <cell r="B17">
            <v>6</v>
          </cell>
          <cell r="C17">
            <v>58.6</v>
          </cell>
          <cell r="E17">
            <v>164</v>
          </cell>
          <cell r="F17">
            <v>60.33</v>
          </cell>
          <cell r="G17">
            <v>64.91</v>
          </cell>
          <cell r="H17">
            <v>0</v>
          </cell>
          <cell r="J17">
            <v>125.24</v>
          </cell>
          <cell r="N17">
            <v>15</v>
          </cell>
          <cell r="S17">
            <v>15</v>
          </cell>
          <cell r="T17">
            <v>70.900000000000006</v>
          </cell>
          <cell r="V17">
            <v>53.16</v>
          </cell>
        </row>
        <row r="18">
          <cell r="B18">
            <v>7</v>
          </cell>
          <cell r="C18">
            <v>23.6</v>
          </cell>
          <cell r="E18">
            <v>56</v>
          </cell>
          <cell r="F18">
            <v>19.149999999999999</v>
          </cell>
          <cell r="G18">
            <v>0</v>
          </cell>
          <cell r="H18">
            <v>0</v>
          </cell>
          <cell r="J18">
            <v>19.149999999999999</v>
          </cell>
          <cell r="N18">
            <v>16</v>
          </cell>
          <cell r="S18">
            <v>16</v>
          </cell>
          <cell r="T18">
            <v>53.38</v>
          </cell>
          <cell r="V18">
            <v>58.28</v>
          </cell>
        </row>
        <row r="19">
          <cell r="B19">
            <v>23</v>
          </cell>
          <cell r="C19">
            <v>14.6</v>
          </cell>
          <cell r="E19">
            <v>43</v>
          </cell>
          <cell r="F19">
            <v>25.259999999999998</v>
          </cell>
          <cell r="G19">
            <v>0</v>
          </cell>
          <cell r="H19">
            <v>0</v>
          </cell>
          <cell r="J19">
            <v>25.259999999999998</v>
          </cell>
          <cell r="N19">
            <v>17</v>
          </cell>
          <cell r="S19">
            <v>17</v>
          </cell>
          <cell r="T19">
            <v>43.17</v>
          </cell>
        </row>
        <row r="20">
          <cell r="B20">
            <v>24</v>
          </cell>
          <cell r="C20">
            <v>44.7</v>
          </cell>
          <cell r="E20">
            <v>113</v>
          </cell>
          <cell r="F20">
            <v>49.910000000000004</v>
          </cell>
          <cell r="G20">
            <v>0</v>
          </cell>
          <cell r="H20">
            <v>0</v>
          </cell>
          <cell r="J20">
            <v>49.910000000000004</v>
          </cell>
          <cell r="N20">
            <v>18</v>
          </cell>
          <cell r="S20">
            <v>18</v>
          </cell>
          <cell r="T20">
            <v>45.21</v>
          </cell>
          <cell r="V20">
            <v>40.72</v>
          </cell>
        </row>
        <row r="21">
          <cell r="B21">
            <v>8</v>
          </cell>
          <cell r="C21">
            <v>61.6</v>
          </cell>
          <cell r="D21">
            <v>291.60000000000002</v>
          </cell>
          <cell r="E21">
            <v>172</v>
          </cell>
          <cell r="F21">
            <v>59.31</v>
          </cell>
          <cell r="G21">
            <v>7.63</v>
          </cell>
          <cell r="H21">
            <v>0</v>
          </cell>
          <cell r="J21">
            <v>66.94</v>
          </cell>
          <cell r="N21">
            <v>19</v>
          </cell>
          <cell r="S21">
            <v>19</v>
          </cell>
          <cell r="T21">
            <v>56.22</v>
          </cell>
          <cell r="V21">
            <v>33.75</v>
          </cell>
        </row>
        <row r="22">
          <cell r="B22">
            <v>9</v>
          </cell>
          <cell r="C22">
            <v>38.299999999999997</v>
          </cell>
          <cell r="E22">
            <v>97</v>
          </cell>
          <cell r="F22">
            <v>33.010000000000005</v>
          </cell>
          <cell r="G22">
            <v>0</v>
          </cell>
          <cell r="H22">
            <v>0</v>
          </cell>
          <cell r="J22">
            <v>33.010000000000005</v>
          </cell>
          <cell r="N22">
            <v>20</v>
          </cell>
          <cell r="S22">
            <v>20</v>
          </cell>
          <cell r="T22">
            <v>84.19</v>
          </cell>
          <cell r="V22">
            <v>52.47</v>
          </cell>
        </row>
        <row r="23">
          <cell r="B23">
            <v>12</v>
          </cell>
          <cell r="C23">
            <v>71</v>
          </cell>
          <cell r="E23">
            <v>199</v>
          </cell>
          <cell r="F23">
            <v>49.47</v>
          </cell>
          <cell r="G23">
            <v>43.91</v>
          </cell>
          <cell r="H23">
            <v>0</v>
          </cell>
          <cell r="J23">
            <v>93.38</v>
          </cell>
          <cell r="N23">
            <v>21</v>
          </cell>
          <cell r="S23">
            <v>21</v>
          </cell>
          <cell r="T23">
            <v>101.30000000000001</v>
          </cell>
          <cell r="V23">
            <v>20.9</v>
          </cell>
        </row>
        <row r="24">
          <cell r="B24">
            <v>10</v>
          </cell>
          <cell r="C24">
            <v>19.100000000000001</v>
          </cell>
          <cell r="E24">
            <v>51</v>
          </cell>
          <cell r="F24">
            <v>13.41</v>
          </cell>
          <cell r="G24">
            <v>0</v>
          </cell>
          <cell r="H24">
            <v>0</v>
          </cell>
          <cell r="J24">
            <v>13.41</v>
          </cell>
          <cell r="N24">
            <v>22</v>
          </cell>
          <cell r="S24">
            <v>22</v>
          </cell>
          <cell r="T24">
            <v>64.45</v>
          </cell>
        </row>
        <row r="25">
          <cell r="B25">
            <v>13</v>
          </cell>
          <cell r="C25">
            <v>60.8</v>
          </cell>
          <cell r="E25">
            <v>187</v>
          </cell>
          <cell r="F25">
            <v>59.580000000000005</v>
          </cell>
          <cell r="G25">
            <v>53.370000000000005</v>
          </cell>
          <cell r="H25">
            <v>0</v>
          </cell>
          <cell r="J25">
            <v>112.95000000000002</v>
          </cell>
          <cell r="N25">
            <v>23</v>
          </cell>
          <cell r="S25">
            <v>23</v>
          </cell>
          <cell r="T25">
            <v>25.259999999999998</v>
          </cell>
        </row>
        <row r="26">
          <cell r="B26">
            <v>18</v>
          </cell>
          <cell r="C26">
            <v>40.799999999999997</v>
          </cell>
          <cell r="E26">
            <v>126</v>
          </cell>
          <cell r="F26">
            <v>45.21</v>
          </cell>
          <cell r="G26">
            <v>40.72</v>
          </cell>
          <cell r="H26">
            <v>0</v>
          </cell>
          <cell r="J26">
            <v>85.93</v>
          </cell>
          <cell r="N26">
            <v>24</v>
          </cell>
          <cell r="S26">
            <v>24</v>
          </cell>
          <cell r="T26">
            <v>49.910000000000004</v>
          </cell>
        </row>
        <row r="27">
          <cell r="B27">
            <v>25</v>
          </cell>
          <cell r="C27">
            <v>38.22</v>
          </cell>
          <cell r="D27">
            <v>208.10999999999999</v>
          </cell>
          <cell r="E27">
            <v>19</v>
          </cell>
          <cell r="F27">
            <v>12.27</v>
          </cell>
          <cell r="G27">
            <v>9.43</v>
          </cell>
          <cell r="H27">
            <v>0</v>
          </cell>
          <cell r="J27">
            <v>21.7</v>
          </cell>
          <cell r="N27">
            <v>25</v>
          </cell>
          <cell r="S27">
            <v>25</v>
          </cell>
          <cell r="T27">
            <v>12.27</v>
          </cell>
          <cell r="V27">
            <v>9.43</v>
          </cell>
        </row>
        <row r="28">
          <cell r="B28" t="str">
            <v>26A</v>
          </cell>
          <cell r="C28">
            <v>22.72</v>
          </cell>
          <cell r="E28">
            <v>15</v>
          </cell>
          <cell r="F28">
            <v>10.02</v>
          </cell>
          <cell r="G28">
            <v>18.229999999999997</v>
          </cell>
          <cell r="H28">
            <v>0</v>
          </cell>
          <cell r="J28">
            <v>28.249999999999996</v>
          </cell>
          <cell r="N28">
            <v>27</v>
          </cell>
          <cell r="S28">
            <v>27</v>
          </cell>
          <cell r="T28">
            <v>10</v>
          </cell>
          <cell r="V28">
            <v>9</v>
          </cell>
        </row>
        <row r="29">
          <cell r="B29">
            <v>27</v>
          </cell>
          <cell r="C29">
            <v>18.64</v>
          </cell>
          <cell r="E29">
            <v>12</v>
          </cell>
          <cell r="F29">
            <v>10</v>
          </cell>
          <cell r="G29">
            <v>9</v>
          </cell>
          <cell r="H29">
            <v>0</v>
          </cell>
          <cell r="J29">
            <v>19</v>
          </cell>
          <cell r="N29">
            <v>28</v>
          </cell>
          <cell r="S29">
            <v>28</v>
          </cell>
          <cell r="T29">
            <v>23.75</v>
          </cell>
        </row>
        <row r="30">
          <cell r="B30">
            <v>28</v>
          </cell>
          <cell r="C30">
            <v>25.5</v>
          </cell>
          <cell r="E30">
            <v>36</v>
          </cell>
          <cell r="F30">
            <v>23.75</v>
          </cell>
          <cell r="G30">
            <v>0</v>
          </cell>
          <cell r="H30">
            <v>0</v>
          </cell>
          <cell r="J30">
            <v>23.75</v>
          </cell>
          <cell r="N30">
            <v>29</v>
          </cell>
          <cell r="S30">
            <v>29</v>
          </cell>
          <cell r="T30">
            <v>4.74</v>
          </cell>
          <cell r="V30">
            <v>10.379999999999999</v>
          </cell>
        </row>
        <row r="31">
          <cell r="B31">
            <v>29</v>
          </cell>
          <cell r="C31">
            <v>11.38</v>
          </cell>
          <cell r="E31">
            <v>10</v>
          </cell>
          <cell r="F31">
            <v>4.74</v>
          </cell>
          <cell r="G31">
            <v>10.379999999999999</v>
          </cell>
          <cell r="H31">
            <v>0</v>
          </cell>
          <cell r="J31">
            <v>15.12</v>
          </cell>
          <cell r="N31">
            <v>30</v>
          </cell>
          <cell r="S31">
            <v>30</v>
          </cell>
          <cell r="T31">
            <v>12.309999999999999</v>
          </cell>
        </row>
        <row r="32">
          <cell r="B32">
            <v>30</v>
          </cell>
          <cell r="C32">
            <v>24.35</v>
          </cell>
          <cell r="E32">
            <v>10</v>
          </cell>
          <cell r="F32">
            <v>12.309999999999999</v>
          </cell>
          <cell r="G32">
            <v>0</v>
          </cell>
          <cell r="H32">
            <v>0</v>
          </cell>
          <cell r="J32">
            <v>12.309999999999999</v>
          </cell>
          <cell r="N32">
            <v>31</v>
          </cell>
          <cell r="S32">
            <v>31</v>
          </cell>
          <cell r="T32">
            <v>14.02</v>
          </cell>
        </row>
        <row r="33">
          <cell r="B33">
            <v>31</v>
          </cell>
          <cell r="C33">
            <v>34.08</v>
          </cell>
          <cell r="E33">
            <v>16</v>
          </cell>
          <cell r="F33">
            <v>14.02</v>
          </cell>
          <cell r="G33">
            <v>0</v>
          </cell>
          <cell r="H33">
            <v>0</v>
          </cell>
          <cell r="J33">
            <v>14.02</v>
          </cell>
          <cell r="N33">
            <v>33</v>
          </cell>
          <cell r="S33">
            <v>33</v>
          </cell>
          <cell r="T33">
            <v>24.580000000000002</v>
          </cell>
          <cell r="V33">
            <v>25.439999999999998</v>
          </cell>
        </row>
        <row r="34">
          <cell r="B34">
            <v>33</v>
          </cell>
          <cell r="C34">
            <v>28.72</v>
          </cell>
          <cell r="E34">
            <v>60</v>
          </cell>
          <cell r="F34">
            <v>24.580000000000002</v>
          </cell>
          <cell r="G34">
            <v>25.439999999999998</v>
          </cell>
          <cell r="H34">
            <v>0</v>
          </cell>
          <cell r="J34">
            <v>50.019999999999996</v>
          </cell>
          <cell r="N34">
            <v>39</v>
          </cell>
          <cell r="S34">
            <v>39</v>
          </cell>
          <cell r="T34">
            <v>2.39</v>
          </cell>
        </row>
        <row r="35">
          <cell r="B35">
            <v>39</v>
          </cell>
          <cell r="C35">
            <v>4.5</v>
          </cell>
          <cell r="E35">
            <v>4</v>
          </cell>
          <cell r="F35">
            <v>2.39</v>
          </cell>
          <cell r="G35">
            <v>0</v>
          </cell>
          <cell r="H35">
            <v>0</v>
          </cell>
          <cell r="J35">
            <v>2.39</v>
          </cell>
          <cell r="N35">
            <v>105</v>
          </cell>
          <cell r="S35">
            <v>105</v>
          </cell>
        </row>
        <row r="36">
          <cell r="D36">
            <v>1416.51</v>
          </cell>
          <cell r="E36">
            <v>3627</v>
          </cell>
          <cell r="F36">
            <v>1311.06</v>
          </cell>
          <cell r="G36">
            <v>659.64999999999986</v>
          </cell>
          <cell r="H36">
            <v>0</v>
          </cell>
          <cell r="I36">
            <v>0</v>
          </cell>
          <cell r="J36">
            <v>1970.7100000000003</v>
          </cell>
          <cell r="N36">
            <v>114</v>
          </cell>
          <cell r="S36">
            <v>114</v>
          </cell>
        </row>
        <row r="37">
          <cell r="N37" t="str">
            <v>26A</v>
          </cell>
          <cell r="S37" t="str">
            <v>26 A</v>
          </cell>
          <cell r="T37">
            <v>10.02</v>
          </cell>
          <cell r="V37">
            <v>18.229999999999997</v>
          </cell>
        </row>
      </sheetData>
      <sheetData sheetId="14">
        <row r="9">
          <cell r="B9">
            <v>1</v>
          </cell>
          <cell r="C9">
            <v>53.2</v>
          </cell>
          <cell r="D9">
            <v>53.66</v>
          </cell>
          <cell r="E9">
            <v>46.92</v>
          </cell>
          <cell r="H9">
            <v>100.58</v>
          </cell>
          <cell r="I9">
            <v>50.85</v>
          </cell>
          <cell r="M9">
            <v>50.85</v>
          </cell>
          <cell r="N9">
            <v>7.73</v>
          </cell>
          <cell r="R9">
            <v>7.73</v>
          </cell>
          <cell r="S9">
            <v>68.930000000000007</v>
          </cell>
          <cell r="T9">
            <v>43.32</v>
          </cell>
          <cell r="W9">
            <v>112.25</v>
          </cell>
          <cell r="X9">
            <v>33.43</v>
          </cell>
          <cell r="AB9">
            <v>33.43</v>
          </cell>
          <cell r="AC9">
            <v>46.94</v>
          </cell>
          <cell r="AG9">
            <v>46.94</v>
          </cell>
          <cell r="AH9">
            <v>64.41</v>
          </cell>
          <cell r="AI9">
            <v>38.43</v>
          </cell>
          <cell r="AL9">
            <v>102.84</v>
          </cell>
          <cell r="AM9">
            <v>37.4</v>
          </cell>
          <cell r="AN9">
            <v>26.225000000000001</v>
          </cell>
          <cell r="AQ9">
            <v>63.625</v>
          </cell>
          <cell r="AR9">
            <v>55.44</v>
          </cell>
          <cell r="AS9">
            <v>30.84</v>
          </cell>
          <cell r="AV9">
            <v>86.28</v>
          </cell>
          <cell r="AW9">
            <v>63.43</v>
          </cell>
          <cell r="BA9">
            <v>63.43</v>
          </cell>
          <cell r="BB9">
            <v>84.13</v>
          </cell>
          <cell r="BC9">
            <v>41.43</v>
          </cell>
          <cell r="BF9">
            <v>125.56</v>
          </cell>
          <cell r="BG9">
            <v>37.349999999999994</v>
          </cell>
          <cell r="BH9">
            <v>41.27</v>
          </cell>
          <cell r="BK9">
            <v>78.62</v>
          </cell>
          <cell r="BL9">
            <v>69.099999999999994</v>
          </cell>
          <cell r="BM9">
            <v>12.88</v>
          </cell>
          <cell r="BP9">
            <v>81.97999999999999</v>
          </cell>
          <cell r="BQ9">
            <v>25.48</v>
          </cell>
          <cell r="BR9">
            <v>36.61</v>
          </cell>
          <cell r="BU9">
            <v>62.09</v>
          </cell>
          <cell r="BV9">
            <v>36.17</v>
          </cell>
          <cell r="BW9">
            <v>19.55</v>
          </cell>
          <cell r="BZ9">
            <v>55.72</v>
          </cell>
          <cell r="CA9">
            <v>43.06</v>
          </cell>
          <cell r="CE9">
            <v>43.06</v>
          </cell>
          <cell r="CF9">
            <v>40.049999999999997</v>
          </cell>
          <cell r="CG9">
            <v>47.32</v>
          </cell>
          <cell r="CJ9">
            <v>87.37</v>
          </cell>
          <cell r="CK9">
            <v>52.38</v>
          </cell>
          <cell r="CO9">
            <v>52.38</v>
          </cell>
          <cell r="CP9">
            <v>31.88</v>
          </cell>
          <cell r="CQ9">
            <v>23.01</v>
          </cell>
          <cell r="CT9">
            <v>54.89</v>
          </cell>
          <cell r="CU9">
            <v>25.75</v>
          </cell>
          <cell r="CV9">
            <v>41.85</v>
          </cell>
          <cell r="CY9">
            <v>67.599999999999994</v>
          </cell>
          <cell r="CZ9">
            <v>45.84</v>
          </cell>
          <cell r="DD9">
            <v>45.84</v>
          </cell>
          <cell r="DE9">
            <v>70.95</v>
          </cell>
          <cell r="DI9">
            <v>70.95</v>
          </cell>
          <cell r="DJ9">
            <v>62.57</v>
          </cell>
          <cell r="DK9">
            <v>9.1</v>
          </cell>
          <cell r="DN9">
            <v>71.67</v>
          </cell>
          <cell r="DO9">
            <v>65.84</v>
          </cell>
          <cell r="DS9">
            <v>65.84</v>
          </cell>
          <cell r="DT9">
            <v>88.84</v>
          </cell>
          <cell r="DU9">
            <v>9.32</v>
          </cell>
          <cell r="DX9">
            <v>98.16</v>
          </cell>
          <cell r="DY9">
            <v>57.64</v>
          </cell>
          <cell r="DZ9">
            <v>35.53</v>
          </cell>
          <cell r="EC9">
            <v>93.17</v>
          </cell>
          <cell r="ED9">
            <v>16.05</v>
          </cell>
          <cell r="EE9">
            <v>40.229999999999997</v>
          </cell>
          <cell r="EH9">
            <v>56.28</v>
          </cell>
          <cell r="EI9">
            <v>31.12</v>
          </cell>
          <cell r="EM9">
            <v>31.12</v>
          </cell>
          <cell r="EN9">
            <v>26.91</v>
          </cell>
          <cell r="EO9">
            <v>9.16</v>
          </cell>
          <cell r="ER9">
            <v>36.07</v>
          </cell>
          <cell r="ES9">
            <v>41.81</v>
          </cell>
          <cell r="ET9">
            <v>8.7100000000000009</v>
          </cell>
          <cell r="EW9">
            <v>50.52</v>
          </cell>
          <cell r="EX9">
            <v>29.16</v>
          </cell>
          <cell r="EY9">
            <v>26.2</v>
          </cell>
          <cell r="FB9">
            <v>55.36</v>
          </cell>
          <cell r="FC9">
            <v>23.18</v>
          </cell>
          <cell r="FD9">
            <v>23.61</v>
          </cell>
          <cell r="FG9">
            <v>46.79</v>
          </cell>
          <cell r="FH9">
            <v>34.08</v>
          </cell>
          <cell r="FI9">
            <v>20.62</v>
          </cell>
          <cell r="FL9">
            <v>54.7</v>
          </cell>
          <cell r="FM9">
            <v>36.590000000000003</v>
          </cell>
          <cell r="FN9">
            <v>29.91</v>
          </cell>
          <cell r="FQ9">
            <v>66.5</v>
          </cell>
          <cell r="FR9">
            <v>16.72</v>
          </cell>
          <cell r="FS9">
            <v>57.33</v>
          </cell>
          <cell r="FV9">
            <v>74.05</v>
          </cell>
          <cell r="FW9">
            <v>39.32</v>
          </cell>
          <cell r="FX9">
            <v>44.45</v>
          </cell>
          <cell r="GA9">
            <v>83.77000000000001</v>
          </cell>
          <cell r="GB9">
            <v>31.67</v>
          </cell>
          <cell r="GC9">
            <v>25.34</v>
          </cell>
          <cell r="GF9">
            <v>57.010000000000005</v>
          </cell>
          <cell r="GG9">
            <v>9.77</v>
          </cell>
          <cell r="GH9">
            <v>27.17</v>
          </cell>
          <cell r="GK9">
            <v>36.94</v>
          </cell>
          <cell r="GL9">
            <v>15.36</v>
          </cell>
          <cell r="GM9">
            <v>24.08</v>
          </cell>
          <cell r="GP9">
            <v>39.44</v>
          </cell>
          <cell r="GQ9">
            <v>15.14</v>
          </cell>
          <cell r="GR9">
            <v>7.87</v>
          </cell>
          <cell r="GS9">
            <v>4.54</v>
          </cell>
          <cell r="GU9">
            <v>27.55</v>
          </cell>
          <cell r="GV9">
            <v>20.25</v>
          </cell>
          <cell r="GW9">
            <v>13.88</v>
          </cell>
          <cell r="GZ9">
            <v>34.130000000000003</v>
          </cell>
          <cell r="HA9">
            <v>45.97</v>
          </cell>
          <cell r="HB9">
            <v>12.94</v>
          </cell>
          <cell r="HE9">
            <v>58.91</v>
          </cell>
          <cell r="HF9">
            <v>40.75</v>
          </cell>
          <cell r="HG9">
            <v>13.29</v>
          </cell>
          <cell r="HJ9">
            <v>54.04</v>
          </cell>
          <cell r="HK9">
            <v>28.57</v>
          </cell>
          <cell r="HL9">
            <v>16.23</v>
          </cell>
          <cell r="HO9">
            <v>44.8</v>
          </cell>
          <cell r="HP9">
            <v>33.31</v>
          </cell>
          <cell r="HQ9">
            <v>32.630000000000003</v>
          </cell>
          <cell r="HT9">
            <v>65.94</v>
          </cell>
          <cell r="HU9">
            <v>24.71</v>
          </cell>
          <cell r="HV9">
            <v>26.41</v>
          </cell>
          <cell r="HY9">
            <v>51.120000000000005</v>
          </cell>
          <cell r="HZ9">
            <v>68.66</v>
          </cell>
          <cell r="IA9">
            <v>39.69</v>
          </cell>
          <cell r="ID9">
            <v>108.35</v>
          </cell>
          <cell r="IE9">
            <v>40.619999999999997</v>
          </cell>
          <cell r="IF9">
            <v>9.34</v>
          </cell>
          <cell r="IG9">
            <v>53.889999999999993</v>
          </cell>
          <cell r="II9">
            <v>103.85</v>
          </cell>
          <cell r="IJ9">
            <v>65.930000000000007</v>
          </cell>
          <cell r="IK9">
            <v>16.14</v>
          </cell>
          <cell r="IN9">
            <v>82.070000000000007</v>
          </cell>
          <cell r="IP9">
            <v>707.1400000000001</v>
          </cell>
          <cell r="IQ9">
            <v>48.17</v>
          </cell>
          <cell r="IR9">
            <v>21.25</v>
          </cell>
          <cell r="IU9">
            <v>69.42</v>
          </cell>
          <cell r="IV9">
            <v>19.239999999999998</v>
          </cell>
          <cell r="IW9">
            <v>23.96</v>
          </cell>
          <cell r="IZ9">
            <v>43.2</v>
          </cell>
          <cell r="JA9">
            <v>31.79</v>
          </cell>
          <cell r="JB9">
            <v>22.9</v>
          </cell>
          <cell r="JC9">
            <v>17.21</v>
          </cell>
          <cell r="JE9">
            <v>71.900000000000006</v>
          </cell>
          <cell r="JF9">
            <v>42.9</v>
          </cell>
          <cell r="JG9">
            <v>39.590000000000003</v>
          </cell>
          <cell r="JJ9">
            <v>82.490000000000009</v>
          </cell>
          <cell r="JK9">
            <v>34.11</v>
          </cell>
          <cell r="JL9">
            <v>50.02</v>
          </cell>
          <cell r="JO9">
            <v>84.13</v>
          </cell>
          <cell r="JP9">
            <v>13.38</v>
          </cell>
          <cell r="JQ9">
            <v>39.14</v>
          </cell>
          <cell r="JT9">
            <v>52.52</v>
          </cell>
          <cell r="JU9">
            <v>20.11</v>
          </cell>
          <cell r="JV9">
            <v>25.43</v>
          </cell>
          <cell r="JY9">
            <v>45.54</v>
          </cell>
          <cell r="JZ9">
            <v>35.979999999999997</v>
          </cell>
          <cell r="KA9">
            <v>29</v>
          </cell>
          <cell r="KD9">
            <v>64.97999999999999</v>
          </cell>
          <cell r="KE9">
            <v>42.379999999999995</v>
          </cell>
          <cell r="KF9">
            <v>33.93</v>
          </cell>
          <cell r="KG9">
            <v>0</v>
          </cell>
          <cell r="KH9">
            <v>0</v>
          </cell>
          <cell r="KI9">
            <v>76.31</v>
          </cell>
          <cell r="KJ9">
            <v>71.429999999999993</v>
          </cell>
          <cell r="KK9">
            <v>17.89</v>
          </cell>
          <cell r="KL9">
            <v>0</v>
          </cell>
          <cell r="KM9">
            <v>0</v>
          </cell>
          <cell r="KN9">
            <v>89.32</v>
          </cell>
          <cell r="KO9">
            <v>56.32</v>
          </cell>
          <cell r="KP9">
            <v>67.010000000000005</v>
          </cell>
          <cell r="KQ9">
            <v>0</v>
          </cell>
          <cell r="KR9">
            <v>0</v>
          </cell>
          <cell r="KS9">
            <v>123.33000000000001</v>
          </cell>
          <cell r="KT9">
            <v>45.47</v>
          </cell>
          <cell r="KU9">
            <v>61.180000000000007</v>
          </cell>
          <cell r="KV9">
            <v>0</v>
          </cell>
          <cell r="KW9">
            <v>0</v>
          </cell>
          <cell r="KX9">
            <v>106.65</v>
          </cell>
          <cell r="KZ9">
            <v>909.79</v>
          </cell>
        </row>
        <row r="10">
          <cell r="B10">
            <v>2</v>
          </cell>
          <cell r="C10">
            <v>60.4</v>
          </cell>
          <cell r="D10">
            <v>78.739999999999995</v>
          </cell>
          <cell r="H10">
            <v>78.739999999999995</v>
          </cell>
          <cell r="I10">
            <v>50.07</v>
          </cell>
          <cell r="M10">
            <v>50.07</v>
          </cell>
          <cell r="N10">
            <v>26.08</v>
          </cell>
          <cell r="O10">
            <v>2.71</v>
          </cell>
          <cell r="R10">
            <v>28.79</v>
          </cell>
          <cell r="S10">
            <v>25.91</v>
          </cell>
          <cell r="T10">
            <v>40.549999999999997</v>
          </cell>
          <cell r="W10">
            <v>66.459999999999994</v>
          </cell>
          <cell r="X10">
            <v>12.75</v>
          </cell>
          <cell r="Y10">
            <v>45.59</v>
          </cell>
          <cell r="AB10">
            <v>58.34</v>
          </cell>
          <cell r="AC10">
            <v>35.31</v>
          </cell>
          <cell r="AD10">
            <v>6.71</v>
          </cell>
          <cell r="AG10">
            <v>42.02</v>
          </cell>
          <cell r="AH10">
            <v>52.27</v>
          </cell>
          <cell r="AL10">
            <v>52.27</v>
          </cell>
          <cell r="AM10">
            <v>50.41</v>
          </cell>
          <cell r="AQ10">
            <v>50.41</v>
          </cell>
          <cell r="AR10">
            <v>37.552</v>
          </cell>
          <cell r="AS10">
            <v>46.25</v>
          </cell>
          <cell r="AV10">
            <v>83.801999999999992</v>
          </cell>
          <cell r="AW10">
            <v>57.12</v>
          </cell>
          <cell r="BA10">
            <v>57.12</v>
          </cell>
          <cell r="BB10">
            <v>91.68</v>
          </cell>
          <cell r="BC10">
            <v>74.52</v>
          </cell>
          <cell r="BF10">
            <v>166.2</v>
          </cell>
          <cell r="BG10">
            <v>62.85</v>
          </cell>
          <cell r="BH10">
            <v>46.69</v>
          </cell>
          <cell r="BK10">
            <v>109.53999999999999</v>
          </cell>
          <cell r="BL10">
            <v>47.52</v>
          </cell>
          <cell r="BM10">
            <v>33.24</v>
          </cell>
          <cell r="BP10">
            <v>80.760000000000005</v>
          </cell>
          <cell r="BQ10">
            <v>26.97</v>
          </cell>
          <cell r="BR10">
            <v>25.02</v>
          </cell>
          <cell r="BU10">
            <v>51.989999999999995</v>
          </cell>
          <cell r="BV10">
            <v>19.309999999999999</v>
          </cell>
          <cell r="BW10">
            <v>24.49</v>
          </cell>
          <cell r="BZ10">
            <v>43.8</v>
          </cell>
          <cell r="CA10">
            <v>25.72</v>
          </cell>
          <cell r="CB10">
            <v>19.440000000000001</v>
          </cell>
          <cell r="CC10">
            <v>20.149999999999999</v>
          </cell>
          <cell r="CE10">
            <v>65.31</v>
          </cell>
          <cell r="CF10">
            <v>28.48</v>
          </cell>
          <cell r="CG10">
            <v>23.09</v>
          </cell>
          <cell r="CJ10">
            <v>51.57</v>
          </cell>
          <cell r="CK10">
            <v>34.07</v>
          </cell>
          <cell r="CL10">
            <v>10.93</v>
          </cell>
          <cell r="CO10">
            <v>45</v>
          </cell>
          <cell r="CP10">
            <v>18.86</v>
          </cell>
          <cell r="CQ10">
            <v>14.12</v>
          </cell>
          <cell r="CR10">
            <v>16.920000000000002</v>
          </cell>
          <cell r="CT10">
            <v>49.9</v>
          </cell>
          <cell r="CU10">
            <v>20.86</v>
          </cell>
          <cell r="CV10">
            <v>19.309999999999999</v>
          </cell>
          <cell r="CY10">
            <v>40.17</v>
          </cell>
          <cell r="CZ10">
            <v>32.299999999999997</v>
          </cell>
          <cell r="DA10">
            <v>25.31</v>
          </cell>
          <cell r="DD10">
            <v>57.61</v>
          </cell>
          <cell r="DE10">
            <v>21.84</v>
          </cell>
          <cell r="DF10">
            <v>23.63</v>
          </cell>
          <cell r="DI10">
            <v>45.47</v>
          </cell>
          <cell r="DJ10">
            <v>44.7</v>
          </cell>
          <cell r="DK10">
            <v>40.97</v>
          </cell>
          <cell r="DN10">
            <v>85.67</v>
          </cell>
          <cell r="DO10">
            <v>33.86</v>
          </cell>
          <cell r="DP10">
            <v>25.93</v>
          </cell>
          <cell r="DS10">
            <v>59.79</v>
          </cell>
          <cell r="DT10">
            <v>32.770000000000003</v>
          </cell>
          <cell r="DU10">
            <v>34.25</v>
          </cell>
          <cell r="DX10">
            <v>67.02000000000001</v>
          </cell>
          <cell r="DY10">
            <v>32.68</v>
          </cell>
          <cell r="DZ10">
            <v>28.27</v>
          </cell>
          <cell r="EC10">
            <v>60.95</v>
          </cell>
          <cell r="ED10">
            <v>36.5</v>
          </cell>
          <cell r="EE10">
            <v>28.35</v>
          </cell>
          <cell r="EH10">
            <v>64.849999999999994</v>
          </cell>
          <cell r="EI10">
            <v>29.41</v>
          </cell>
          <cell r="EJ10">
            <v>29.28</v>
          </cell>
          <cell r="EM10">
            <v>58.69</v>
          </cell>
          <cell r="EN10">
            <v>19.989999999999998</v>
          </cell>
          <cell r="EO10">
            <v>20.73</v>
          </cell>
          <cell r="ER10">
            <v>40.72</v>
          </cell>
          <cell r="ES10">
            <v>24.25</v>
          </cell>
          <cell r="ET10">
            <v>20.2</v>
          </cell>
          <cell r="EW10">
            <v>44.45</v>
          </cell>
          <cell r="EX10">
            <v>18.02</v>
          </cell>
          <cell r="EY10">
            <v>19.93</v>
          </cell>
          <cell r="FB10">
            <v>37.950000000000003</v>
          </cell>
          <cell r="FC10">
            <v>20.76</v>
          </cell>
          <cell r="FD10">
            <v>26.08</v>
          </cell>
          <cell r="FG10">
            <v>46.84</v>
          </cell>
          <cell r="FH10">
            <v>23.41</v>
          </cell>
          <cell r="FI10">
            <v>29.48</v>
          </cell>
          <cell r="FL10">
            <v>52.89</v>
          </cell>
          <cell r="FM10">
            <v>32.32</v>
          </cell>
          <cell r="FN10">
            <v>31.6</v>
          </cell>
          <cell r="FQ10">
            <v>63.92</v>
          </cell>
          <cell r="FR10">
            <v>35.909999999999997</v>
          </cell>
          <cell r="FS10">
            <v>31.67</v>
          </cell>
          <cell r="FV10">
            <v>67.58</v>
          </cell>
          <cell r="FW10">
            <v>39.83</v>
          </cell>
          <cell r="FX10">
            <v>33.97</v>
          </cell>
          <cell r="GA10">
            <v>73.8</v>
          </cell>
          <cell r="GB10">
            <v>51.75</v>
          </cell>
          <cell r="GC10">
            <v>37.47</v>
          </cell>
          <cell r="GF10">
            <v>89.22</v>
          </cell>
          <cell r="GG10">
            <v>38.19</v>
          </cell>
          <cell r="GH10">
            <v>34.75</v>
          </cell>
          <cell r="GK10">
            <v>72.94</v>
          </cell>
          <cell r="GL10">
            <v>25.49</v>
          </cell>
          <cell r="GM10">
            <v>10.77</v>
          </cell>
          <cell r="GP10">
            <v>36.26</v>
          </cell>
          <cell r="GQ10">
            <v>8.17</v>
          </cell>
          <cell r="GR10">
            <v>17.47</v>
          </cell>
          <cell r="GS10">
            <v>13.67</v>
          </cell>
          <cell r="GU10">
            <v>39.31</v>
          </cell>
          <cell r="GV10">
            <v>31.68</v>
          </cell>
          <cell r="GW10">
            <v>24.06</v>
          </cell>
          <cell r="GZ10">
            <v>55.739999999999995</v>
          </cell>
          <cell r="HA10">
            <v>42.84</v>
          </cell>
          <cell r="HB10">
            <v>22.4</v>
          </cell>
          <cell r="HC10">
            <v>10.51</v>
          </cell>
          <cell r="HE10">
            <v>75.750000000000014</v>
          </cell>
          <cell r="HF10">
            <v>31.64</v>
          </cell>
          <cell r="HG10">
            <v>32.270000000000003</v>
          </cell>
          <cell r="HJ10">
            <v>63.910000000000004</v>
          </cell>
          <cell r="HK10">
            <v>30.86</v>
          </cell>
          <cell r="HL10">
            <v>20.6</v>
          </cell>
          <cell r="HO10">
            <v>51.46</v>
          </cell>
          <cell r="HP10">
            <v>40.74</v>
          </cell>
          <cell r="HQ10">
            <v>66.56</v>
          </cell>
          <cell r="HT10">
            <v>107.30000000000001</v>
          </cell>
          <cell r="HU10">
            <v>75.03</v>
          </cell>
          <cell r="HY10">
            <v>75.03</v>
          </cell>
          <cell r="HZ10">
            <v>55.01</v>
          </cell>
          <cell r="IA10">
            <v>29.3</v>
          </cell>
          <cell r="ID10">
            <v>84.31</v>
          </cell>
          <cell r="IE10">
            <v>59.374000000000002</v>
          </cell>
          <cell r="IF10">
            <v>36.340000000000003</v>
          </cell>
          <cell r="II10">
            <v>95.713999999999999</v>
          </cell>
          <cell r="IJ10">
            <v>62.25</v>
          </cell>
          <cell r="IK10">
            <v>8.74</v>
          </cell>
          <cell r="IN10">
            <v>70.989999999999995</v>
          </cell>
          <cell r="IP10">
            <v>828.71399999999994</v>
          </cell>
          <cell r="IQ10">
            <v>26.95</v>
          </cell>
          <cell r="IR10">
            <v>37.409999999999997</v>
          </cell>
          <cell r="IU10">
            <v>64.36</v>
          </cell>
          <cell r="IV10">
            <v>48.71</v>
          </cell>
          <cell r="IW10">
            <v>31.2</v>
          </cell>
          <cell r="IZ10">
            <v>79.91</v>
          </cell>
          <cell r="JA10">
            <v>33.68</v>
          </cell>
          <cell r="JB10">
            <v>57.36</v>
          </cell>
          <cell r="JE10">
            <v>91.039999999999992</v>
          </cell>
          <cell r="JF10">
            <v>74.37</v>
          </cell>
          <cell r="JJ10">
            <v>74.37</v>
          </cell>
          <cell r="JK10">
            <v>17.75</v>
          </cell>
          <cell r="JL10">
            <v>40.67</v>
          </cell>
          <cell r="JM10">
            <v>34.630000000000003</v>
          </cell>
          <cell r="JO10">
            <v>93.050000000000011</v>
          </cell>
          <cell r="JP10">
            <v>27.43</v>
          </cell>
          <cell r="JQ10">
            <v>12.13</v>
          </cell>
          <cell r="JT10">
            <v>39.56</v>
          </cell>
          <cell r="JU10">
            <v>32.85</v>
          </cell>
          <cell r="JV10">
            <v>12.23</v>
          </cell>
          <cell r="JW10">
            <v>12.76</v>
          </cell>
          <cell r="JY10">
            <v>57.839999999999996</v>
          </cell>
          <cell r="JZ10">
            <v>25.4</v>
          </cell>
          <cell r="KA10">
            <v>25.76</v>
          </cell>
          <cell r="KD10">
            <v>51.16</v>
          </cell>
          <cell r="KE10">
            <v>26.669999999999995</v>
          </cell>
          <cell r="KF10">
            <v>31.799999999999997</v>
          </cell>
          <cell r="KG10">
            <v>17.78</v>
          </cell>
          <cell r="KH10">
            <v>0</v>
          </cell>
          <cell r="KI10">
            <v>76.25</v>
          </cell>
          <cell r="KJ10">
            <v>63.76</v>
          </cell>
          <cell r="KK10">
            <v>16.78</v>
          </cell>
          <cell r="KL10">
            <v>0</v>
          </cell>
          <cell r="KM10">
            <v>0</v>
          </cell>
          <cell r="KN10">
            <v>80.539999999999992</v>
          </cell>
          <cell r="KO10">
            <v>52.18</v>
          </cell>
          <cell r="KP10">
            <v>72</v>
          </cell>
          <cell r="KQ10">
            <v>0</v>
          </cell>
          <cell r="KR10">
            <v>0</v>
          </cell>
          <cell r="KS10">
            <v>124.18</v>
          </cell>
          <cell r="KT10">
            <v>57.309999999999995</v>
          </cell>
          <cell r="KU10">
            <v>0</v>
          </cell>
          <cell r="KV10">
            <v>0</v>
          </cell>
          <cell r="KW10">
            <v>0</v>
          </cell>
          <cell r="KX10">
            <v>57.309999999999995</v>
          </cell>
          <cell r="KZ10">
            <v>889.56999999999994</v>
          </cell>
        </row>
        <row r="11">
          <cell r="B11">
            <v>3</v>
          </cell>
          <cell r="C11">
            <v>69.2</v>
          </cell>
          <cell r="D11">
            <v>19.86</v>
          </cell>
          <cell r="E11">
            <v>58.7</v>
          </cell>
          <cell r="H11">
            <v>78.56</v>
          </cell>
          <cell r="I11">
            <v>18.22</v>
          </cell>
          <cell r="J11">
            <v>46.94</v>
          </cell>
          <cell r="M11">
            <v>65.16</v>
          </cell>
          <cell r="N11">
            <v>73.16</v>
          </cell>
          <cell r="R11">
            <v>73.16</v>
          </cell>
          <cell r="S11">
            <v>36.97</v>
          </cell>
          <cell r="T11">
            <v>34.78</v>
          </cell>
          <cell r="W11">
            <v>71.75</v>
          </cell>
          <cell r="X11">
            <v>59.15</v>
          </cell>
          <cell r="Y11">
            <v>42.75</v>
          </cell>
          <cell r="AB11">
            <v>101.9</v>
          </cell>
          <cell r="AC11">
            <v>23.12</v>
          </cell>
          <cell r="AD11">
            <v>66.27</v>
          </cell>
          <cell r="AG11">
            <v>89.39</v>
          </cell>
          <cell r="AH11">
            <v>59.51</v>
          </cell>
          <cell r="AL11">
            <v>59.51</v>
          </cell>
          <cell r="AM11">
            <v>48.94</v>
          </cell>
          <cell r="AN11">
            <v>27.100999999999999</v>
          </cell>
          <cell r="AO11">
            <v>5.12</v>
          </cell>
          <cell r="AQ11">
            <v>81.161000000000001</v>
          </cell>
          <cell r="AR11">
            <v>85.59</v>
          </cell>
          <cell r="AV11">
            <v>85.59</v>
          </cell>
          <cell r="AW11">
            <v>81.739999999999995</v>
          </cell>
          <cell r="AX11">
            <v>68.459999999999994</v>
          </cell>
          <cell r="BA11">
            <v>150.19999999999999</v>
          </cell>
          <cell r="BB11">
            <v>25.330000000000002</v>
          </cell>
          <cell r="BC11">
            <v>69.679999999999993</v>
          </cell>
          <cell r="BD11">
            <v>24.97</v>
          </cell>
          <cell r="BF11">
            <v>119.97999999999999</v>
          </cell>
          <cell r="BG11">
            <v>98.33</v>
          </cell>
          <cell r="BK11">
            <v>98.33</v>
          </cell>
          <cell r="BL11">
            <v>40.550000000000004</v>
          </cell>
          <cell r="BM11">
            <v>65.36</v>
          </cell>
          <cell r="BP11">
            <v>105.91</v>
          </cell>
          <cell r="BQ11">
            <v>47.6</v>
          </cell>
          <cell r="BU11">
            <v>47.6</v>
          </cell>
          <cell r="BV11">
            <v>24.87</v>
          </cell>
          <cell r="BW11">
            <v>15.33</v>
          </cell>
          <cell r="BZ11">
            <v>40.200000000000003</v>
          </cell>
          <cell r="CA11">
            <v>35.93</v>
          </cell>
          <cell r="CB11">
            <v>40.61</v>
          </cell>
          <cell r="CE11">
            <v>76.539999999999992</v>
          </cell>
          <cell r="CF11">
            <v>52.65</v>
          </cell>
          <cell r="CJ11">
            <v>52.65</v>
          </cell>
          <cell r="CK11">
            <v>57.81</v>
          </cell>
          <cell r="CL11">
            <v>23.47</v>
          </cell>
          <cell r="CO11">
            <v>81.28</v>
          </cell>
          <cell r="CP11">
            <v>23.1</v>
          </cell>
          <cell r="CQ11">
            <v>21.13</v>
          </cell>
          <cell r="CR11">
            <v>18.72</v>
          </cell>
          <cell r="CT11">
            <v>62.95</v>
          </cell>
          <cell r="CU11">
            <v>48.72</v>
          </cell>
          <cell r="CV11">
            <v>7.52</v>
          </cell>
          <cell r="CY11">
            <v>56.239999999999995</v>
          </cell>
          <cell r="CZ11">
            <v>42.24</v>
          </cell>
          <cell r="DA11">
            <v>53.28</v>
          </cell>
          <cell r="DD11">
            <v>95.52000000000001</v>
          </cell>
          <cell r="DE11">
            <v>31.88</v>
          </cell>
          <cell r="DF11">
            <v>87.68</v>
          </cell>
          <cell r="DI11">
            <v>119.56</v>
          </cell>
          <cell r="DJ11">
            <v>43.2</v>
          </cell>
          <cell r="DK11">
            <v>123.5</v>
          </cell>
          <cell r="DN11">
            <v>166.7</v>
          </cell>
          <cell r="DO11">
            <v>83.02</v>
          </cell>
          <cell r="DS11">
            <v>83.02</v>
          </cell>
          <cell r="DT11">
            <v>106.95</v>
          </cell>
          <cell r="DX11">
            <v>106.95</v>
          </cell>
          <cell r="DY11">
            <v>58.34</v>
          </cell>
          <cell r="EC11">
            <v>58.34</v>
          </cell>
          <cell r="ED11">
            <v>61.71</v>
          </cell>
          <cell r="EH11">
            <v>61.71</v>
          </cell>
          <cell r="EI11">
            <v>41.08</v>
          </cell>
          <cell r="EJ11">
            <v>38.770000000000003</v>
          </cell>
          <cell r="EM11">
            <v>79.849999999999994</v>
          </cell>
          <cell r="EN11">
            <v>26.12</v>
          </cell>
          <cell r="EO11">
            <v>6.86</v>
          </cell>
          <cell r="ER11">
            <v>32.980000000000004</v>
          </cell>
          <cell r="ES11">
            <v>52.55</v>
          </cell>
          <cell r="ET11">
            <v>7.46</v>
          </cell>
          <cell r="EW11">
            <v>60.01</v>
          </cell>
          <cell r="EX11">
            <v>52.89</v>
          </cell>
          <cell r="EY11">
            <v>4.59</v>
          </cell>
          <cell r="FB11">
            <v>57.480000000000004</v>
          </cell>
          <cell r="FC11">
            <v>42.44</v>
          </cell>
          <cell r="FD11">
            <v>34.299999999999997</v>
          </cell>
          <cell r="FG11">
            <v>76.739999999999995</v>
          </cell>
          <cell r="FH11">
            <v>60.32</v>
          </cell>
          <cell r="FI11">
            <v>13.51</v>
          </cell>
          <cell r="FL11">
            <v>73.83</v>
          </cell>
          <cell r="FM11">
            <v>95.18</v>
          </cell>
          <cell r="FN11">
            <v>14.25</v>
          </cell>
          <cell r="FQ11">
            <v>109.43</v>
          </cell>
          <cell r="FR11">
            <v>55.11</v>
          </cell>
          <cell r="FS11">
            <v>58.79</v>
          </cell>
          <cell r="FV11">
            <v>113.9</v>
          </cell>
          <cell r="FW11">
            <v>55.6</v>
          </cell>
          <cell r="FX11">
            <v>16.32</v>
          </cell>
          <cell r="GA11">
            <v>71.92</v>
          </cell>
          <cell r="GB11">
            <v>31.92</v>
          </cell>
          <cell r="GC11">
            <v>21.08</v>
          </cell>
          <cell r="GF11">
            <v>53</v>
          </cell>
          <cell r="GG11">
            <v>51.04</v>
          </cell>
          <cell r="GH11">
            <v>20.2</v>
          </cell>
          <cell r="GK11">
            <v>71.239999999999995</v>
          </cell>
          <cell r="GL11">
            <v>14.17</v>
          </cell>
          <cell r="GM11">
            <v>24.44</v>
          </cell>
          <cell r="GP11">
            <v>38.61</v>
          </cell>
          <cell r="GQ11">
            <v>12.73</v>
          </cell>
          <cell r="GR11">
            <v>2.87</v>
          </cell>
          <cell r="GU11">
            <v>15.600000000000001</v>
          </cell>
          <cell r="GV11">
            <v>34.22</v>
          </cell>
          <cell r="GW11">
            <v>15.52</v>
          </cell>
          <cell r="GZ11">
            <v>49.739999999999995</v>
          </cell>
          <cell r="HA11">
            <v>49.54</v>
          </cell>
          <cell r="HB11">
            <v>11.01</v>
          </cell>
          <cell r="HE11">
            <v>60.55</v>
          </cell>
          <cell r="HF11">
            <v>47.06</v>
          </cell>
          <cell r="HG11">
            <v>10.6</v>
          </cell>
          <cell r="HJ11">
            <v>57.660000000000004</v>
          </cell>
          <cell r="HK11">
            <v>49.22</v>
          </cell>
          <cell r="HL11">
            <v>16.170000000000002</v>
          </cell>
          <cell r="HO11">
            <v>65.39</v>
          </cell>
          <cell r="HP11">
            <v>82.38</v>
          </cell>
          <cell r="HQ11">
            <v>31.87</v>
          </cell>
          <cell r="HT11">
            <v>114.25</v>
          </cell>
          <cell r="HU11">
            <v>53.67</v>
          </cell>
          <cell r="HV11">
            <v>40.25</v>
          </cell>
          <cell r="HY11">
            <v>93.92</v>
          </cell>
          <cell r="HZ11">
            <v>130.71</v>
          </cell>
          <cell r="IA11">
            <v>16.11</v>
          </cell>
          <cell r="ID11">
            <v>146.82</v>
          </cell>
          <cell r="IE11">
            <v>23.8</v>
          </cell>
          <cell r="IF11">
            <v>37.81</v>
          </cell>
          <cell r="II11">
            <v>61.61</v>
          </cell>
          <cell r="IJ11">
            <v>111.05</v>
          </cell>
          <cell r="IK11">
            <v>40.630000000000003</v>
          </cell>
          <cell r="IN11">
            <v>151.68</v>
          </cell>
          <cell r="IP11">
            <v>927.06999999999994</v>
          </cell>
          <cell r="IQ11">
            <v>38.020000000000003</v>
          </cell>
          <cell r="IR11">
            <v>15.83</v>
          </cell>
          <cell r="IU11">
            <v>53.85</v>
          </cell>
          <cell r="IV11">
            <v>64.25</v>
          </cell>
          <cell r="IW11">
            <v>14.98</v>
          </cell>
          <cell r="IZ11">
            <v>79.23</v>
          </cell>
          <cell r="JA11">
            <v>44.27</v>
          </cell>
          <cell r="JB11">
            <v>14.88</v>
          </cell>
          <cell r="JE11">
            <v>59.150000000000006</v>
          </cell>
          <cell r="JF11">
            <v>80.72</v>
          </cell>
          <cell r="JG11">
            <v>24.15</v>
          </cell>
          <cell r="JJ11">
            <v>104.87</v>
          </cell>
          <cell r="JK11">
            <v>56.42</v>
          </cell>
          <cell r="JL11">
            <v>17.350000000000001</v>
          </cell>
          <cell r="JO11">
            <v>73.77000000000001</v>
          </cell>
          <cell r="JP11">
            <v>43.87</v>
          </cell>
          <cell r="JQ11">
            <v>19.059999999999999</v>
          </cell>
          <cell r="JR11">
            <v>2.64</v>
          </cell>
          <cell r="JT11">
            <v>65.569999999999993</v>
          </cell>
          <cell r="JU11">
            <v>57.23</v>
          </cell>
          <cell r="JV11">
            <v>18.57</v>
          </cell>
          <cell r="JY11">
            <v>75.8</v>
          </cell>
          <cell r="JZ11">
            <v>66.540000000000006</v>
          </cell>
          <cell r="KA11">
            <v>25.79</v>
          </cell>
          <cell r="KD11">
            <v>92.330000000000013</v>
          </cell>
          <cell r="KE11">
            <v>64.740000000000009</v>
          </cell>
          <cell r="KF11">
            <v>27.73</v>
          </cell>
          <cell r="KG11">
            <v>0</v>
          </cell>
          <cell r="KH11">
            <v>0</v>
          </cell>
          <cell r="KI11">
            <v>92.470000000000013</v>
          </cell>
          <cell r="KJ11">
            <v>91.86999999999999</v>
          </cell>
          <cell r="KK11">
            <v>94.730000000000018</v>
          </cell>
          <cell r="KL11">
            <v>0</v>
          </cell>
          <cell r="KM11">
            <v>0</v>
          </cell>
          <cell r="KN11">
            <v>186.60000000000002</v>
          </cell>
          <cell r="KO11">
            <v>77.78</v>
          </cell>
          <cell r="KP11">
            <v>44.32</v>
          </cell>
          <cell r="KQ11">
            <v>0</v>
          </cell>
          <cell r="KR11">
            <v>0</v>
          </cell>
          <cell r="KS11">
            <v>122.1</v>
          </cell>
          <cell r="KT11">
            <v>15.21</v>
          </cell>
          <cell r="KU11">
            <v>64.8</v>
          </cell>
          <cell r="KV11">
            <v>0</v>
          </cell>
          <cell r="KW11">
            <v>0</v>
          </cell>
          <cell r="KX11">
            <v>80.009999999999991</v>
          </cell>
          <cell r="KZ11">
            <v>1085.75</v>
          </cell>
        </row>
        <row r="12">
          <cell r="B12">
            <v>4</v>
          </cell>
          <cell r="C12">
            <v>70.599999999999994</v>
          </cell>
          <cell r="D12">
            <v>75.28</v>
          </cell>
          <cell r="H12">
            <v>75.28</v>
          </cell>
          <cell r="I12">
            <v>76.510000000000005</v>
          </cell>
          <cell r="M12">
            <v>76.510000000000005</v>
          </cell>
          <cell r="N12">
            <v>45.87</v>
          </cell>
          <cell r="O12">
            <v>36.99</v>
          </cell>
          <cell r="R12">
            <v>82.86</v>
          </cell>
          <cell r="S12">
            <v>45.71</v>
          </cell>
          <cell r="T12">
            <v>47.76</v>
          </cell>
          <cell r="W12">
            <v>93.47</v>
          </cell>
          <cell r="X12">
            <v>52.55</v>
          </cell>
          <cell r="AB12">
            <v>52.55</v>
          </cell>
          <cell r="AC12">
            <v>69.510000000000005</v>
          </cell>
          <cell r="AD12">
            <v>48.24</v>
          </cell>
          <cell r="AG12">
            <v>117.75</v>
          </cell>
          <cell r="AH12">
            <v>39.92</v>
          </cell>
          <cell r="AI12">
            <v>35.380000000000003</v>
          </cell>
          <cell r="AL12">
            <v>75.300000000000011</v>
          </cell>
          <cell r="AM12">
            <v>18.440000000000001</v>
          </cell>
          <cell r="AN12">
            <v>59.09</v>
          </cell>
          <cell r="AQ12">
            <v>77.53</v>
          </cell>
          <cell r="AR12">
            <v>83.54</v>
          </cell>
          <cell r="AS12">
            <v>35.880000000000003</v>
          </cell>
          <cell r="AV12">
            <v>119.42000000000002</v>
          </cell>
          <cell r="AW12">
            <v>84.63</v>
          </cell>
          <cell r="BA12">
            <v>84.63</v>
          </cell>
          <cell r="BB12">
            <v>83.45</v>
          </cell>
          <cell r="BC12">
            <v>44.73</v>
          </cell>
          <cell r="BF12">
            <v>128.18</v>
          </cell>
          <cell r="BG12">
            <v>84.199999999999989</v>
          </cell>
          <cell r="BH12">
            <v>59.52</v>
          </cell>
          <cell r="BK12">
            <v>143.72</v>
          </cell>
          <cell r="BL12">
            <v>71.180000000000007</v>
          </cell>
          <cell r="BM12">
            <v>68.209999999999994</v>
          </cell>
          <cell r="BP12">
            <v>139.38999999999999</v>
          </cell>
          <cell r="BQ12">
            <v>35.96</v>
          </cell>
          <cell r="BR12">
            <v>56.73</v>
          </cell>
          <cell r="BU12">
            <v>92.69</v>
          </cell>
          <cell r="BV12">
            <v>29.54</v>
          </cell>
          <cell r="BW12">
            <v>15.56</v>
          </cell>
          <cell r="BX12">
            <v>8.82</v>
          </cell>
          <cell r="BZ12">
            <v>53.92</v>
          </cell>
          <cell r="CA12">
            <v>22.67</v>
          </cell>
          <cell r="CB12">
            <v>41.21</v>
          </cell>
          <cell r="CE12">
            <v>63.88</v>
          </cell>
          <cell r="CF12">
            <v>48.08</v>
          </cell>
          <cell r="CG12">
            <v>55.16</v>
          </cell>
          <cell r="CJ12">
            <v>103.24</v>
          </cell>
          <cell r="CK12">
            <v>45.69</v>
          </cell>
          <cell r="CL12">
            <v>35.74</v>
          </cell>
          <cell r="CO12">
            <v>81.430000000000007</v>
          </cell>
          <cell r="CP12">
            <v>31.2</v>
          </cell>
          <cell r="CQ12">
            <v>25.5</v>
          </cell>
          <cell r="CT12">
            <v>56.7</v>
          </cell>
          <cell r="CU12">
            <v>25.47</v>
          </cell>
          <cell r="CV12">
            <v>34.14</v>
          </cell>
          <cell r="CW12">
            <v>11.42</v>
          </cell>
          <cell r="CY12">
            <v>71.03</v>
          </cell>
          <cell r="CZ12">
            <v>71.13</v>
          </cell>
          <cell r="DA12">
            <v>6.96</v>
          </cell>
          <cell r="DD12">
            <v>78.089999999999989</v>
          </cell>
          <cell r="DE12">
            <v>79.38</v>
          </cell>
          <cell r="DF12">
            <v>92.71</v>
          </cell>
          <cell r="DI12">
            <v>172.08999999999997</v>
          </cell>
          <cell r="DJ12">
            <v>115.32</v>
          </cell>
          <cell r="DN12">
            <v>115.32</v>
          </cell>
          <cell r="DO12">
            <v>109.25</v>
          </cell>
          <cell r="DS12">
            <v>109.25</v>
          </cell>
          <cell r="DT12">
            <v>82.56</v>
          </cell>
          <cell r="DX12">
            <v>82.56</v>
          </cell>
          <cell r="DY12">
            <v>115.94</v>
          </cell>
          <cell r="EC12">
            <v>115.94</v>
          </cell>
          <cell r="ED12">
            <v>57.12</v>
          </cell>
          <cell r="EH12">
            <v>57.12</v>
          </cell>
          <cell r="EI12">
            <v>67.13</v>
          </cell>
          <cell r="EM12">
            <v>67.13</v>
          </cell>
          <cell r="EN12">
            <v>46.25</v>
          </cell>
          <cell r="EO12">
            <v>47.43</v>
          </cell>
          <cell r="ER12">
            <v>93.68</v>
          </cell>
          <cell r="ES12">
            <v>34.99</v>
          </cell>
          <cell r="ET12">
            <v>16.38</v>
          </cell>
          <cell r="EW12">
            <v>51.370000000000005</v>
          </cell>
          <cell r="EX12">
            <v>54.17</v>
          </cell>
          <cell r="EY12">
            <v>4.0599999999999996</v>
          </cell>
          <cell r="FB12">
            <v>58.230000000000004</v>
          </cell>
          <cell r="FC12">
            <v>18.57</v>
          </cell>
          <cell r="FD12">
            <v>39.270000000000003</v>
          </cell>
          <cell r="FE12">
            <v>10.11</v>
          </cell>
          <cell r="FG12">
            <v>67.95</v>
          </cell>
          <cell r="FH12">
            <v>26.83</v>
          </cell>
          <cell r="FI12">
            <v>45.68</v>
          </cell>
          <cell r="FL12">
            <v>72.509999999999991</v>
          </cell>
          <cell r="FM12">
            <v>42.95</v>
          </cell>
          <cell r="FN12">
            <v>36.799999999999997</v>
          </cell>
          <cell r="FQ12">
            <v>79.75</v>
          </cell>
          <cell r="FR12">
            <v>47.65</v>
          </cell>
          <cell r="FS12">
            <v>41.7</v>
          </cell>
          <cell r="FV12">
            <v>89.35</v>
          </cell>
          <cell r="FW12">
            <v>50</v>
          </cell>
          <cell r="FX12">
            <v>41.68</v>
          </cell>
          <cell r="GA12">
            <v>91.68</v>
          </cell>
          <cell r="GB12">
            <v>60.49</v>
          </cell>
          <cell r="GF12">
            <v>60.49</v>
          </cell>
          <cell r="GG12">
            <v>72.989999999999995</v>
          </cell>
          <cell r="GH12">
            <v>3.85</v>
          </cell>
          <cell r="GK12">
            <v>76.839999999999989</v>
          </cell>
          <cell r="GL12">
            <v>29.59</v>
          </cell>
          <cell r="GM12">
            <v>20.75</v>
          </cell>
          <cell r="GN12">
            <v>5.37</v>
          </cell>
          <cell r="GP12">
            <v>55.71</v>
          </cell>
          <cell r="GQ12">
            <v>16.07</v>
          </cell>
          <cell r="GR12">
            <v>4.2300000000000004</v>
          </cell>
          <cell r="GU12">
            <v>20.3</v>
          </cell>
          <cell r="GV12">
            <v>27.87</v>
          </cell>
          <cell r="GW12">
            <v>27.01</v>
          </cell>
          <cell r="GZ12">
            <v>54.88</v>
          </cell>
          <cell r="HA12">
            <v>58.79</v>
          </cell>
          <cell r="HB12">
            <v>18.04</v>
          </cell>
          <cell r="HE12">
            <v>76.83</v>
          </cell>
          <cell r="HF12">
            <v>33.64</v>
          </cell>
          <cell r="HG12">
            <v>31.44</v>
          </cell>
          <cell r="HJ12">
            <v>65.08</v>
          </cell>
          <cell r="HK12">
            <v>71.55</v>
          </cell>
          <cell r="HL12">
            <v>31.87</v>
          </cell>
          <cell r="HO12">
            <v>103.42</v>
          </cell>
          <cell r="HP12">
            <v>21.19</v>
          </cell>
          <cell r="HQ12">
            <v>73.38</v>
          </cell>
          <cell r="HT12">
            <v>94.57</v>
          </cell>
          <cell r="HU12">
            <v>104.9</v>
          </cell>
          <cell r="HV12">
            <v>22.65</v>
          </cell>
          <cell r="HY12">
            <v>127.55000000000001</v>
          </cell>
          <cell r="HZ12">
            <v>66.59</v>
          </cell>
          <cell r="IA12">
            <v>77.31</v>
          </cell>
          <cell r="ID12">
            <v>143.9</v>
          </cell>
          <cell r="IE12">
            <v>66.516000000000005</v>
          </cell>
          <cell r="IF12">
            <v>71.307000000000002</v>
          </cell>
          <cell r="II12">
            <v>137.82300000000001</v>
          </cell>
          <cell r="IJ12">
            <v>70.53</v>
          </cell>
          <cell r="IN12">
            <v>70.53</v>
          </cell>
          <cell r="IP12">
            <v>1027.433</v>
          </cell>
          <cell r="IQ12">
            <v>68.61</v>
          </cell>
          <cell r="IR12">
            <v>37.5</v>
          </cell>
          <cell r="IU12">
            <v>106.11</v>
          </cell>
          <cell r="IV12">
            <v>20.99</v>
          </cell>
          <cell r="IW12">
            <v>43.02</v>
          </cell>
          <cell r="IZ12">
            <v>64.010000000000005</v>
          </cell>
          <cell r="JA12">
            <v>20.55</v>
          </cell>
          <cell r="JB12">
            <v>45.15</v>
          </cell>
          <cell r="JC12">
            <v>45.38</v>
          </cell>
          <cell r="JE12">
            <v>111.08000000000001</v>
          </cell>
          <cell r="JF12">
            <v>28.81</v>
          </cell>
          <cell r="JG12">
            <v>86.31</v>
          </cell>
          <cell r="JJ12">
            <v>115.12</v>
          </cell>
          <cell r="JK12">
            <v>45.73</v>
          </cell>
          <cell r="JL12">
            <v>9.3000000000000007</v>
          </cell>
          <cell r="JM12">
            <v>48.8</v>
          </cell>
          <cell r="JO12">
            <v>103.83</v>
          </cell>
          <cell r="JP12">
            <v>43.59</v>
          </cell>
          <cell r="JQ12">
            <v>15.65</v>
          </cell>
          <cell r="JT12">
            <v>59.24</v>
          </cell>
          <cell r="JU12">
            <v>34.049999999999997</v>
          </cell>
          <cell r="JV12">
            <v>19.71</v>
          </cell>
          <cell r="JY12">
            <v>53.76</v>
          </cell>
          <cell r="JZ12">
            <v>54.33</v>
          </cell>
          <cell r="KA12">
            <v>7.52</v>
          </cell>
          <cell r="KD12">
            <v>61.849999999999994</v>
          </cell>
          <cell r="KE12">
            <v>53.14</v>
          </cell>
          <cell r="KF12">
            <v>16.54</v>
          </cell>
          <cell r="KG12">
            <v>0</v>
          </cell>
          <cell r="KH12">
            <v>0</v>
          </cell>
          <cell r="KI12">
            <v>69.680000000000007</v>
          </cell>
          <cell r="KJ12">
            <v>33.519999999999996</v>
          </cell>
          <cell r="KK12">
            <v>83.13</v>
          </cell>
          <cell r="KL12">
            <v>0</v>
          </cell>
          <cell r="KM12">
            <v>0</v>
          </cell>
          <cell r="KN12">
            <v>116.64999999999999</v>
          </cell>
          <cell r="KO12">
            <v>68.02</v>
          </cell>
          <cell r="KP12">
            <v>69.180000000000007</v>
          </cell>
          <cell r="KQ12">
            <v>0</v>
          </cell>
          <cell r="KR12">
            <v>0</v>
          </cell>
          <cell r="KS12">
            <v>137.19999999999999</v>
          </cell>
          <cell r="KT12">
            <v>65.040000000000006</v>
          </cell>
          <cell r="KU12">
            <v>0</v>
          </cell>
          <cell r="KV12">
            <v>0</v>
          </cell>
          <cell r="KW12">
            <v>0</v>
          </cell>
          <cell r="KX12">
            <v>65.040000000000006</v>
          </cell>
          <cell r="KZ12">
            <v>1063.57</v>
          </cell>
        </row>
        <row r="13">
          <cell r="B13">
            <v>5</v>
          </cell>
          <cell r="C13">
            <v>50.4</v>
          </cell>
          <cell r="D13">
            <v>67.209999999999994</v>
          </cell>
          <cell r="H13">
            <v>67.209999999999994</v>
          </cell>
          <cell r="I13">
            <v>67.25</v>
          </cell>
          <cell r="M13">
            <v>67.25</v>
          </cell>
          <cell r="N13">
            <v>55.45</v>
          </cell>
          <cell r="R13">
            <v>55.45</v>
          </cell>
          <cell r="S13">
            <v>32.72</v>
          </cell>
          <cell r="W13">
            <v>32.72</v>
          </cell>
          <cell r="X13">
            <v>76.88</v>
          </cell>
          <cell r="AB13">
            <v>76.88</v>
          </cell>
          <cell r="AC13">
            <v>56.78</v>
          </cell>
          <cell r="AG13">
            <v>56.78</v>
          </cell>
          <cell r="AH13">
            <v>27.69</v>
          </cell>
          <cell r="AI13">
            <v>32.503999999999998</v>
          </cell>
          <cell r="AL13">
            <v>60.194000000000003</v>
          </cell>
          <cell r="AM13">
            <v>49.6</v>
          </cell>
          <cell r="AQ13">
            <v>49.6</v>
          </cell>
          <cell r="AR13">
            <v>59.33</v>
          </cell>
          <cell r="AS13">
            <v>38.03</v>
          </cell>
          <cell r="AV13">
            <v>97.36</v>
          </cell>
          <cell r="AW13">
            <v>40.1</v>
          </cell>
          <cell r="AX13">
            <v>12.56</v>
          </cell>
          <cell r="BA13">
            <v>52.660000000000004</v>
          </cell>
          <cell r="BB13">
            <v>49.78</v>
          </cell>
          <cell r="BC13">
            <v>69.180000000000007</v>
          </cell>
          <cell r="BF13">
            <v>118.96000000000001</v>
          </cell>
          <cell r="BG13">
            <v>92.86</v>
          </cell>
          <cell r="BK13">
            <v>92.86</v>
          </cell>
          <cell r="BL13">
            <v>70.62</v>
          </cell>
          <cell r="BP13">
            <v>70.62</v>
          </cell>
          <cell r="BQ13">
            <v>45.9</v>
          </cell>
          <cell r="BR13">
            <v>17.739999999999998</v>
          </cell>
          <cell r="BU13">
            <v>63.64</v>
          </cell>
          <cell r="BV13">
            <v>17.600000000000001</v>
          </cell>
          <cell r="BW13">
            <v>15.09</v>
          </cell>
          <cell r="BZ13">
            <v>32.69</v>
          </cell>
          <cell r="CA13">
            <v>26.4</v>
          </cell>
          <cell r="CB13">
            <v>25.15</v>
          </cell>
          <cell r="CE13">
            <v>51.55</v>
          </cell>
          <cell r="CF13">
            <v>42.08</v>
          </cell>
          <cell r="CJ13">
            <v>42.08</v>
          </cell>
          <cell r="CK13">
            <v>39.090000000000003</v>
          </cell>
          <cell r="CL13">
            <v>25.3</v>
          </cell>
          <cell r="CM13">
            <v>3.73</v>
          </cell>
          <cell r="CO13">
            <v>68.12</v>
          </cell>
          <cell r="CP13">
            <v>15.2</v>
          </cell>
          <cell r="CQ13">
            <v>28.96</v>
          </cell>
          <cell r="CR13">
            <v>11.82</v>
          </cell>
          <cell r="CT13">
            <v>55.98</v>
          </cell>
          <cell r="CU13">
            <v>33.36</v>
          </cell>
          <cell r="CV13">
            <v>21.87</v>
          </cell>
          <cell r="CY13">
            <v>55.230000000000004</v>
          </cell>
          <cell r="CZ13">
            <v>30.77</v>
          </cell>
          <cell r="DA13">
            <v>50.14</v>
          </cell>
          <cell r="DD13">
            <v>80.91</v>
          </cell>
          <cell r="DE13">
            <v>69.92</v>
          </cell>
          <cell r="DI13">
            <v>69.92</v>
          </cell>
          <cell r="DJ13">
            <v>93.72</v>
          </cell>
          <cell r="DN13">
            <v>93.72</v>
          </cell>
          <cell r="DO13">
            <v>83.75</v>
          </cell>
          <cell r="DS13">
            <v>83.75</v>
          </cell>
          <cell r="DT13">
            <v>60.63</v>
          </cell>
          <cell r="DU13">
            <v>43.72</v>
          </cell>
          <cell r="DX13">
            <v>104.35</v>
          </cell>
          <cell r="DY13">
            <v>39.22</v>
          </cell>
          <cell r="EC13">
            <v>39.22</v>
          </cell>
          <cell r="ED13">
            <v>37.86</v>
          </cell>
          <cell r="EH13">
            <v>37.86</v>
          </cell>
          <cell r="EI13">
            <v>44.35</v>
          </cell>
          <cell r="EM13">
            <v>44.35</v>
          </cell>
          <cell r="EN13">
            <v>46.8</v>
          </cell>
          <cell r="EO13">
            <v>35.03</v>
          </cell>
          <cell r="ER13">
            <v>81.83</v>
          </cell>
          <cell r="ES13">
            <v>31.14</v>
          </cell>
          <cell r="ET13">
            <v>14.74</v>
          </cell>
          <cell r="EW13">
            <v>45.88</v>
          </cell>
          <cell r="EX13">
            <v>38.81</v>
          </cell>
          <cell r="EY13">
            <v>14.52</v>
          </cell>
          <cell r="FB13">
            <v>53.33</v>
          </cell>
          <cell r="FC13">
            <v>43.48</v>
          </cell>
          <cell r="FD13">
            <v>25.04</v>
          </cell>
          <cell r="FG13">
            <v>68.52</v>
          </cell>
          <cell r="FH13">
            <v>43.2</v>
          </cell>
          <cell r="FI13">
            <v>3.56</v>
          </cell>
          <cell r="FL13">
            <v>46.760000000000005</v>
          </cell>
          <cell r="FM13">
            <v>34.97</v>
          </cell>
          <cell r="FN13">
            <v>30.52</v>
          </cell>
          <cell r="FO13">
            <v>8.9</v>
          </cell>
          <cell r="FQ13">
            <v>74.39</v>
          </cell>
          <cell r="FR13">
            <v>47.26</v>
          </cell>
          <cell r="FS13">
            <v>29.34</v>
          </cell>
          <cell r="FV13">
            <v>76.599999999999994</v>
          </cell>
          <cell r="FW13">
            <v>30.13</v>
          </cell>
          <cell r="FX13">
            <v>36.1</v>
          </cell>
          <cell r="GA13">
            <v>66.23</v>
          </cell>
          <cell r="GB13">
            <v>34.19</v>
          </cell>
          <cell r="GC13">
            <v>35.39</v>
          </cell>
          <cell r="GF13">
            <v>69.58</v>
          </cell>
          <cell r="GG13">
            <v>45.32</v>
          </cell>
          <cell r="GK13">
            <v>45.32</v>
          </cell>
          <cell r="GL13">
            <v>13.96</v>
          </cell>
          <cell r="GM13">
            <v>12.2</v>
          </cell>
          <cell r="GP13">
            <v>26.16</v>
          </cell>
          <cell r="GQ13">
            <v>18.850000000000001</v>
          </cell>
          <cell r="GR13">
            <v>3.69</v>
          </cell>
          <cell r="GS13">
            <v>2.31</v>
          </cell>
          <cell r="GU13">
            <v>24.85</v>
          </cell>
          <cell r="GV13">
            <v>20.49</v>
          </cell>
          <cell r="GW13">
            <v>24.39</v>
          </cell>
          <cell r="GZ13">
            <v>44.879999999999995</v>
          </cell>
          <cell r="HA13">
            <v>41.45</v>
          </cell>
          <cell r="HB13">
            <v>24.85</v>
          </cell>
          <cell r="HE13">
            <v>66.300000000000011</v>
          </cell>
          <cell r="HF13">
            <v>12.08</v>
          </cell>
          <cell r="HG13">
            <v>24.44</v>
          </cell>
          <cell r="HJ13">
            <v>36.520000000000003</v>
          </cell>
          <cell r="HK13">
            <v>40.9</v>
          </cell>
          <cell r="HL13">
            <v>43.42</v>
          </cell>
          <cell r="HO13">
            <v>84.32</v>
          </cell>
          <cell r="HP13">
            <v>49.93</v>
          </cell>
          <cell r="HQ13">
            <v>13.46</v>
          </cell>
          <cell r="HT13">
            <v>63.39</v>
          </cell>
          <cell r="HU13">
            <v>72.42</v>
          </cell>
          <cell r="HV13">
            <v>41.96</v>
          </cell>
          <cell r="HY13">
            <v>114.38</v>
          </cell>
          <cell r="HZ13">
            <v>105.11999999999999</v>
          </cell>
          <cell r="ID13">
            <v>105.11999999999999</v>
          </cell>
          <cell r="IE13">
            <v>40.94</v>
          </cell>
          <cell r="IF13">
            <v>53.29</v>
          </cell>
          <cell r="II13">
            <v>94.22999999999999</v>
          </cell>
          <cell r="IJ13">
            <v>37.130000000000003</v>
          </cell>
          <cell r="IK13">
            <v>39.159999999999997</v>
          </cell>
          <cell r="IN13">
            <v>76.289999999999992</v>
          </cell>
          <cell r="IP13">
            <v>781.76</v>
          </cell>
          <cell r="IQ13">
            <v>50.88</v>
          </cell>
          <cell r="IU13">
            <v>50.88</v>
          </cell>
          <cell r="IV13">
            <v>48.78</v>
          </cell>
          <cell r="IW13">
            <v>2.36</v>
          </cell>
          <cell r="IZ13">
            <v>51.14</v>
          </cell>
          <cell r="JA13">
            <v>38.85</v>
          </cell>
          <cell r="JB13">
            <v>18.57</v>
          </cell>
          <cell r="JE13">
            <v>57.42</v>
          </cell>
          <cell r="JF13">
            <v>80.61</v>
          </cell>
          <cell r="JG13">
            <v>11.94</v>
          </cell>
          <cell r="JJ13">
            <v>92.55</v>
          </cell>
          <cell r="JK13">
            <v>61.07</v>
          </cell>
          <cell r="JL13">
            <v>7.95</v>
          </cell>
          <cell r="JO13">
            <v>69.02</v>
          </cell>
          <cell r="JP13">
            <v>70.069999999999993</v>
          </cell>
          <cell r="JQ13">
            <v>9</v>
          </cell>
          <cell r="JT13">
            <v>79.069999999999993</v>
          </cell>
          <cell r="JU13">
            <v>38.32</v>
          </cell>
          <cell r="JV13">
            <v>19.940000000000001</v>
          </cell>
          <cell r="JY13">
            <v>58.260000000000005</v>
          </cell>
          <cell r="JZ13">
            <v>41.18</v>
          </cell>
          <cell r="KA13">
            <v>25.46</v>
          </cell>
          <cell r="KD13">
            <v>66.64</v>
          </cell>
          <cell r="KE13">
            <v>27.13</v>
          </cell>
          <cell r="KF13">
            <v>36.700000000000003</v>
          </cell>
          <cell r="KG13">
            <v>0</v>
          </cell>
          <cell r="KH13">
            <v>0</v>
          </cell>
          <cell r="KI13">
            <v>63.83</v>
          </cell>
          <cell r="KJ13">
            <v>64.44</v>
          </cell>
          <cell r="KK13">
            <v>0</v>
          </cell>
          <cell r="KL13">
            <v>0</v>
          </cell>
          <cell r="KM13">
            <v>0</v>
          </cell>
          <cell r="KN13">
            <v>64.44</v>
          </cell>
          <cell r="KO13">
            <v>53.04</v>
          </cell>
          <cell r="KP13">
            <v>49.47</v>
          </cell>
          <cell r="KQ13">
            <v>0</v>
          </cell>
          <cell r="KR13">
            <v>0</v>
          </cell>
          <cell r="KS13">
            <v>102.50999999999999</v>
          </cell>
          <cell r="KT13">
            <v>47.44</v>
          </cell>
          <cell r="KU13">
            <v>32.090000000000003</v>
          </cell>
          <cell r="KV13">
            <v>0</v>
          </cell>
          <cell r="KW13">
            <v>0</v>
          </cell>
          <cell r="KX13">
            <v>79.53</v>
          </cell>
          <cell r="KZ13">
            <v>835.29</v>
          </cell>
        </row>
        <row r="14">
          <cell r="B14">
            <v>6</v>
          </cell>
          <cell r="C14">
            <v>58.6</v>
          </cell>
          <cell r="D14">
            <v>46</v>
          </cell>
          <cell r="H14">
            <v>46</v>
          </cell>
          <cell r="I14">
            <v>90</v>
          </cell>
          <cell r="M14">
            <v>90</v>
          </cell>
          <cell r="N14">
            <v>70.97</v>
          </cell>
          <cell r="R14">
            <v>70.97</v>
          </cell>
          <cell r="S14">
            <v>44.38</v>
          </cell>
          <cell r="W14">
            <v>44.38</v>
          </cell>
          <cell r="X14">
            <v>73.88</v>
          </cell>
          <cell r="AB14">
            <v>73.88</v>
          </cell>
          <cell r="AC14">
            <v>73.81</v>
          </cell>
          <cell r="AG14">
            <v>73.81</v>
          </cell>
          <cell r="AH14">
            <v>41.54</v>
          </cell>
          <cell r="AI14">
            <v>31.725999999999999</v>
          </cell>
          <cell r="AL14">
            <v>73.265999999999991</v>
          </cell>
          <cell r="AM14">
            <v>52.38</v>
          </cell>
          <cell r="AN14">
            <v>28.09</v>
          </cell>
          <cell r="AQ14">
            <v>80.47</v>
          </cell>
          <cell r="AR14">
            <v>40.805999999999997</v>
          </cell>
          <cell r="AS14">
            <v>60.54</v>
          </cell>
          <cell r="AV14">
            <v>101.346</v>
          </cell>
          <cell r="AW14">
            <v>49.87</v>
          </cell>
          <cell r="AX14">
            <v>67.64</v>
          </cell>
          <cell r="BA14">
            <v>117.50999999999999</v>
          </cell>
          <cell r="BB14">
            <v>93.740000000000009</v>
          </cell>
          <cell r="BF14">
            <v>93.740000000000009</v>
          </cell>
          <cell r="BG14">
            <v>98.1</v>
          </cell>
          <cell r="BK14">
            <v>98.1</v>
          </cell>
          <cell r="BL14">
            <v>91.25</v>
          </cell>
          <cell r="BP14">
            <v>91.25</v>
          </cell>
          <cell r="BQ14">
            <v>55.269999999999996</v>
          </cell>
          <cell r="BR14">
            <v>26.87</v>
          </cell>
          <cell r="BU14">
            <v>82.14</v>
          </cell>
          <cell r="BV14">
            <v>15.79</v>
          </cell>
          <cell r="BW14">
            <v>17.91</v>
          </cell>
          <cell r="BZ14">
            <v>33.700000000000003</v>
          </cell>
          <cell r="CA14">
            <v>23.92</v>
          </cell>
          <cell r="CB14">
            <v>30.06</v>
          </cell>
          <cell r="CE14">
            <v>53.980000000000004</v>
          </cell>
          <cell r="CF14">
            <v>40.36</v>
          </cell>
          <cell r="CG14">
            <v>41.66</v>
          </cell>
          <cell r="CJ14">
            <v>82.02</v>
          </cell>
          <cell r="CK14">
            <v>32.97</v>
          </cell>
          <cell r="CL14">
            <v>29.5</v>
          </cell>
          <cell r="CO14">
            <v>62.47</v>
          </cell>
          <cell r="CP14">
            <v>26.81</v>
          </cell>
          <cell r="CQ14">
            <v>28.32</v>
          </cell>
          <cell r="CT14">
            <v>55.129999999999995</v>
          </cell>
          <cell r="CU14">
            <v>25.3</v>
          </cell>
          <cell r="CV14">
            <v>34.67</v>
          </cell>
          <cell r="CY14">
            <v>59.97</v>
          </cell>
          <cell r="CZ14">
            <v>39.11</v>
          </cell>
          <cell r="DA14">
            <v>54.19</v>
          </cell>
          <cell r="DD14">
            <v>93.3</v>
          </cell>
          <cell r="DE14">
            <v>75.150000000000006</v>
          </cell>
          <cell r="DI14">
            <v>75.150000000000006</v>
          </cell>
          <cell r="DJ14">
            <v>95.51</v>
          </cell>
          <cell r="DK14">
            <v>29.11</v>
          </cell>
          <cell r="DN14">
            <v>124.62</v>
          </cell>
          <cell r="DO14">
            <v>76.69</v>
          </cell>
          <cell r="DP14">
            <v>61.36</v>
          </cell>
          <cell r="DS14">
            <v>138.05000000000001</v>
          </cell>
          <cell r="DT14">
            <v>72.959999999999994</v>
          </cell>
          <cell r="DX14">
            <v>72.959999999999994</v>
          </cell>
          <cell r="DY14">
            <v>62.2</v>
          </cell>
          <cell r="EC14">
            <v>62.2</v>
          </cell>
          <cell r="ED14">
            <v>51.17</v>
          </cell>
          <cell r="EE14">
            <v>7.49</v>
          </cell>
          <cell r="EH14">
            <v>58.660000000000004</v>
          </cell>
          <cell r="EI14">
            <v>45.36</v>
          </cell>
          <cell r="EJ14">
            <v>51.92</v>
          </cell>
          <cell r="EM14">
            <v>97.28</v>
          </cell>
          <cell r="EN14">
            <v>47.78</v>
          </cell>
          <cell r="ER14">
            <v>47.78</v>
          </cell>
          <cell r="ES14">
            <v>44.99</v>
          </cell>
          <cell r="ET14">
            <v>15.04</v>
          </cell>
          <cell r="EW14">
            <v>60.03</v>
          </cell>
          <cell r="EX14">
            <v>57.27</v>
          </cell>
          <cell r="EY14">
            <v>40.369999999999997</v>
          </cell>
          <cell r="FB14">
            <v>97.64</v>
          </cell>
          <cell r="FC14">
            <v>36.07</v>
          </cell>
          <cell r="FD14">
            <v>32.630000000000003</v>
          </cell>
          <cell r="FG14">
            <v>68.7</v>
          </cell>
          <cell r="FH14">
            <v>40.840000000000003</v>
          </cell>
          <cell r="FI14">
            <v>28.96</v>
          </cell>
          <cell r="FL14">
            <v>69.800000000000011</v>
          </cell>
          <cell r="FM14">
            <v>44.58</v>
          </cell>
          <cell r="FN14">
            <v>40.01</v>
          </cell>
          <cell r="FQ14">
            <v>84.59</v>
          </cell>
          <cell r="FR14">
            <v>55.83</v>
          </cell>
          <cell r="FS14">
            <v>30.17</v>
          </cell>
          <cell r="FV14">
            <v>86</v>
          </cell>
          <cell r="FW14">
            <v>51.04</v>
          </cell>
          <cell r="FX14">
            <v>21.24</v>
          </cell>
          <cell r="GA14">
            <v>72.28</v>
          </cell>
          <cell r="GB14">
            <v>15.8</v>
          </cell>
          <cell r="GC14">
            <v>29.05</v>
          </cell>
          <cell r="GF14">
            <v>44.85</v>
          </cell>
          <cell r="GG14">
            <v>54.29</v>
          </cell>
          <cell r="GH14">
            <v>33.729999999999997</v>
          </cell>
          <cell r="GK14">
            <v>88.02</v>
          </cell>
          <cell r="GL14">
            <v>27.04</v>
          </cell>
          <cell r="GM14">
            <v>12.78</v>
          </cell>
          <cell r="GP14">
            <v>39.82</v>
          </cell>
          <cell r="GQ14">
            <v>19.96</v>
          </cell>
          <cell r="GR14">
            <v>7.43</v>
          </cell>
          <cell r="GU14">
            <v>27.39</v>
          </cell>
          <cell r="GV14">
            <v>18.14</v>
          </cell>
          <cell r="GW14">
            <v>21.49</v>
          </cell>
          <cell r="GZ14">
            <v>39.629999999999995</v>
          </cell>
          <cell r="HA14">
            <v>39.369999999999997</v>
          </cell>
          <cell r="HB14">
            <v>29.56</v>
          </cell>
          <cell r="HE14">
            <v>68.929999999999993</v>
          </cell>
          <cell r="HF14">
            <v>20.09</v>
          </cell>
          <cell r="HG14">
            <v>19.05</v>
          </cell>
          <cell r="HJ14">
            <v>39.14</v>
          </cell>
          <cell r="HK14">
            <v>67.45</v>
          </cell>
          <cell r="HL14">
            <v>60.39</v>
          </cell>
          <cell r="HO14">
            <v>127.84</v>
          </cell>
          <cell r="HP14">
            <v>64.3</v>
          </cell>
          <cell r="HQ14">
            <v>96.37</v>
          </cell>
          <cell r="HT14">
            <v>160.67000000000002</v>
          </cell>
          <cell r="HU14">
            <v>99.91</v>
          </cell>
          <cell r="HY14">
            <v>99.91</v>
          </cell>
          <cell r="HZ14">
            <v>87.66</v>
          </cell>
          <cell r="IA14">
            <v>26.25</v>
          </cell>
          <cell r="ID14">
            <v>113.91</v>
          </cell>
          <cell r="IE14">
            <v>31.71</v>
          </cell>
          <cell r="IF14">
            <v>69.78</v>
          </cell>
          <cell r="II14">
            <v>101.49000000000001</v>
          </cell>
          <cell r="IJ14">
            <v>44.18</v>
          </cell>
          <cell r="IK14">
            <v>63.39</v>
          </cell>
          <cell r="IN14">
            <v>107.57</v>
          </cell>
          <cell r="IP14">
            <v>1014.3199999999999</v>
          </cell>
          <cell r="IQ14">
            <v>47.81</v>
          </cell>
          <cell r="IU14">
            <v>47.81</v>
          </cell>
          <cell r="IV14">
            <v>62.98</v>
          </cell>
          <cell r="IW14">
            <v>22.17</v>
          </cell>
          <cell r="IZ14">
            <v>85.15</v>
          </cell>
          <cell r="JA14">
            <v>32.200000000000003</v>
          </cell>
          <cell r="JB14">
            <v>11.75</v>
          </cell>
          <cell r="JE14">
            <v>43.95</v>
          </cell>
          <cell r="JF14">
            <v>75.31</v>
          </cell>
          <cell r="JG14">
            <v>13.55</v>
          </cell>
          <cell r="JJ14">
            <v>88.86</v>
          </cell>
          <cell r="JK14">
            <v>40.409999999999997</v>
          </cell>
          <cell r="JL14">
            <v>15.97</v>
          </cell>
          <cell r="JO14">
            <v>56.379999999999995</v>
          </cell>
          <cell r="JP14">
            <v>72.08</v>
          </cell>
          <cell r="JQ14">
            <v>21.41</v>
          </cell>
          <cell r="JT14">
            <v>93.49</v>
          </cell>
          <cell r="JU14">
            <v>33.450000000000003</v>
          </cell>
          <cell r="JV14">
            <v>19.45</v>
          </cell>
          <cell r="JY14">
            <v>52.900000000000006</v>
          </cell>
          <cell r="JZ14">
            <v>55.79</v>
          </cell>
          <cell r="KA14">
            <v>24.67</v>
          </cell>
          <cell r="KD14">
            <v>80.460000000000008</v>
          </cell>
          <cell r="KE14">
            <v>38.42</v>
          </cell>
          <cell r="KF14">
            <v>40.69</v>
          </cell>
          <cell r="KG14">
            <v>0</v>
          </cell>
          <cell r="KH14">
            <v>0</v>
          </cell>
          <cell r="KI14">
            <v>79.11</v>
          </cell>
          <cell r="KJ14">
            <v>68.84</v>
          </cell>
          <cell r="KK14">
            <v>75.710000000000008</v>
          </cell>
          <cell r="KL14">
            <v>0</v>
          </cell>
          <cell r="KM14">
            <v>0</v>
          </cell>
          <cell r="KN14">
            <v>144.55000000000001</v>
          </cell>
          <cell r="KO14">
            <v>63.34</v>
          </cell>
          <cell r="KP14">
            <v>0</v>
          </cell>
          <cell r="KQ14">
            <v>0</v>
          </cell>
          <cell r="KR14">
            <v>0</v>
          </cell>
          <cell r="KS14">
            <v>63.34</v>
          </cell>
          <cell r="KT14">
            <v>60.33</v>
          </cell>
          <cell r="KU14">
            <v>64.91</v>
          </cell>
          <cell r="KV14">
            <v>0</v>
          </cell>
          <cell r="KW14">
            <v>0</v>
          </cell>
          <cell r="KX14">
            <v>125.24</v>
          </cell>
          <cell r="KZ14">
            <v>961.24000000000012</v>
          </cell>
        </row>
        <row r="15">
          <cell r="B15">
            <v>7</v>
          </cell>
          <cell r="C15">
            <v>23.6</v>
          </cell>
          <cell r="D15">
            <v>21.2</v>
          </cell>
          <cell r="H15">
            <v>21.2</v>
          </cell>
          <cell r="I15">
            <v>30.29</v>
          </cell>
          <cell r="M15">
            <v>30.29</v>
          </cell>
          <cell r="N15">
            <v>18.940000000000001</v>
          </cell>
          <cell r="R15">
            <v>18.940000000000001</v>
          </cell>
          <cell r="S15">
            <v>14.88</v>
          </cell>
          <cell r="W15">
            <v>14.88</v>
          </cell>
          <cell r="X15">
            <v>26.72</v>
          </cell>
          <cell r="AB15">
            <v>26.72</v>
          </cell>
          <cell r="AC15">
            <v>21.82</v>
          </cell>
          <cell r="AG15">
            <v>21.82</v>
          </cell>
          <cell r="AH15">
            <v>19.37</v>
          </cell>
          <cell r="AI15">
            <v>5.86</v>
          </cell>
          <cell r="AL15">
            <v>25.23</v>
          </cell>
          <cell r="AM15">
            <v>19.46</v>
          </cell>
          <cell r="AQ15">
            <v>19.46</v>
          </cell>
          <cell r="AR15">
            <v>20.66</v>
          </cell>
          <cell r="AS15">
            <v>11.24</v>
          </cell>
          <cell r="AV15">
            <v>31.9</v>
          </cell>
          <cell r="AW15">
            <v>17.47</v>
          </cell>
          <cell r="BA15">
            <v>17.47</v>
          </cell>
          <cell r="BB15">
            <v>24.72</v>
          </cell>
          <cell r="BC15">
            <v>29.32</v>
          </cell>
          <cell r="BF15">
            <v>54.04</v>
          </cell>
          <cell r="BG15">
            <v>38.68</v>
          </cell>
          <cell r="BK15">
            <v>38.68</v>
          </cell>
          <cell r="BL15">
            <v>32.57</v>
          </cell>
          <cell r="BP15">
            <v>32.57</v>
          </cell>
          <cell r="BQ15">
            <v>19.5</v>
          </cell>
          <cell r="BR15">
            <v>3.26</v>
          </cell>
          <cell r="BU15">
            <v>22.759999999999998</v>
          </cell>
          <cell r="BV15">
            <v>7.53</v>
          </cell>
          <cell r="BW15">
            <v>5.12</v>
          </cell>
          <cell r="BZ15">
            <v>12.65</v>
          </cell>
          <cell r="CA15">
            <v>9.86</v>
          </cell>
          <cell r="CB15">
            <v>12.06</v>
          </cell>
          <cell r="CE15">
            <v>21.92</v>
          </cell>
          <cell r="CF15">
            <v>18.34</v>
          </cell>
          <cell r="CJ15">
            <v>18.34</v>
          </cell>
          <cell r="CK15">
            <v>12.53</v>
          </cell>
          <cell r="CL15">
            <v>12.82</v>
          </cell>
          <cell r="CO15">
            <v>25.35</v>
          </cell>
          <cell r="CP15">
            <v>10.18</v>
          </cell>
          <cell r="CQ15">
            <v>7.3</v>
          </cell>
          <cell r="CT15">
            <v>17.48</v>
          </cell>
          <cell r="CU15">
            <v>6.45</v>
          </cell>
          <cell r="CV15">
            <v>7.22</v>
          </cell>
          <cell r="CW15">
            <v>4.96</v>
          </cell>
          <cell r="CY15">
            <v>18.63</v>
          </cell>
          <cell r="CZ15">
            <v>14.23</v>
          </cell>
          <cell r="DA15">
            <v>16.260000000000002</v>
          </cell>
          <cell r="DD15">
            <v>30.490000000000002</v>
          </cell>
          <cell r="DE15">
            <v>26.76</v>
          </cell>
          <cell r="DI15">
            <v>26.76</v>
          </cell>
          <cell r="DJ15">
            <v>35.340000000000003</v>
          </cell>
          <cell r="DN15">
            <v>35.340000000000003</v>
          </cell>
          <cell r="DO15">
            <v>34.020000000000003</v>
          </cell>
          <cell r="DS15">
            <v>34.020000000000003</v>
          </cell>
          <cell r="DT15">
            <v>24.25</v>
          </cell>
          <cell r="DU15">
            <v>24.03</v>
          </cell>
          <cell r="DX15">
            <v>48.28</v>
          </cell>
          <cell r="DY15">
            <v>16.510000000000002</v>
          </cell>
          <cell r="EC15">
            <v>16.510000000000002</v>
          </cell>
          <cell r="ED15">
            <v>16.84</v>
          </cell>
          <cell r="EH15">
            <v>16.84</v>
          </cell>
          <cell r="EI15">
            <v>21.41</v>
          </cell>
          <cell r="EM15">
            <v>21.41</v>
          </cell>
          <cell r="EN15">
            <v>20.67</v>
          </cell>
          <cell r="EO15">
            <v>14.16</v>
          </cell>
          <cell r="ER15">
            <v>34.83</v>
          </cell>
          <cell r="ES15">
            <v>9.92</v>
          </cell>
          <cell r="ET15">
            <v>5.35</v>
          </cell>
          <cell r="EW15">
            <v>15.27</v>
          </cell>
          <cell r="EX15">
            <v>15.97</v>
          </cell>
          <cell r="EY15">
            <v>3.3</v>
          </cell>
          <cell r="FB15">
            <v>19.27</v>
          </cell>
          <cell r="FC15">
            <v>13.25</v>
          </cell>
          <cell r="FD15">
            <v>8.2799999999999994</v>
          </cell>
          <cell r="FG15">
            <v>21.53</v>
          </cell>
          <cell r="FH15">
            <v>11.73</v>
          </cell>
          <cell r="FI15">
            <v>12.7</v>
          </cell>
          <cell r="FL15">
            <v>24.43</v>
          </cell>
          <cell r="FM15">
            <v>13.77</v>
          </cell>
          <cell r="FQ15">
            <v>13.77</v>
          </cell>
          <cell r="FR15">
            <v>12.63</v>
          </cell>
          <cell r="FS15">
            <v>8.58</v>
          </cell>
          <cell r="FV15">
            <v>21.21</v>
          </cell>
          <cell r="FW15">
            <v>11.33</v>
          </cell>
          <cell r="FX15">
            <v>12.43</v>
          </cell>
          <cell r="GA15">
            <v>23.759999999999998</v>
          </cell>
          <cell r="GB15">
            <v>10.6</v>
          </cell>
          <cell r="GC15">
            <v>5.0199999999999996</v>
          </cell>
          <cell r="GF15">
            <v>15.62</v>
          </cell>
          <cell r="GG15">
            <v>17.940000000000001</v>
          </cell>
          <cell r="GH15">
            <v>7.89</v>
          </cell>
          <cell r="GK15">
            <v>25.830000000000002</v>
          </cell>
          <cell r="GL15">
            <v>6.73</v>
          </cell>
          <cell r="GM15">
            <v>5.17</v>
          </cell>
          <cell r="GP15">
            <v>11.9</v>
          </cell>
          <cell r="GQ15">
            <v>11.03</v>
          </cell>
          <cell r="GR15">
            <v>2.67</v>
          </cell>
          <cell r="GU15">
            <v>13.7</v>
          </cell>
          <cell r="GV15">
            <v>12.03</v>
          </cell>
          <cell r="GW15">
            <v>12.37</v>
          </cell>
          <cell r="GZ15">
            <v>24.4</v>
          </cell>
          <cell r="HA15">
            <v>12.62</v>
          </cell>
          <cell r="HB15">
            <v>5.03</v>
          </cell>
          <cell r="HE15">
            <v>17.649999999999999</v>
          </cell>
          <cell r="HF15">
            <v>12.33</v>
          </cell>
          <cell r="HG15">
            <v>7.17</v>
          </cell>
          <cell r="HJ15">
            <v>19.5</v>
          </cell>
          <cell r="HK15">
            <v>16.73</v>
          </cell>
          <cell r="HL15">
            <v>12.52</v>
          </cell>
          <cell r="HO15">
            <v>29.25</v>
          </cell>
          <cell r="HP15">
            <v>29.03</v>
          </cell>
          <cell r="HT15">
            <v>29.03</v>
          </cell>
          <cell r="HU15">
            <v>30.42</v>
          </cell>
          <cell r="HV15">
            <v>30.56</v>
          </cell>
          <cell r="HY15">
            <v>60.980000000000004</v>
          </cell>
          <cell r="HZ15">
            <v>33.08</v>
          </cell>
          <cell r="ID15">
            <v>33.08</v>
          </cell>
          <cell r="IE15">
            <v>16.594000000000001</v>
          </cell>
          <cell r="IF15">
            <v>24.7</v>
          </cell>
          <cell r="II15">
            <v>41.293999999999997</v>
          </cell>
          <cell r="IJ15">
            <v>25.65</v>
          </cell>
          <cell r="IK15">
            <v>19.72</v>
          </cell>
          <cell r="IN15">
            <v>45.37</v>
          </cell>
          <cell r="IP15">
            <v>351.98399999999998</v>
          </cell>
          <cell r="IQ15">
            <v>18.989999999999998</v>
          </cell>
          <cell r="IU15">
            <v>18.989999999999998</v>
          </cell>
          <cell r="IV15">
            <v>22.99</v>
          </cell>
          <cell r="IW15">
            <v>2.68</v>
          </cell>
          <cell r="IZ15">
            <v>25.669999999999998</v>
          </cell>
          <cell r="JA15">
            <v>18.8</v>
          </cell>
          <cell r="JB15">
            <v>2.2799999999999998</v>
          </cell>
          <cell r="JE15">
            <v>21.080000000000002</v>
          </cell>
          <cell r="JF15">
            <v>35.020000000000003</v>
          </cell>
          <cell r="JG15">
            <v>4.59</v>
          </cell>
          <cell r="JJ15">
            <v>39.61</v>
          </cell>
          <cell r="JK15">
            <v>23.27</v>
          </cell>
          <cell r="JL15">
            <v>4.3499999999999996</v>
          </cell>
          <cell r="JO15">
            <v>27.619999999999997</v>
          </cell>
          <cell r="JP15">
            <v>26.28</v>
          </cell>
          <cell r="JQ15">
            <v>3.25</v>
          </cell>
          <cell r="JT15">
            <v>29.53</v>
          </cell>
          <cell r="JU15">
            <v>20.65</v>
          </cell>
          <cell r="JV15">
            <v>6.41</v>
          </cell>
          <cell r="JY15">
            <v>27.06</v>
          </cell>
          <cell r="JZ15">
            <v>18.420000000000002</v>
          </cell>
          <cell r="KA15">
            <v>7.91</v>
          </cell>
          <cell r="KD15">
            <v>26.330000000000002</v>
          </cell>
          <cell r="KE15">
            <v>16.630000000000003</v>
          </cell>
          <cell r="KF15">
            <v>15.120000000000001</v>
          </cell>
          <cell r="KG15">
            <v>0</v>
          </cell>
          <cell r="KH15">
            <v>0</v>
          </cell>
          <cell r="KI15">
            <v>31.750000000000004</v>
          </cell>
          <cell r="KJ15">
            <v>25.9</v>
          </cell>
          <cell r="KK15">
            <v>0</v>
          </cell>
          <cell r="KL15">
            <v>0</v>
          </cell>
          <cell r="KM15">
            <v>0</v>
          </cell>
          <cell r="KN15">
            <v>25.9</v>
          </cell>
          <cell r="KO15">
            <v>22.37</v>
          </cell>
          <cell r="KP15">
            <v>19.55</v>
          </cell>
          <cell r="KQ15">
            <v>0</v>
          </cell>
          <cell r="KR15">
            <v>0</v>
          </cell>
          <cell r="KS15">
            <v>41.92</v>
          </cell>
          <cell r="KT15">
            <v>19.149999999999999</v>
          </cell>
          <cell r="KU15">
            <v>0</v>
          </cell>
          <cell r="KV15">
            <v>0</v>
          </cell>
          <cell r="KW15">
            <v>0</v>
          </cell>
          <cell r="KX15">
            <v>19.149999999999999</v>
          </cell>
          <cell r="KZ15">
            <v>334.61</v>
          </cell>
        </row>
        <row r="16">
          <cell r="B16">
            <v>8</v>
          </cell>
          <cell r="C16">
            <v>61.6</v>
          </cell>
          <cell r="D16">
            <v>67.22</v>
          </cell>
          <cell r="H16">
            <v>67.22</v>
          </cell>
          <cell r="I16">
            <v>88.42</v>
          </cell>
          <cell r="M16">
            <v>88.42</v>
          </cell>
          <cell r="N16">
            <v>50.95</v>
          </cell>
          <cell r="R16">
            <v>50.95</v>
          </cell>
          <cell r="S16">
            <v>31.16</v>
          </cell>
          <cell r="W16">
            <v>31.16</v>
          </cell>
          <cell r="X16">
            <v>39</v>
          </cell>
          <cell r="Y16">
            <v>50.56</v>
          </cell>
          <cell r="AB16">
            <v>89.56</v>
          </cell>
          <cell r="AC16">
            <v>58.46</v>
          </cell>
          <cell r="AG16">
            <v>58.46</v>
          </cell>
          <cell r="AH16">
            <v>31.99</v>
          </cell>
          <cell r="AI16">
            <v>33.479999999999997</v>
          </cell>
          <cell r="AL16">
            <v>65.47</v>
          </cell>
          <cell r="AM16">
            <v>52.72</v>
          </cell>
          <cell r="AN16">
            <v>10.06</v>
          </cell>
          <cell r="AQ16">
            <v>62.78</v>
          </cell>
          <cell r="AR16">
            <v>28.42</v>
          </cell>
          <cell r="AS16">
            <v>40.85</v>
          </cell>
          <cell r="AT16">
            <v>40.82</v>
          </cell>
          <cell r="AV16">
            <v>110.09</v>
          </cell>
          <cell r="AW16">
            <v>54.64</v>
          </cell>
          <cell r="BA16">
            <v>54.64</v>
          </cell>
          <cell r="BB16">
            <v>74.33</v>
          </cell>
          <cell r="BC16">
            <v>21.24</v>
          </cell>
          <cell r="BF16">
            <v>95.57</v>
          </cell>
          <cell r="BG16">
            <v>70.209999999999994</v>
          </cell>
          <cell r="BH16">
            <v>53.26</v>
          </cell>
          <cell r="BK16">
            <v>123.47</v>
          </cell>
          <cell r="BL16">
            <v>87.27</v>
          </cell>
          <cell r="BM16">
            <v>7.89</v>
          </cell>
          <cell r="BN16">
            <v>34.49</v>
          </cell>
          <cell r="BP16">
            <v>129.65</v>
          </cell>
          <cell r="BQ16">
            <v>33.03</v>
          </cell>
          <cell r="BR16">
            <v>17.73</v>
          </cell>
          <cell r="BU16">
            <v>50.760000000000005</v>
          </cell>
          <cell r="BV16">
            <v>18.329999999999998</v>
          </cell>
          <cell r="BW16">
            <v>16.59</v>
          </cell>
          <cell r="BZ16">
            <v>34.92</v>
          </cell>
          <cell r="CA16">
            <v>20.95</v>
          </cell>
          <cell r="CB16">
            <v>16.47</v>
          </cell>
          <cell r="CC16">
            <v>17.05</v>
          </cell>
          <cell r="CE16">
            <v>54.47</v>
          </cell>
          <cell r="CF16">
            <v>29.22</v>
          </cell>
          <cell r="CG16">
            <v>28.2</v>
          </cell>
          <cell r="CJ16">
            <v>57.42</v>
          </cell>
          <cell r="CK16">
            <v>28.76</v>
          </cell>
          <cell r="CL16">
            <v>23.12</v>
          </cell>
          <cell r="CO16">
            <v>51.88</v>
          </cell>
          <cell r="CP16">
            <v>18.559999999999999</v>
          </cell>
          <cell r="CQ16">
            <v>24.3</v>
          </cell>
          <cell r="CT16">
            <v>42.86</v>
          </cell>
          <cell r="CU16">
            <v>30.58</v>
          </cell>
          <cell r="CV16">
            <v>37.450000000000003</v>
          </cell>
          <cell r="CY16">
            <v>68.03</v>
          </cell>
          <cell r="CZ16">
            <v>10.29</v>
          </cell>
          <cell r="DA16">
            <v>62.17</v>
          </cell>
          <cell r="DD16">
            <v>72.460000000000008</v>
          </cell>
          <cell r="DE16">
            <v>78.78</v>
          </cell>
          <cell r="DI16">
            <v>78.78</v>
          </cell>
          <cell r="DJ16">
            <v>118.71</v>
          </cell>
          <cell r="DN16">
            <v>118.71</v>
          </cell>
          <cell r="DO16">
            <v>111.62</v>
          </cell>
          <cell r="DS16">
            <v>111.62</v>
          </cell>
          <cell r="DT16">
            <v>70.260000000000005</v>
          </cell>
          <cell r="DX16">
            <v>70.260000000000005</v>
          </cell>
          <cell r="DY16">
            <v>56.21</v>
          </cell>
          <cell r="DZ16">
            <v>12.42</v>
          </cell>
          <cell r="EC16">
            <v>68.63</v>
          </cell>
          <cell r="ED16">
            <v>53.54</v>
          </cell>
          <cell r="EH16">
            <v>53.54</v>
          </cell>
          <cell r="EI16">
            <v>27.15</v>
          </cell>
          <cell r="EJ16">
            <v>43.61</v>
          </cell>
          <cell r="EM16">
            <v>70.759999999999991</v>
          </cell>
          <cell r="EN16">
            <v>55.5</v>
          </cell>
          <cell r="ER16">
            <v>55.5</v>
          </cell>
          <cell r="ES16">
            <v>42.9</v>
          </cell>
          <cell r="ET16">
            <v>20.04</v>
          </cell>
          <cell r="EW16">
            <v>62.94</v>
          </cell>
          <cell r="EX16">
            <v>34.17</v>
          </cell>
          <cell r="EY16">
            <v>27.99</v>
          </cell>
          <cell r="FB16">
            <v>62.16</v>
          </cell>
          <cell r="FC16">
            <v>20.07</v>
          </cell>
          <cell r="FD16">
            <v>34.979999999999997</v>
          </cell>
          <cell r="FE16">
            <v>7.56</v>
          </cell>
          <cell r="FG16">
            <v>62.61</v>
          </cell>
          <cell r="FH16">
            <v>32.11</v>
          </cell>
          <cell r="FI16">
            <v>73.739999999999995</v>
          </cell>
          <cell r="FL16">
            <v>105.85</v>
          </cell>
          <cell r="FM16">
            <v>41.92</v>
          </cell>
          <cell r="FN16">
            <v>12.33</v>
          </cell>
          <cell r="FQ16">
            <v>54.25</v>
          </cell>
          <cell r="FR16">
            <v>94.95</v>
          </cell>
          <cell r="FV16">
            <v>94.95</v>
          </cell>
          <cell r="FW16">
            <v>43.86</v>
          </cell>
          <cell r="FX16">
            <v>31.4</v>
          </cell>
          <cell r="GA16">
            <v>75.259999999999991</v>
          </cell>
          <cell r="GB16">
            <v>50.53</v>
          </cell>
          <cell r="GC16">
            <v>46.45</v>
          </cell>
          <cell r="GF16">
            <v>96.98</v>
          </cell>
          <cell r="GG16">
            <v>42.77</v>
          </cell>
          <cell r="GH16">
            <v>18.39</v>
          </cell>
          <cell r="GK16">
            <v>61.160000000000004</v>
          </cell>
          <cell r="GL16">
            <v>32.46</v>
          </cell>
          <cell r="GM16">
            <v>20.34</v>
          </cell>
          <cell r="GP16">
            <v>52.8</v>
          </cell>
          <cell r="GQ16">
            <v>22.63</v>
          </cell>
          <cell r="GR16">
            <v>19.03</v>
          </cell>
          <cell r="GU16">
            <v>41.66</v>
          </cell>
          <cell r="GV16">
            <v>31.29</v>
          </cell>
          <cell r="GW16">
            <v>7.84</v>
          </cell>
          <cell r="GZ16">
            <v>39.129999999999995</v>
          </cell>
          <cell r="HA16">
            <v>26.15</v>
          </cell>
          <cell r="HB16">
            <v>30.05</v>
          </cell>
          <cell r="HC16">
            <v>16.28</v>
          </cell>
          <cell r="HE16">
            <v>72.48</v>
          </cell>
          <cell r="HF16">
            <v>18.05</v>
          </cell>
          <cell r="HG16">
            <v>23.72</v>
          </cell>
          <cell r="HJ16">
            <v>41.769999999999996</v>
          </cell>
          <cell r="HK16">
            <v>24.42</v>
          </cell>
          <cell r="HL16">
            <v>20.18</v>
          </cell>
          <cell r="HM16">
            <v>8.36</v>
          </cell>
          <cell r="HO16">
            <v>52.96</v>
          </cell>
          <cell r="HP16">
            <v>17.82</v>
          </cell>
          <cell r="HQ16">
            <v>37.83</v>
          </cell>
          <cell r="HR16">
            <v>58.75</v>
          </cell>
          <cell r="HT16">
            <v>114.4</v>
          </cell>
          <cell r="HU16">
            <v>78.790000000000006</v>
          </cell>
          <cell r="HY16">
            <v>78.790000000000006</v>
          </cell>
          <cell r="HZ16">
            <v>94.64</v>
          </cell>
          <cell r="ID16">
            <v>94.64</v>
          </cell>
          <cell r="IE16">
            <v>86.490000000000009</v>
          </cell>
          <cell r="IF16">
            <v>64.989999999999995</v>
          </cell>
          <cell r="II16">
            <v>151.48000000000002</v>
          </cell>
          <cell r="IJ16">
            <v>61.18</v>
          </cell>
          <cell r="IK16">
            <v>61.97</v>
          </cell>
          <cell r="IN16">
            <v>123.15</v>
          </cell>
          <cell r="IP16">
            <v>924.42</v>
          </cell>
          <cell r="IQ16">
            <v>44.66</v>
          </cell>
          <cell r="IU16">
            <v>44.66</v>
          </cell>
          <cell r="IV16">
            <v>57.38</v>
          </cell>
          <cell r="IW16">
            <v>39.22</v>
          </cell>
          <cell r="IZ16">
            <v>96.6</v>
          </cell>
          <cell r="JA16">
            <v>33.08</v>
          </cell>
          <cell r="JB16">
            <v>26.12</v>
          </cell>
          <cell r="JE16">
            <v>59.2</v>
          </cell>
          <cell r="JF16">
            <v>61.53</v>
          </cell>
          <cell r="JG16">
            <v>17.5</v>
          </cell>
          <cell r="JJ16">
            <v>79.03</v>
          </cell>
          <cell r="JK16">
            <v>14.91</v>
          </cell>
          <cell r="JL16">
            <v>34.14</v>
          </cell>
          <cell r="JM16">
            <v>14.68</v>
          </cell>
          <cell r="JO16">
            <v>63.73</v>
          </cell>
          <cell r="JP16">
            <v>14.65</v>
          </cell>
          <cell r="JQ16">
            <v>23.41</v>
          </cell>
          <cell r="JR16">
            <v>20.48</v>
          </cell>
          <cell r="JT16">
            <v>58.540000000000006</v>
          </cell>
          <cell r="JU16">
            <v>25.36</v>
          </cell>
          <cell r="JV16">
            <v>21.55</v>
          </cell>
          <cell r="JW16">
            <v>9.16</v>
          </cell>
          <cell r="JY16">
            <v>56.069999999999993</v>
          </cell>
          <cell r="JZ16">
            <v>7.76</v>
          </cell>
          <cell r="KA16">
            <v>31.86</v>
          </cell>
          <cell r="KB16">
            <v>29.19</v>
          </cell>
          <cell r="KD16">
            <v>68.81</v>
          </cell>
          <cell r="KE16">
            <v>36.22</v>
          </cell>
          <cell r="KF16">
            <v>45.540000000000006</v>
          </cell>
          <cell r="KG16">
            <v>0</v>
          </cell>
          <cell r="KH16">
            <v>0</v>
          </cell>
          <cell r="KI16">
            <v>81.760000000000005</v>
          </cell>
          <cell r="KJ16">
            <v>37.410000000000004</v>
          </cell>
          <cell r="KK16">
            <v>71.929999999999993</v>
          </cell>
          <cell r="KL16">
            <v>0</v>
          </cell>
          <cell r="KM16">
            <v>0</v>
          </cell>
          <cell r="KN16">
            <v>109.34</v>
          </cell>
          <cell r="KO16">
            <v>62.94</v>
          </cell>
          <cell r="KP16">
            <v>58.5</v>
          </cell>
          <cell r="KQ16">
            <v>0</v>
          </cell>
          <cell r="KR16">
            <v>0</v>
          </cell>
          <cell r="KS16">
            <v>121.44</v>
          </cell>
          <cell r="KT16">
            <v>59.31</v>
          </cell>
          <cell r="KU16">
            <v>7.63</v>
          </cell>
          <cell r="KV16">
            <v>0</v>
          </cell>
          <cell r="KW16">
            <v>0</v>
          </cell>
          <cell r="KX16">
            <v>66.94</v>
          </cell>
          <cell r="KZ16">
            <v>906.12000000000012</v>
          </cell>
        </row>
        <row r="17">
          <cell r="B17">
            <v>9</v>
          </cell>
          <cell r="C17">
            <v>38.299999999999997</v>
          </cell>
          <cell r="D17">
            <v>45.17</v>
          </cell>
          <cell r="H17">
            <v>45.17</v>
          </cell>
          <cell r="I17">
            <v>39.4</v>
          </cell>
          <cell r="M17">
            <v>39.4</v>
          </cell>
          <cell r="N17">
            <v>27.71</v>
          </cell>
          <cell r="R17">
            <v>27.71</v>
          </cell>
          <cell r="S17">
            <v>21.49</v>
          </cell>
          <cell r="W17">
            <v>21.49</v>
          </cell>
          <cell r="X17">
            <v>26.33</v>
          </cell>
          <cell r="Y17">
            <v>28.6</v>
          </cell>
          <cell r="AB17">
            <v>54.93</v>
          </cell>
          <cell r="AC17">
            <v>31.47</v>
          </cell>
          <cell r="AG17">
            <v>31.47</v>
          </cell>
          <cell r="AH17">
            <v>18.13</v>
          </cell>
          <cell r="AI17">
            <v>27.64</v>
          </cell>
          <cell r="AL17">
            <v>45.769999999999996</v>
          </cell>
          <cell r="AM17">
            <v>40.99</v>
          </cell>
          <cell r="AQ17">
            <v>40.99</v>
          </cell>
          <cell r="AR17">
            <v>38.409999999999997</v>
          </cell>
          <cell r="AS17">
            <v>36.64</v>
          </cell>
          <cell r="AV17">
            <v>75.05</v>
          </cell>
          <cell r="AW17">
            <v>27.49</v>
          </cell>
          <cell r="AX17">
            <v>48.83</v>
          </cell>
          <cell r="BA17">
            <v>76.319999999999993</v>
          </cell>
          <cell r="BB17">
            <v>41.47</v>
          </cell>
          <cell r="BC17">
            <v>43.62</v>
          </cell>
          <cell r="BF17">
            <v>85.09</v>
          </cell>
          <cell r="BG17">
            <v>45.95</v>
          </cell>
          <cell r="BH17">
            <v>40.049999999999997</v>
          </cell>
          <cell r="BK17">
            <v>86</v>
          </cell>
          <cell r="BL17">
            <v>40.29</v>
          </cell>
          <cell r="BM17">
            <v>23.09</v>
          </cell>
          <cell r="BP17">
            <v>63.379999999999995</v>
          </cell>
          <cell r="BQ17">
            <v>15.76</v>
          </cell>
          <cell r="BR17">
            <v>11.62</v>
          </cell>
          <cell r="BU17">
            <v>27.38</v>
          </cell>
          <cell r="BV17">
            <v>8.0299999999999994</v>
          </cell>
          <cell r="BW17">
            <v>8.4600000000000009</v>
          </cell>
          <cell r="BX17">
            <v>8.7799999999999994</v>
          </cell>
          <cell r="BZ17">
            <v>25.270000000000003</v>
          </cell>
          <cell r="CA17">
            <v>9.58</v>
          </cell>
          <cell r="CB17">
            <v>10.050000000000001</v>
          </cell>
          <cell r="CE17">
            <v>19.630000000000003</v>
          </cell>
          <cell r="CF17">
            <v>24.76</v>
          </cell>
          <cell r="CG17">
            <v>11.9</v>
          </cell>
          <cell r="CH17">
            <v>4.0199999999999996</v>
          </cell>
          <cell r="CJ17">
            <v>40.680000000000007</v>
          </cell>
          <cell r="CK17">
            <v>16.309999999999999</v>
          </cell>
          <cell r="CL17">
            <v>16.260000000000002</v>
          </cell>
          <cell r="CO17">
            <v>32.57</v>
          </cell>
          <cell r="CP17">
            <v>7.81</v>
          </cell>
          <cell r="CQ17">
            <v>12.46</v>
          </cell>
          <cell r="CT17">
            <v>20.27</v>
          </cell>
          <cell r="CU17">
            <v>18.43</v>
          </cell>
          <cell r="CY17">
            <v>18.43</v>
          </cell>
          <cell r="CZ17">
            <v>39.090000000000003</v>
          </cell>
          <cell r="DA17">
            <v>36.43</v>
          </cell>
          <cell r="DD17">
            <v>75.52000000000001</v>
          </cell>
          <cell r="DE17">
            <v>12.53</v>
          </cell>
          <cell r="DF17">
            <v>51.49</v>
          </cell>
          <cell r="DI17">
            <v>64.02</v>
          </cell>
          <cell r="DJ17">
            <v>72.98</v>
          </cell>
          <cell r="DN17">
            <v>72.98</v>
          </cell>
          <cell r="DO17">
            <v>43.4</v>
          </cell>
          <cell r="DS17">
            <v>43.4</v>
          </cell>
          <cell r="DT17">
            <v>54.92</v>
          </cell>
          <cell r="DX17">
            <v>54.92</v>
          </cell>
          <cell r="DY17">
            <v>27.94</v>
          </cell>
          <cell r="EC17">
            <v>27.94</v>
          </cell>
          <cell r="ED17">
            <v>17.43</v>
          </cell>
          <cell r="EE17">
            <v>16.46</v>
          </cell>
          <cell r="EH17">
            <v>33.89</v>
          </cell>
          <cell r="EI17">
            <v>21.09</v>
          </cell>
          <cell r="EJ17">
            <v>25.84</v>
          </cell>
          <cell r="EM17">
            <v>46.93</v>
          </cell>
          <cell r="EN17">
            <v>38.409999999999997</v>
          </cell>
          <cell r="ER17">
            <v>38.409999999999997</v>
          </cell>
          <cell r="ES17">
            <v>20.14</v>
          </cell>
          <cell r="ET17">
            <v>11.77</v>
          </cell>
          <cell r="EW17">
            <v>31.91</v>
          </cell>
          <cell r="EX17">
            <v>14.49</v>
          </cell>
          <cell r="EY17">
            <v>18.260000000000002</v>
          </cell>
          <cell r="FB17">
            <v>32.75</v>
          </cell>
          <cell r="FC17">
            <v>14.98</v>
          </cell>
          <cell r="FD17">
            <v>20.03</v>
          </cell>
          <cell r="FG17">
            <v>35.010000000000005</v>
          </cell>
          <cell r="FH17">
            <v>20.62</v>
          </cell>
          <cell r="FI17">
            <v>22.69</v>
          </cell>
          <cell r="FL17">
            <v>43.31</v>
          </cell>
          <cell r="FM17">
            <v>24.08</v>
          </cell>
          <cell r="FN17">
            <v>24.13</v>
          </cell>
          <cell r="FQ17">
            <v>48.209999999999994</v>
          </cell>
          <cell r="FR17">
            <v>33.31</v>
          </cell>
          <cell r="FS17">
            <v>38.090000000000003</v>
          </cell>
          <cell r="FV17">
            <v>71.400000000000006</v>
          </cell>
          <cell r="FW17">
            <v>30.59</v>
          </cell>
          <cell r="FX17">
            <v>19.39</v>
          </cell>
          <cell r="GA17">
            <v>49.980000000000004</v>
          </cell>
          <cell r="GB17">
            <v>23.36</v>
          </cell>
          <cell r="GC17">
            <v>21.89</v>
          </cell>
          <cell r="GF17">
            <v>45.25</v>
          </cell>
          <cell r="GG17">
            <v>27.43</v>
          </cell>
          <cell r="GH17">
            <v>10.62</v>
          </cell>
          <cell r="GK17">
            <v>38.049999999999997</v>
          </cell>
          <cell r="GL17">
            <v>6.51</v>
          </cell>
          <cell r="GM17">
            <v>14.2</v>
          </cell>
          <cell r="GP17">
            <v>20.71</v>
          </cell>
          <cell r="GQ17">
            <v>10.91</v>
          </cell>
          <cell r="GR17">
            <v>11.74</v>
          </cell>
          <cell r="GU17">
            <v>22.65</v>
          </cell>
          <cell r="GV17">
            <v>21.23</v>
          </cell>
          <cell r="GZ17">
            <v>21.23</v>
          </cell>
          <cell r="HA17">
            <v>10.46</v>
          </cell>
          <cell r="HB17">
            <v>10.23</v>
          </cell>
          <cell r="HC17">
            <v>7.88</v>
          </cell>
          <cell r="HE17">
            <v>28.57</v>
          </cell>
          <cell r="HF17">
            <v>3.58</v>
          </cell>
          <cell r="HG17">
            <v>10.74</v>
          </cell>
          <cell r="HH17">
            <v>14.75</v>
          </cell>
          <cell r="HJ17">
            <v>29.07</v>
          </cell>
          <cell r="HK17">
            <v>13.44</v>
          </cell>
          <cell r="HL17">
            <v>10</v>
          </cell>
          <cell r="HO17">
            <v>23.439999999999998</v>
          </cell>
          <cell r="HP17">
            <v>11.36</v>
          </cell>
          <cell r="HQ17">
            <v>19.690000000000001</v>
          </cell>
          <cell r="HR17">
            <v>12.66</v>
          </cell>
          <cell r="HT17">
            <v>43.71</v>
          </cell>
          <cell r="HU17">
            <v>14.56</v>
          </cell>
          <cell r="HV17">
            <v>45</v>
          </cell>
          <cell r="HY17">
            <v>59.56</v>
          </cell>
          <cell r="HZ17">
            <v>63.760000000000005</v>
          </cell>
          <cell r="ID17">
            <v>63.760000000000005</v>
          </cell>
          <cell r="IE17">
            <v>33.729999999999997</v>
          </cell>
          <cell r="IF17">
            <v>42.760000000000005</v>
          </cell>
          <cell r="II17">
            <v>76.490000000000009</v>
          </cell>
          <cell r="IJ17">
            <v>27.91</v>
          </cell>
          <cell r="IK17">
            <v>34.54</v>
          </cell>
          <cell r="IN17">
            <v>62.45</v>
          </cell>
          <cell r="IP17">
            <v>489.69</v>
          </cell>
          <cell r="IQ17">
            <v>19.18</v>
          </cell>
          <cell r="IU17">
            <v>19.18</v>
          </cell>
          <cell r="IV17">
            <v>24.99</v>
          </cell>
          <cell r="IW17">
            <v>9.57</v>
          </cell>
          <cell r="IZ17">
            <v>34.56</v>
          </cell>
          <cell r="JA17">
            <v>18.71</v>
          </cell>
          <cell r="JB17">
            <v>20.52</v>
          </cell>
          <cell r="JE17">
            <v>39.230000000000004</v>
          </cell>
          <cell r="JF17">
            <v>16.64</v>
          </cell>
          <cell r="JJ17">
            <v>16.64</v>
          </cell>
          <cell r="JK17">
            <v>28.4</v>
          </cell>
          <cell r="JL17">
            <v>19.29</v>
          </cell>
          <cell r="JO17">
            <v>47.69</v>
          </cell>
          <cell r="JP17">
            <v>17.399999999999999</v>
          </cell>
          <cell r="JQ17">
            <v>13.53</v>
          </cell>
          <cell r="JR17">
            <v>17.12</v>
          </cell>
          <cell r="JT17">
            <v>48.05</v>
          </cell>
          <cell r="JU17">
            <v>15.24</v>
          </cell>
          <cell r="JV17">
            <v>17.86</v>
          </cell>
          <cell r="JY17">
            <v>33.1</v>
          </cell>
          <cell r="JZ17">
            <v>14.03</v>
          </cell>
          <cell r="KA17">
            <v>15.11</v>
          </cell>
          <cell r="KB17">
            <v>14.22</v>
          </cell>
          <cell r="KD17">
            <v>43.36</v>
          </cell>
          <cell r="KE17">
            <v>20.07</v>
          </cell>
          <cell r="KF17">
            <v>18.03</v>
          </cell>
          <cell r="KG17">
            <v>0</v>
          </cell>
          <cell r="KH17">
            <v>0</v>
          </cell>
          <cell r="KI17">
            <v>38.1</v>
          </cell>
          <cell r="KJ17">
            <v>28.06</v>
          </cell>
          <cell r="KK17">
            <v>40.119999999999997</v>
          </cell>
          <cell r="KL17">
            <v>0</v>
          </cell>
          <cell r="KM17">
            <v>0</v>
          </cell>
          <cell r="KN17">
            <v>68.179999999999993</v>
          </cell>
          <cell r="KO17">
            <v>36.72</v>
          </cell>
          <cell r="KP17">
            <v>28.3</v>
          </cell>
          <cell r="KQ17">
            <v>0</v>
          </cell>
          <cell r="KR17">
            <v>0</v>
          </cell>
          <cell r="KS17">
            <v>65.02</v>
          </cell>
          <cell r="KT17">
            <v>33.010000000000005</v>
          </cell>
          <cell r="KU17">
            <v>0</v>
          </cell>
          <cell r="KV17">
            <v>0</v>
          </cell>
          <cell r="KW17">
            <v>0</v>
          </cell>
          <cell r="KX17">
            <v>33.010000000000005</v>
          </cell>
          <cell r="KZ17">
            <v>486.12</v>
          </cell>
        </row>
        <row r="18">
          <cell r="B18">
            <v>11</v>
          </cell>
          <cell r="C18">
            <v>44.5</v>
          </cell>
          <cell r="H18">
            <v>0</v>
          </cell>
          <cell r="I18">
            <v>68.66</v>
          </cell>
          <cell r="J18">
            <v>30.12</v>
          </cell>
          <cell r="M18">
            <v>98.78</v>
          </cell>
          <cell r="N18">
            <v>12.27</v>
          </cell>
          <cell r="O18">
            <v>34.67</v>
          </cell>
          <cell r="R18">
            <v>46.94</v>
          </cell>
          <cell r="S18">
            <v>40.89</v>
          </cell>
          <cell r="W18">
            <v>40.89</v>
          </cell>
          <cell r="X18">
            <v>44.43</v>
          </cell>
          <cell r="AB18">
            <v>44.43</v>
          </cell>
          <cell r="AC18">
            <v>43.12</v>
          </cell>
          <cell r="AD18">
            <v>33.67</v>
          </cell>
          <cell r="AG18">
            <v>76.789999999999992</v>
          </cell>
          <cell r="AH18">
            <v>29.22</v>
          </cell>
          <cell r="AI18">
            <v>21.29</v>
          </cell>
          <cell r="AL18">
            <v>50.51</v>
          </cell>
          <cell r="AM18">
            <v>14.24</v>
          </cell>
          <cell r="AN18">
            <v>33.51</v>
          </cell>
          <cell r="AQ18">
            <v>47.75</v>
          </cell>
          <cell r="AR18">
            <v>33.619999999999997</v>
          </cell>
          <cell r="AS18">
            <v>33.49</v>
          </cell>
          <cell r="AV18">
            <v>67.11</v>
          </cell>
          <cell r="AW18">
            <v>50.26</v>
          </cell>
          <cell r="AX18">
            <v>10.23</v>
          </cell>
          <cell r="BA18">
            <v>60.489999999999995</v>
          </cell>
          <cell r="BB18">
            <v>30.95</v>
          </cell>
          <cell r="BC18">
            <v>45.050000000000004</v>
          </cell>
          <cell r="BF18">
            <v>76</v>
          </cell>
          <cell r="BG18">
            <v>48.51</v>
          </cell>
          <cell r="BH18">
            <v>43.82</v>
          </cell>
          <cell r="BK18">
            <v>92.33</v>
          </cell>
          <cell r="BL18">
            <v>43.94</v>
          </cell>
          <cell r="BP18">
            <v>43.94</v>
          </cell>
          <cell r="BQ18">
            <v>26.39</v>
          </cell>
          <cell r="BR18">
            <v>15.48</v>
          </cell>
          <cell r="BS18">
            <v>7.32</v>
          </cell>
          <cell r="BU18">
            <v>49.190000000000005</v>
          </cell>
          <cell r="BV18">
            <v>10.38</v>
          </cell>
          <cell r="BW18">
            <v>9.7100000000000009</v>
          </cell>
          <cell r="BZ18">
            <v>20.090000000000003</v>
          </cell>
          <cell r="CA18">
            <v>9.76</v>
          </cell>
          <cell r="CB18">
            <v>14.41</v>
          </cell>
          <cell r="CC18">
            <v>13.13</v>
          </cell>
          <cell r="CE18">
            <v>37.300000000000004</v>
          </cell>
          <cell r="CF18">
            <v>18.28</v>
          </cell>
          <cell r="CG18">
            <v>20.98</v>
          </cell>
          <cell r="CH18">
            <v>24.58</v>
          </cell>
          <cell r="CJ18">
            <v>63.84</v>
          </cell>
          <cell r="CK18">
            <v>26.68</v>
          </cell>
          <cell r="CL18">
            <v>20.59</v>
          </cell>
          <cell r="CO18">
            <v>47.269999999999996</v>
          </cell>
          <cell r="CP18">
            <v>12.87</v>
          </cell>
          <cell r="CQ18">
            <v>16.96</v>
          </cell>
          <cell r="CT18">
            <v>29.83</v>
          </cell>
          <cell r="CU18">
            <v>22.3</v>
          </cell>
          <cell r="CY18">
            <v>22.3</v>
          </cell>
          <cell r="CZ18">
            <v>36.81</v>
          </cell>
          <cell r="DD18">
            <v>36.81</v>
          </cell>
          <cell r="DE18">
            <v>37.65</v>
          </cell>
          <cell r="DF18">
            <v>50.19</v>
          </cell>
          <cell r="DI18">
            <v>87.84</v>
          </cell>
          <cell r="DJ18">
            <v>59.98</v>
          </cell>
          <cell r="DN18">
            <v>59.98</v>
          </cell>
          <cell r="DO18">
            <v>50.51</v>
          </cell>
          <cell r="DP18">
            <v>34.61</v>
          </cell>
          <cell r="DS18">
            <v>85.12</v>
          </cell>
          <cell r="DT18">
            <v>30.54</v>
          </cell>
          <cell r="DU18">
            <v>27.77</v>
          </cell>
          <cell r="DX18">
            <v>58.31</v>
          </cell>
          <cell r="DY18">
            <v>31.57</v>
          </cell>
          <cell r="DZ18">
            <v>7.09</v>
          </cell>
          <cell r="EC18">
            <v>38.659999999999997</v>
          </cell>
          <cell r="ED18">
            <v>19.11</v>
          </cell>
          <cell r="EE18">
            <v>13.62</v>
          </cell>
          <cell r="EH18">
            <v>32.729999999999997</v>
          </cell>
          <cell r="EI18">
            <v>30.15</v>
          </cell>
          <cell r="EJ18">
            <v>6.8</v>
          </cell>
          <cell r="EM18">
            <v>36.949999999999996</v>
          </cell>
          <cell r="EN18">
            <v>27.01</v>
          </cell>
          <cell r="EO18">
            <v>23.07</v>
          </cell>
          <cell r="EP18">
            <v>32.67</v>
          </cell>
          <cell r="ER18">
            <v>82.75</v>
          </cell>
          <cell r="ES18">
            <v>25.52</v>
          </cell>
          <cell r="ET18">
            <v>23.14</v>
          </cell>
          <cell r="EW18">
            <v>48.66</v>
          </cell>
          <cell r="EX18">
            <v>26.37</v>
          </cell>
          <cell r="EY18">
            <v>22.06</v>
          </cell>
          <cell r="FB18">
            <v>48.43</v>
          </cell>
          <cell r="FC18">
            <v>26.02</v>
          </cell>
          <cell r="FD18">
            <v>28.42</v>
          </cell>
          <cell r="FG18">
            <v>54.44</v>
          </cell>
          <cell r="FH18">
            <v>29.42</v>
          </cell>
          <cell r="FI18">
            <v>31.82</v>
          </cell>
          <cell r="FL18">
            <v>61.24</v>
          </cell>
          <cell r="FM18">
            <v>31.6</v>
          </cell>
          <cell r="FN18">
            <v>27.45</v>
          </cell>
          <cell r="FQ18">
            <v>59.05</v>
          </cell>
          <cell r="FR18">
            <v>33.4</v>
          </cell>
          <cell r="FS18">
            <v>25.76</v>
          </cell>
          <cell r="FV18">
            <v>59.16</v>
          </cell>
          <cell r="FW18">
            <v>28.49</v>
          </cell>
          <cell r="GA18">
            <v>28.49</v>
          </cell>
          <cell r="GB18">
            <v>24.62</v>
          </cell>
          <cell r="GC18">
            <v>21.9</v>
          </cell>
          <cell r="GD18">
            <v>8.01</v>
          </cell>
          <cell r="GF18">
            <v>54.529999999999994</v>
          </cell>
          <cell r="GG18">
            <v>26.05</v>
          </cell>
          <cell r="GH18">
            <v>3.74</v>
          </cell>
          <cell r="GK18">
            <v>29.79</v>
          </cell>
          <cell r="GL18">
            <v>17.71</v>
          </cell>
          <cell r="GM18">
            <v>13.73</v>
          </cell>
          <cell r="GP18">
            <v>31.44</v>
          </cell>
          <cell r="GQ18">
            <v>11.6</v>
          </cell>
          <cell r="GR18">
            <v>7.36</v>
          </cell>
          <cell r="GS18">
            <v>11.3</v>
          </cell>
          <cell r="GU18">
            <v>30.26</v>
          </cell>
          <cell r="GV18">
            <v>37.340000000000003</v>
          </cell>
          <cell r="GZ18">
            <v>37.340000000000003</v>
          </cell>
          <cell r="HA18">
            <v>15.38</v>
          </cell>
          <cell r="HB18">
            <v>17.77</v>
          </cell>
          <cell r="HC18">
            <v>20.63</v>
          </cell>
          <cell r="HE18">
            <v>53.78</v>
          </cell>
          <cell r="HF18">
            <v>13.56</v>
          </cell>
          <cell r="HG18">
            <v>17.32</v>
          </cell>
          <cell r="HJ18">
            <v>30.880000000000003</v>
          </cell>
          <cell r="HK18">
            <v>17.920000000000002</v>
          </cell>
          <cell r="HL18">
            <v>6.9</v>
          </cell>
          <cell r="HO18">
            <v>24.82</v>
          </cell>
          <cell r="HP18">
            <v>43.08</v>
          </cell>
          <cell r="HT18">
            <v>43.08</v>
          </cell>
          <cell r="HU18">
            <v>48.81</v>
          </cell>
          <cell r="HV18">
            <v>49.45</v>
          </cell>
          <cell r="HY18">
            <v>98.26</v>
          </cell>
          <cell r="HZ18">
            <v>45.33</v>
          </cell>
          <cell r="ID18">
            <v>45.33</v>
          </cell>
          <cell r="IE18">
            <v>37.549999999999997</v>
          </cell>
          <cell r="IF18">
            <v>24.684000000000001</v>
          </cell>
          <cell r="II18">
            <v>62.233999999999995</v>
          </cell>
          <cell r="IJ18">
            <v>29.38</v>
          </cell>
          <cell r="IK18">
            <v>22.62</v>
          </cell>
          <cell r="IN18">
            <v>52</v>
          </cell>
          <cell r="IP18">
            <v>539.21399999999994</v>
          </cell>
          <cell r="IQ18">
            <v>20.73</v>
          </cell>
          <cell r="IR18">
            <v>20.350000000000001</v>
          </cell>
          <cell r="IU18">
            <v>41.08</v>
          </cell>
          <cell r="IV18">
            <v>12.6</v>
          </cell>
          <cell r="IW18">
            <v>9.68</v>
          </cell>
          <cell r="IX18">
            <v>4.78</v>
          </cell>
          <cell r="IZ18">
            <v>27.060000000000002</v>
          </cell>
          <cell r="JA18">
            <v>3.89</v>
          </cell>
          <cell r="JB18">
            <v>7.09</v>
          </cell>
          <cell r="JC18">
            <v>29.59</v>
          </cell>
          <cell r="JE18">
            <v>40.57</v>
          </cell>
          <cell r="JF18">
            <v>35.96</v>
          </cell>
          <cell r="JJ18">
            <v>35.96</v>
          </cell>
          <cell r="JK18">
            <v>28.43</v>
          </cell>
          <cell r="JL18">
            <v>17.93</v>
          </cell>
          <cell r="JM18">
            <v>5.04</v>
          </cell>
          <cell r="JO18">
            <v>51.4</v>
          </cell>
          <cell r="JP18">
            <v>18.09</v>
          </cell>
          <cell r="JQ18">
            <v>13.65</v>
          </cell>
          <cell r="JR18">
            <v>12.36</v>
          </cell>
          <cell r="JT18">
            <v>44.1</v>
          </cell>
          <cell r="JU18">
            <v>11.23</v>
          </cell>
          <cell r="JV18">
            <v>19.920000000000002</v>
          </cell>
          <cell r="JW18">
            <v>16.2</v>
          </cell>
          <cell r="JY18">
            <v>47.35</v>
          </cell>
          <cell r="JZ18">
            <v>18.48</v>
          </cell>
          <cell r="KA18">
            <v>25.18</v>
          </cell>
          <cell r="KB18">
            <v>7.44</v>
          </cell>
          <cell r="KD18">
            <v>51.099999999999994</v>
          </cell>
          <cell r="KE18">
            <v>6.15</v>
          </cell>
          <cell r="KF18">
            <v>27.300000000000004</v>
          </cell>
          <cell r="KG18">
            <v>17.57</v>
          </cell>
          <cell r="KH18">
            <v>0</v>
          </cell>
          <cell r="KI18">
            <v>51.02</v>
          </cell>
          <cell r="KJ18">
            <v>25.83</v>
          </cell>
          <cell r="KK18">
            <v>38.109999999999992</v>
          </cell>
          <cell r="KL18">
            <v>0</v>
          </cell>
          <cell r="KM18">
            <v>0</v>
          </cell>
          <cell r="KN18">
            <v>63.939999999999991</v>
          </cell>
          <cell r="KO18">
            <v>39.799999999999997</v>
          </cell>
          <cell r="KP18">
            <v>4.09</v>
          </cell>
          <cell r="KQ18">
            <v>0</v>
          </cell>
          <cell r="KR18">
            <v>0</v>
          </cell>
          <cell r="KS18">
            <v>43.89</v>
          </cell>
          <cell r="KT18">
            <v>32.42</v>
          </cell>
          <cell r="KU18">
            <v>0</v>
          </cell>
          <cell r="KV18">
            <v>0</v>
          </cell>
          <cell r="KW18">
            <v>0</v>
          </cell>
          <cell r="KX18">
            <v>32.42</v>
          </cell>
          <cell r="KZ18">
            <v>529.89</v>
          </cell>
        </row>
        <row r="19">
          <cell r="B19">
            <v>12</v>
          </cell>
          <cell r="C19">
            <v>71</v>
          </cell>
          <cell r="D19">
            <v>43.54</v>
          </cell>
          <cell r="E19">
            <v>85.1</v>
          </cell>
          <cell r="H19">
            <v>128.63999999999999</v>
          </cell>
          <cell r="I19">
            <v>6.21</v>
          </cell>
          <cell r="M19">
            <v>6.21</v>
          </cell>
          <cell r="N19">
            <v>89.68</v>
          </cell>
          <cell r="R19">
            <v>89.68</v>
          </cell>
          <cell r="S19">
            <v>48.52</v>
          </cell>
          <cell r="T19">
            <v>54.27</v>
          </cell>
          <cell r="W19">
            <v>102.79</v>
          </cell>
          <cell r="X19">
            <v>65.7</v>
          </cell>
          <cell r="AB19">
            <v>65.7</v>
          </cell>
          <cell r="AC19">
            <v>66.069999999999993</v>
          </cell>
          <cell r="AD19">
            <v>56.38</v>
          </cell>
          <cell r="AG19">
            <v>122.44999999999999</v>
          </cell>
          <cell r="AH19">
            <v>33.700000000000003</v>
          </cell>
          <cell r="AL19">
            <v>33.700000000000003</v>
          </cell>
          <cell r="AM19">
            <v>61.76</v>
          </cell>
          <cell r="AN19">
            <v>58.35</v>
          </cell>
          <cell r="AQ19">
            <v>120.11</v>
          </cell>
          <cell r="AR19">
            <v>79.31</v>
          </cell>
          <cell r="AS19">
            <v>52.15</v>
          </cell>
          <cell r="AV19">
            <v>131.46</v>
          </cell>
          <cell r="AW19">
            <v>54.72</v>
          </cell>
          <cell r="AX19">
            <v>78.08</v>
          </cell>
          <cell r="BA19">
            <v>132.80000000000001</v>
          </cell>
          <cell r="BB19">
            <v>77.39</v>
          </cell>
          <cell r="BC19">
            <v>79.14</v>
          </cell>
          <cell r="BF19">
            <v>156.53</v>
          </cell>
          <cell r="BG19">
            <v>91.01</v>
          </cell>
          <cell r="BK19">
            <v>91.01</v>
          </cell>
          <cell r="BL19">
            <v>86.11</v>
          </cell>
          <cell r="BM19">
            <v>66.63</v>
          </cell>
          <cell r="BP19">
            <v>152.74</v>
          </cell>
          <cell r="BQ19">
            <v>46.96</v>
          </cell>
          <cell r="BR19">
            <v>36.880000000000003</v>
          </cell>
          <cell r="BS19">
            <v>20.079999999999998</v>
          </cell>
          <cell r="BU19">
            <v>103.92</v>
          </cell>
          <cell r="BV19">
            <v>19.95</v>
          </cell>
          <cell r="BW19">
            <v>21.87</v>
          </cell>
          <cell r="BZ19">
            <v>41.82</v>
          </cell>
          <cell r="CA19">
            <v>24.83</v>
          </cell>
          <cell r="CB19">
            <v>26.51</v>
          </cell>
          <cell r="CC19">
            <v>17.86</v>
          </cell>
          <cell r="CE19">
            <v>69.2</v>
          </cell>
          <cell r="CF19">
            <v>24.02</v>
          </cell>
          <cell r="CG19">
            <v>30.62</v>
          </cell>
          <cell r="CH19">
            <v>8.0299999999999994</v>
          </cell>
          <cell r="CJ19">
            <v>62.67</v>
          </cell>
          <cell r="CK19">
            <v>31.96</v>
          </cell>
          <cell r="CL19">
            <v>41.31</v>
          </cell>
          <cell r="CM19">
            <v>23.36</v>
          </cell>
          <cell r="CO19">
            <v>96.63000000000001</v>
          </cell>
          <cell r="CP19">
            <v>3.88</v>
          </cell>
          <cell r="CQ19">
            <v>27.28</v>
          </cell>
          <cell r="CR19">
            <v>26.08</v>
          </cell>
          <cell r="CT19">
            <v>57.239999999999995</v>
          </cell>
          <cell r="CU19">
            <v>43.55</v>
          </cell>
          <cell r="CY19">
            <v>43.55</v>
          </cell>
          <cell r="CZ19">
            <v>58.84</v>
          </cell>
          <cell r="DD19">
            <v>58.84</v>
          </cell>
          <cell r="DE19">
            <v>81.45</v>
          </cell>
          <cell r="DI19">
            <v>81.45</v>
          </cell>
          <cell r="DJ19">
            <v>111.53</v>
          </cell>
          <cell r="DK19">
            <v>28.35</v>
          </cell>
          <cell r="DN19">
            <v>139.88</v>
          </cell>
          <cell r="DO19">
            <v>122.47</v>
          </cell>
          <cell r="DS19">
            <v>122.47</v>
          </cell>
          <cell r="DT19">
            <v>118.78</v>
          </cell>
          <cell r="DU19">
            <v>61.75</v>
          </cell>
          <cell r="DX19">
            <v>180.53</v>
          </cell>
          <cell r="DY19">
            <v>64.150000000000006</v>
          </cell>
          <cell r="EC19">
            <v>64.150000000000006</v>
          </cell>
          <cell r="ED19">
            <v>41.5</v>
          </cell>
          <cell r="EE19">
            <v>31.87</v>
          </cell>
          <cell r="EH19">
            <v>73.37</v>
          </cell>
          <cell r="EI19">
            <v>41.5</v>
          </cell>
          <cell r="EJ19">
            <v>24.55</v>
          </cell>
          <cell r="EM19">
            <v>66.05</v>
          </cell>
          <cell r="EN19">
            <v>39.06</v>
          </cell>
          <cell r="EO19">
            <v>33.29</v>
          </cell>
          <cell r="ER19">
            <v>72.349999999999994</v>
          </cell>
          <cell r="ES19">
            <v>69.09</v>
          </cell>
          <cell r="EW19">
            <v>69.09</v>
          </cell>
          <cell r="EX19">
            <v>50.13</v>
          </cell>
          <cell r="EY19">
            <v>27.43</v>
          </cell>
          <cell r="FB19">
            <v>77.56</v>
          </cell>
          <cell r="FC19">
            <v>47.09</v>
          </cell>
          <cell r="FD19">
            <v>30.67</v>
          </cell>
          <cell r="FG19">
            <v>77.760000000000005</v>
          </cell>
          <cell r="FH19">
            <v>37.92</v>
          </cell>
          <cell r="FI19">
            <v>36.65</v>
          </cell>
          <cell r="FL19">
            <v>74.569999999999993</v>
          </cell>
          <cell r="FM19">
            <v>41.36</v>
          </cell>
          <cell r="FN19">
            <v>54.17</v>
          </cell>
          <cell r="FQ19">
            <v>95.53</v>
          </cell>
          <cell r="FR19">
            <v>65.17</v>
          </cell>
          <cell r="FS19">
            <v>52.15</v>
          </cell>
          <cell r="FV19">
            <v>117.32</v>
          </cell>
          <cell r="FW19">
            <v>66.56</v>
          </cell>
          <cell r="FX19">
            <v>31.33</v>
          </cell>
          <cell r="GA19">
            <v>97.89</v>
          </cell>
          <cell r="GB19">
            <v>73.48</v>
          </cell>
          <cell r="GC19">
            <v>20.6</v>
          </cell>
          <cell r="GF19">
            <v>94.080000000000013</v>
          </cell>
          <cell r="GG19">
            <v>40.06</v>
          </cell>
          <cell r="GH19">
            <v>38.47</v>
          </cell>
          <cell r="GK19">
            <v>78.53</v>
          </cell>
          <cell r="GL19">
            <v>26.29</v>
          </cell>
          <cell r="GM19">
            <v>21.45</v>
          </cell>
          <cell r="GN19">
            <v>12.99</v>
          </cell>
          <cell r="GP19">
            <v>60.73</v>
          </cell>
          <cell r="GQ19">
            <v>15.16</v>
          </cell>
          <cell r="GR19">
            <v>26.68</v>
          </cell>
          <cell r="GU19">
            <v>41.84</v>
          </cell>
          <cell r="GV19">
            <v>36.19</v>
          </cell>
          <cell r="GW19">
            <v>48.89</v>
          </cell>
          <cell r="GZ19">
            <v>85.08</v>
          </cell>
          <cell r="HA19">
            <v>31.94</v>
          </cell>
          <cell r="HB19">
            <v>28.78</v>
          </cell>
          <cell r="HE19">
            <v>60.72</v>
          </cell>
          <cell r="HF19">
            <v>28.02</v>
          </cell>
          <cell r="HG19">
            <v>24.12</v>
          </cell>
          <cell r="HH19">
            <v>5.84</v>
          </cell>
          <cell r="HJ19">
            <v>57.980000000000004</v>
          </cell>
          <cell r="HK19">
            <v>17.68</v>
          </cell>
          <cell r="HL19">
            <v>27.29</v>
          </cell>
          <cell r="HM19">
            <v>17.2</v>
          </cell>
          <cell r="HO19">
            <v>62.17</v>
          </cell>
          <cell r="HP19">
            <v>30.32</v>
          </cell>
          <cell r="HQ19">
            <v>37.119999999999997</v>
          </cell>
          <cell r="HT19">
            <v>67.44</v>
          </cell>
          <cell r="HU19">
            <v>62.78</v>
          </cell>
          <cell r="HV19">
            <v>84.76</v>
          </cell>
          <cell r="HY19">
            <v>147.54000000000002</v>
          </cell>
          <cell r="HZ19">
            <v>92.97</v>
          </cell>
          <cell r="ID19">
            <v>92.97</v>
          </cell>
          <cell r="IE19">
            <v>69.650000000000006</v>
          </cell>
          <cell r="IF19">
            <v>73.8</v>
          </cell>
          <cell r="II19">
            <v>143.44999999999999</v>
          </cell>
          <cell r="IJ19">
            <v>58.8</v>
          </cell>
          <cell r="IK19">
            <v>39.67</v>
          </cell>
          <cell r="IN19">
            <v>98.47</v>
          </cell>
          <cell r="IP19">
            <v>996.92000000000007</v>
          </cell>
          <cell r="IQ19">
            <v>51.83</v>
          </cell>
          <cell r="IU19">
            <v>51.83</v>
          </cell>
          <cell r="IV19">
            <v>71.569999999999993</v>
          </cell>
          <cell r="IW19">
            <v>11.34</v>
          </cell>
          <cell r="IZ19">
            <v>82.91</v>
          </cell>
          <cell r="JA19">
            <v>34.24</v>
          </cell>
          <cell r="JB19">
            <v>27.26</v>
          </cell>
          <cell r="JE19">
            <v>61.5</v>
          </cell>
          <cell r="JF19">
            <v>62.01</v>
          </cell>
          <cell r="JG19">
            <v>46.54</v>
          </cell>
          <cell r="JJ19">
            <v>108.55</v>
          </cell>
          <cell r="JK19">
            <v>35.229999999999997</v>
          </cell>
          <cell r="JL19">
            <v>34</v>
          </cell>
          <cell r="JO19">
            <v>69.22999999999999</v>
          </cell>
          <cell r="JP19">
            <v>34.950000000000003</v>
          </cell>
          <cell r="JQ19">
            <v>29.5</v>
          </cell>
          <cell r="JR19">
            <v>7.98</v>
          </cell>
          <cell r="JT19">
            <v>72.430000000000007</v>
          </cell>
          <cell r="JU19">
            <v>18.38</v>
          </cell>
          <cell r="JV19">
            <v>28.27</v>
          </cell>
          <cell r="JW19">
            <v>28.81</v>
          </cell>
          <cell r="JY19">
            <v>75.459999999999994</v>
          </cell>
          <cell r="JZ19">
            <v>26.92</v>
          </cell>
          <cell r="KA19">
            <v>33.67</v>
          </cell>
          <cell r="KB19">
            <v>19.77</v>
          </cell>
          <cell r="KD19">
            <v>80.36</v>
          </cell>
          <cell r="KE19">
            <v>7.58</v>
          </cell>
          <cell r="KF19">
            <v>54.559999999999995</v>
          </cell>
          <cell r="KG19">
            <v>42.160000000000004</v>
          </cell>
          <cell r="KH19">
            <v>0</v>
          </cell>
          <cell r="KI19">
            <v>104.3</v>
          </cell>
          <cell r="KJ19">
            <v>50.85</v>
          </cell>
          <cell r="KK19">
            <v>55.43</v>
          </cell>
          <cell r="KL19">
            <v>0</v>
          </cell>
          <cell r="KM19">
            <v>0</v>
          </cell>
          <cell r="KN19">
            <v>106.28</v>
          </cell>
          <cell r="KO19">
            <v>17.79</v>
          </cell>
          <cell r="KP19">
            <v>73.5</v>
          </cell>
          <cell r="KQ19">
            <v>3.22</v>
          </cell>
          <cell r="KR19">
            <v>0</v>
          </cell>
          <cell r="KS19">
            <v>94.509999999999991</v>
          </cell>
          <cell r="KT19">
            <v>49.47</v>
          </cell>
          <cell r="KU19">
            <v>43.91</v>
          </cell>
          <cell r="KV19">
            <v>0</v>
          </cell>
          <cell r="KW19">
            <v>0</v>
          </cell>
          <cell r="KX19">
            <v>93.38</v>
          </cell>
          <cell r="KZ19">
            <v>1000.7399999999999</v>
          </cell>
        </row>
        <row r="20">
          <cell r="B20">
            <v>23</v>
          </cell>
          <cell r="C20">
            <v>14.6</v>
          </cell>
          <cell r="D20">
            <v>19.149999999999999</v>
          </cell>
          <cell r="H20">
            <v>19.149999999999999</v>
          </cell>
          <cell r="M20">
            <v>0</v>
          </cell>
          <cell r="N20">
            <v>20.37</v>
          </cell>
          <cell r="R20">
            <v>20.37</v>
          </cell>
          <cell r="S20">
            <v>10.63</v>
          </cell>
          <cell r="W20">
            <v>10.63</v>
          </cell>
          <cell r="X20">
            <v>19.55</v>
          </cell>
          <cell r="AB20">
            <v>19.55</v>
          </cell>
          <cell r="AC20">
            <v>22.54</v>
          </cell>
          <cell r="AD20">
            <v>13.25</v>
          </cell>
          <cell r="AG20">
            <v>35.79</v>
          </cell>
          <cell r="AH20">
            <v>11.97</v>
          </cell>
          <cell r="AL20">
            <v>11.97</v>
          </cell>
          <cell r="AM20">
            <v>15.03</v>
          </cell>
          <cell r="AN20">
            <v>17.399999999999999</v>
          </cell>
          <cell r="AQ20">
            <v>32.43</v>
          </cell>
          <cell r="AR20">
            <v>18.372</v>
          </cell>
          <cell r="AV20">
            <v>18.372</v>
          </cell>
          <cell r="AW20">
            <v>11.87</v>
          </cell>
          <cell r="AX20">
            <v>16.38</v>
          </cell>
          <cell r="BA20">
            <v>28.25</v>
          </cell>
          <cell r="BB20">
            <v>25.5</v>
          </cell>
          <cell r="BF20">
            <v>25.5</v>
          </cell>
          <cell r="BG20">
            <v>26.7</v>
          </cell>
          <cell r="BK20">
            <v>26.7</v>
          </cell>
          <cell r="BL20">
            <v>24.11</v>
          </cell>
          <cell r="BM20">
            <v>12.47</v>
          </cell>
          <cell r="BP20">
            <v>36.58</v>
          </cell>
          <cell r="BQ20">
            <v>3.99</v>
          </cell>
          <cell r="BR20">
            <v>12.25</v>
          </cell>
          <cell r="BU20">
            <v>16.240000000000002</v>
          </cell>
          <cell r="BV20">
            <v>4.6900000000000004</v>
          </cell>
          <cell r="BW20">
            <v>4.05</v>
          </cell>
          <cell r="BZ20">
            <v>8.74</v>
          </cell>
          <cell r="CA20">
            <v>7.02</v>
          </cell>
          <cell r="CB20">
            <v>7.68</v>
          </cell>
          <cell r="CE20">
            <v>14.7</v>
          </cell>
          <cell r="CF20">
            <v>11.17</v>
          </cell>
          <cell r="CG20">
            <v>8.9600000000000009</v>
          </cell>
          <cell r="CJ20">
            <v>20.130000000000003</v>
          </cell>
          <cell r="CK20">
            <v>9.02</v>
          </cell>
          <cell r="CL20">
            <v>9.08</v>
          </cell>
          <cell r="CO20">
            <v>18.100000000000001</v>
          </cell>
          <cell r="CP20">
            <v>8.8000000000000007</v>
          </cell>
          <cell r="CQ20">
            <v>3.8</v>
          </cell>
          <cell r="CT20">
            <v>12.600000000000001</v>
          </cell>
          <cell r="CU20">
            <v>6.1</v>
          </cell>
          <cell r="CV20">
            <v>7.23</v>
          </cell>
          <cell r="CY20">
            <v>13.33</v>
          </cell>
          <cell r="CZ20">
            <v>9.76</v>
          </cell>
          <cell r="DA20">
            <v>9.06</v>
          </cell>
          <cell r="DD20">
            <v>18.82</v>
          </cell>
          <cell r="DE20">
            <v>14.39</v>
          </cell>
          <cell r="DI20">
            <v>14.39</v>
          </cell>
          <cell r="DJ20">
            <v>19.690000000000001</v>
          </cell>
          <cell r="DK20">
            <v>22.57</v>
          </cell>
          <cell r="DN20">
            <v>42.260000000000005</v>
          </cell>
          <cell r="DO20">
            <v>28.15</v>
          </cell>
          <cell r="DS20">
            <v>28.15</v>
          </cell>
          <cell r="DT20">
            <v>18.77</v>
          </cell>
          <cell r="DX20">
            <v>18.77</v>
          </cell>
          <cell r="DY20">
            <v>13.39</v>
          </cell>
          <cell r="EC20">
            <v>13.39</v>
          </cell>
          <cell r="ED20">
            <v>10.82</v>
          </cell>
          <cell r="EE20">
            <v>12.56</v>
          </cell>
          <cell r="EH20">
            <v>23.380000000000003</v>
          </cell>
          <cell r="EI20">
            <v>14.47</v>
          </cell>
          <cell r="EM20">
            <v>14.47</v>
          </cell>
          <cell r="EN20">
            <v>7.79</v>
          </cell>
          <cell r="ER20">
            <v>7.79</v>
          </cell>
          <cell r="ES20">
            <v>12.21</v>
          </cell>
          <cell r="ET20">
            <v>4.2699999999999996</v>
          </cell>
          <cell r="EW20">
            <v>16.48</v>
          </cell>
          <cell r="EX20">
            <v>12.54</v>
          </cell>
          <cell r="EY20">
            <v>8.83</v>
          </cell>
          <cell r="FB20">
            <v>21.369999999999997</v>
          </cell>
          <cell r="FC20">
            <v>12.79</v>
          </cell>
          <cell r="FD20">
            <v>8.4</v>
          </cell>
          <cell r="FG20">
            <v>21.189999999999998</v>
          </cell>
          <cell r="FH20">
            <v>8.9</v>
          </cell>
          <cell r="FI20">
            <v>32.92</v>
          </cell>
          <cell r="FL20">
            <v>41.82</v>
          </cell>
          <cell r="FM20">
            <v>13.31</v>
          </cell>
          <cell r="FN20">
            <v>8.8800000000000008</v>
          </cell>
          <cell r="FQ20">
            <v>22.19</v>
          </cell>
          <cell r="FR20">
            <v>15.19</v>
          </cell>
          <cell r="FS20">
            <v>8.67</v>
          </cell>
          <cell r="FV20">
            <v>23.86</v>
          </cell>
          <cell r="FW20">
            <v>11.73</v>
          </cell>
          <cell r="FX20">
            <v>9.02</v>
          </cell>
          <cell r="GA20">
            <v>20.75</v>
          </cell>
          <cell r="GB20">
            <v>16.809999999999999</v>
          </cell>
          <cell r="GF20">
            <v>16.809999999999999</v>
          </cell>
          <cell r="GG20">
            <v>13.68</v>
          </cell>
          <cell r="GH20">
            <v>7.15</v>
          </cell>
          <cell r="GK20">
            <v>20.83</v>
          </cell>
          <cell r="GL20">
            <v>7.71</v>
          </cell>
          <cell r="GM20">
            <v>7.31</v>
          </cell>
          <cell r="GP20">
            <v>15.02</v>
          </cell>
          <cell r="GQ20">
            <v>3.82</v>
          </cell>
          <cell r="GR20">
            <v>3.35</v>
          </cell>
          <cell r="GU20">
            <v>7.17</v>
          </cell>
          <cell r="GV20">
            <v>5.05</v>
          </cell>
          <cell r="GW20">
            <v>7.32</v>
          </cell>
          <cell r="GZ20">
            <v>12.370000000000001</v>
          </cell>
          <cell r="HA20">
            <v>13.94</v>
          </cell>
          <cell r="HB20">
            <v>10.199999999999999</v>
          </cell>
          <cell r="HE20">
            <v>24.14</v>
          </cell>
          <cell r="HF20">
            <v>7.96</v>
          </cell>
          <cell r="HG20">
            <v>7.36</v>
          </cell>
          <cell r="HJ20">
            <v>15.32</v>
          </cell>
          <cell r="HK20">
            <v>12.46</v>
          </cell>
          <cell r="HL20">
            <v>16.66</v>
          </cell>
          <cell r="HO20">
            <v>29.12</v>
          </cell>
          <cell r="HP20">
            <v>12.77</v>
          </cell>
          <cell r="HQ20">
            <v>27.27</v>
          </cell>
          <cell r="HT20">
            <v>40.04</v>
          </cell>
          <cell r="HU20">
            <v>25.52</v>
          </cell>
          <cell r="HY20">
            <v>25.52</v>
          </cell>
          <cell r="HZ20">
            <v>24.509999999999998</v>
          </cell>
          <cell r="IA20">
            <v>19.52</v>
          </cell>
          <cell r="ID20">
            <v>44.03</v>
          </cell>
          <cell r="IE20">
            <v>17.55</v>
          </cell>
          <cell r="IF20">
            <v>14.82</v>
          </cell>
          <cell r="II20">
            <v>32.370000000000005</v>
          </cell>
          <cell r="IJ20">
            <v>4</v>
          </cell>
          <cell r="IK20">
            <v>17.66</v>
          </cell>
          <cell r="IN20">
            <v>21.66</v>
          </cell>
          <cell r="IP20">
            <v>287.59000000000003</v>
          </cell>
          <cell r="IQ20">
            <v>15.99</v>
          </cell>
          <cell r="IU20">
            <v>15.99</v>
          </cell>
          <cell r="IV20">
            <v>16.3</v>
          </cell>
          <cell r="IW20">
            <v>4.55</v>
          </cell>
          <cell r="IZ20">
            <v>20.85</v>
          </cell>
          <cell r="JA20">
            <v>7.52</v>
          </cell>
          <cell r="JB20">
            <v>4.88</v>
          </cell>
          <cell r="JE20">
            <v>12.399999999999999</v>
          </cell>
          <cell r="JF20">
            <v>17.23</v>
          </cell>
          <cell r="JG20">
            <v>14.09</v>
          </cell>
          <cell r="JJ20">
            <v>31.32</v>
          </cell>
          <cell r="JK20">
            <v>14.23</v>
          </cell>
          <cell r="JL20">
            <v>7.32</v>
          </cell>
          <cell r="JO20">
            <v>21.55</v>
          </cell>
          <cell r="JP20">
            <v>17.14</v>
          </cell>
          <cell r="JQ20">
            <v>4.37</v>
          </cell>
          <cell r="JT20">
            <v>21.51</v>
          </cell>
          <cell r="JU20">
            <v>7.6</v>
          </cell>
          <cell r="JV20">
            <v>11.51</v>
          </cell>
          <cell r="JY20">
            <v>19.11</v>
          </cell>
          <cell r="JZ20">
            <v>16.600000000000001</v>
          </cell>
          <cell r="KA20">
            <v>13.16</v>
          </cell>
          <cell r="KD20">
            <v>29.76</v>
          </cell>
          <cell r="KE20">
            <v>11.48</v>
          </cell>
          <cell r="KF20">
            <v>11.98</v>
          </cell>
          <cell r="KG20">
            <v>0</v>
          </cell>
          <cell r="KH20">
            <v>0</v>
          </cell>
          <cell r="KI20">
            <v>23.46</v>
          </cell>
          <cell r="KJ20">
            <v>13.55</v>
          </cell>
          <cell r="KK20">
            <v>21.560000000000002</v>
          </cell>
          <cell r="KL20">
            <v>0</v>
          </cell>
          <cell r="KM20">
            <v>0</v>
          </cell>
          <cell r="KN20">
            <v>35.11</v>
          </cell>
          <cell r="KO20">
            <v>22.73</v>
          </cell>
          <cell r="KP20">
            <v>12.56</v>
          </cell>
          <cell r="KQ20">
            <v>0</v>
          </cell>
          <cell r="KR20">
            <v>0</v>
          </cell>
          <cell r="KS20">
            <v>35.29</v>
          </cell>
          <cell r="KT20">
            <v>25.259999999999998</v>
          </cell>
          <cell r="KU20">
            <v>0</v>
          </cell>
          <cell r="KV20">
            <v>0</v>
          </cell>
          <cell r="KW20">
            <v>0</v>
          </cell>
          <cell r="KX20">
            <v>25.259999999999998</v>
          </cell>
          <cell r="KZ20">
            <v>291.61</v>
          </cell>
        </row>
        <row r="21">
          <cell r="B21">
            <v>10</v>
          </cell>
          <cell r="C21">
            <v>19.100000000000001</v>
          </cell>
          <cell r="D21">
            <v>19.53</v>
          </cell>
          <cell r="H21">
            <v>19.53</v>
          </cell>
          <cell r="I21">
            <v>15.9</v>
          </cell>
          <cell r="M21">
            <v>15.9</v>
          </cell>
          <cell r="N21">
            <v>10.86</v>
          </cell>
          <cell r="O21">
            <v>4.05</v>
          </cell>
          <cell r="R21">
            <v>14.91</v>
          </cell>
          <cell r="S21">
            <v>14.42</v>
          </cell>
          <cell r="W21">
            <v>14.42</v>
          </cell>
          <cell r="X21">
            <v>29.71</v>
          </cell>
          <cell r="AB21">
            <v>29.71</v>
          </cell>
          <cell r="AC21">
            <v>16.14</v>
          </cell>
          <cell r="AG21">
            <v>16.14</v>
          </cell>
          <cell r="AH21">
            <v>9.23</v>
          </cell>
          <cell r="AI21">
            <v>14.2</v>
          </cell>
          <cell r="AL21">
            <v>23.43</v>
          </cell>
          <cell r="AM21">
            <v>17.04</v>
          </cell>
          <cell r="AQ21">
            <v>17.04</v>
          </cell>
          <cell r="AR21">
            <v>29.35</v>
          </cell>
          <cell r="AV21">
            <v>29.35</v>
          </cell>
          <cell r="AW21">
            <v>12.06</v>
          </cell>
          <cell r="AX21">
            <v>13.56</v>
          </cell>
          <cell r="BA21">
            <v>25.62</v>
          </cell>
          <cell r="BB21">
            <v>15.26</v>
          </cell>
          <cell r="BC21">
            <v>15.23</v>
          </cell>
          <cell r="BF21">
            <v>30.490000000000002</v>
          </cell>
          <cell r="BG21">
            <v>15.78</v>
          </cell>
          <cell r="BH21">
            <v>15.61</v>
          </cell>
          <cell r="BK21">
            <v>31.39</v>
          </cell>
          <cell r="BL21">
            <v>15.54</v>
          </cell>
          <cell r="BM21">
            <v>12</v>
          </cell>
          <cell r="BP21">
            <v>27.54</v>
          </cell>
          <cell r="BQ21">
            <v>7.68</v>
          </cell>
          <cell r="BR21">
            <v>4.0199999999999996</v>
          </cell>
          <cell r="BU21">
            <v>11.7</v>
          </cell>
          <cell r="BV21">
            <v>4.03</v>
          </cell>
          <cell r="BW21">
            <v>3.31</v>
          </cell>
          <cell r="BZ21">
            <v>7.34</v>
          </cell>
          <cell r="CA21">
            <v>3.46</v>
          </cell>
          <cell r="CB21">
            <v>7.35</v>
          </cell>
          <cell r="CC21">
            <v>4.04</v>
          </cell>
          <cell r="CE21">
            <v>14.849999999999998</v>
          </cell>
          <cell r="CF21">
            <v>7.56</v>
          </cell>
          <cell r="CG21">
            <v>7.9</v>
          </cell>
          <cell r="CH21">
            <v>3.72</v>
          </cell>
          <cell r="CJ21">
            <v>19.18</v>
          </cell>
          <cell r="CK21">
            <v>14.38</v>
          </cell>
          <cell r="CL21">
            <v>12.03</v>
          </cell>
          <cell r="CO21">
            <v>26.41</v>
          </cell>
          <cell r="CP21">
            <v>10.93</v>
          </cell>
          <cell r="CQ21">
            <v>11.61</v>
          </cell>
          <cell r="CT21">
            <v>22.54</v>
          </cell>
          <cell r="CU21">
            <v>13.11</v>
          </cell>
          <cell r="CY21">
            <v>13.11</v>
          </cell>
          <cell r="CZ21">
            <v>20.47</v>
          </cell>
          <cell r="DD21">
            <v>20.47</v>
          </cell>
          <cell r="DE21">
            <v>44.04</v>
          </cell>
          <cell r="DI21">
            <v>44.04</v>
          </cell>
          <cell r="DJ21">
            <v>36.01</v>
          </cell>
          <cell r="DN21">
            <v>36.01</v>
          </cell>
          <cell r="DS21">
            <v>0</v>
          </cell>
          <cell r="DT21">
            <v>53.05</v>
          </cell>
          <cell r="DX21">
            <v>53.05</v>
          </cell>
          <cell r="DY21">
            <v>11.86</v>
          </cell>
          <cell r="DZ21">
            <v>4.43</v>
          </cell>
          <cell r="EC21">
            <v>16.29</v>
          </cell>
          <cell r="ED21">
            <v>16.53</v>
          </cell>
          <cell r="EH21">
            <v>16.53</v>
          </cell>
          <cell r="EI21">
            <v>6.59</v>
          </cell>
          <cell r="EJ21">
            <v>12.07</v>
          </cell>
          <cell r="EM21">
            <v>18.66</v>
          </cell>
          <cell r="EN21">
            <v>15.34</v>
          </cell>
          <cell r="ER21">
            <v>15.34</v>
          </cell>
          <cell r="ES21">
            <v>18.13</v>
          </cell>
          <cell r="ET21">
            <v>7.43</v>
          </cell>
          <cell r="EW21">
            <v>25.56</v>
          </cell>
          <cell r="EX21">
            <v>10.87</v>
          </cell>
          <cell r="EY21">
            <v>10.63</v>
          </cell>
          <cell r="FB21">
            <v>21.5</v>
          </cell>
          <cell r="FC21">
            <v>10.95</v>
          </cell>
          <cell r="FD21">
            <v>16.98</v>
          </cell>
          <cell r="FG21">
            <v>27.93</v>
          </cell>
          <cell r="FH21">
            <v>12.05</v>
          </cell>
          <cell r="FI21">
            <v>17.149999999999999</v>
          </cell>
          <cell r="FL21">
            <v>29.2</v>
          </cell>
          <cell r="FM21">
            <v>15.33</v>
          </cell>
          <cell r="FN21">
            <v>18.73</v>
          </cell>
          <cell r="FQ21">
            <v>34.06</v>
          </cell>
          <cell r="FR21">
            <v>14.47</v>
          </cell>
          <cell r="FS21">
            <v>15.19</v>
          </cell>
          <cell r="FV21">
            <v>29.66</v>
          </cell>
          <cell r="FW21">
            <v>11.67</v>
          </cell>
          <cell r="FX21">
            <v>13.05</v>
          </cell>
          <cell r="GA21">
            <v>24.72</v>
          </cell>
          <cell r="GB21">
            <v>16.32</v>
          </cell>
          <cell r="GC21">
            <v>11.73</v>
          </cell>
          <cell r="GF21">
            <v>28.05</v>
          </cell>
          <cell r="GG21">
            <v>11.88</v>
          </cell>
          <cell r="GH21">
            <v>7.71</v>
          </cell>
          <cell r="GK21">
            <v>19.59</v>
          </cell>
          <cell r="GL21">
            <v>5.47</v>
          </cell>
          <cell r="GM21">
            <v>4.82</v>
          </cell>
          <cell r="GP21">
            <v>10.29</v>
          </cell>
          <cell r="GQ21">
            <v>6.14</v>
          </cell>
          <cell r="GR21">
            <v>4.8</v>
          </cell>
          <cell r="GU21">
            <v>10.94</v>
          </cell>
          <cell r="GV21">
            <v>7.91</v>
          </cell>
          <cell r="GZ21">
            <v>7.91</v>
          </cell>
          <cell r="HA21">
            <v>10.07</v>
          </cell>
          <cell r="HB21">
            <v>6.52</v>
          </cell>
          <cell r="HE21">
            <v>16.59</v>
          </cell>
          <cell r="HF21">
            <v>6.95</v>
          </cell>
          <cell r="HG21">
            <v>7.07</v>
          </cell>
          <cell r="HH21">
            <v>6.93</v>
          </cell>
          <cell r="HJ21">
            <v>20.95</v>
          </cell>
          <cell r="HK21">
            <v>6.11</v>
          </cell>
          <cell r="HL21">
            <v>7.41</v>
          </cell>
          <cell r="HO21">
            <v>13.52</v>
          </cell>
          <cell r="HP21">
            <v>10.08</v>
          </cell>
          <cell r="HQ21">
            <v>17.53</v>
          </cell>
          <cell r="HT21">
            <v>27.61</v>
          </cell>
          <cell r="HU21">
            <v>18.350000000000001</v>
          </cell>
          <cell r="HV21">
            <v>22.22</v>
          </cell>
          <cell r="HY21">
            <v>40.57</v>
          </cell>
          <cell r="HZ21">
            <v>28.14</v>
          </cell>
          <cell r="ID21">
            <v>28.14</v>
          </cell>
          <cell r="IE21">
            <v>15.56</v>
          </cell>
          <cell r="IF21">
            <v>19.82</v>
          </cell>
          <cell r="II21">
            <v>35.380000000000003</v>
          </cell>
          <cell r="IJ21">
            <v>14.74</v>
          </cell>
          <cell r="IK21">
            <v>14.57</v>
          </cell>
          <cell r="IN21">
            <v>29.310000000000002</v>
          </cell>
          <cell r="IP21">
            <v>260.8</v>
          </cell>
          <cell r="IQ21">
            <v>8.8699999999999992</v>
          </cell>
          <cell r="IU21">
            <v>8.8699999999999992</v>
          </cell>
          <cell r="IV21">
            <v>10.84</v>
          </cell>
          <cell r="IW21">
            <v>7.76</v>
          </cell>
          <cell r="IZ21">
            <v>18.600000000000001</v>
          </cell>
          <cell r="JA21">
            <v>10.64</v>
          </cell>
          <cell r="JB21">
            <v>11.31</v>
          </cell>
          <cell r="JE21">
            <v>21.950000000000003</v>
          </cell>
          <cell r="JF21">
            <v>17.760000000000002</v>
          </cell>
          <cell r="JJ21">
            <v>17.760000000000002</v>
          </cell>
          <cell r="JK21">
            <v>7.73</v>
          </cell>
          <cell r="JL21">
            <v>13.36</v>
          </cell>
          <cell r="JO21">
            <v>21.09</v>
          </cell>
          <cell r="JP21">
            <v>11.27</v>
          </cell>
          <cell r="JQ21">
            <v>9.6</v>
          </cell>
          <cell r="JR21">
            <v>8.8000000000000007</v>
          </cell>
          <cell r="JT21">
            <v>29.669999999999998</v>
          </cell>
          <cell r="JU21">
            <v>7.83</v>
          </cell>
          <cell r="JV21">
            <v>7.3</v>
          </cell>
          <cell r="JY21">
            <v>15.129999999999999</v>
          </cell>
          <cell r="JZ21">
            <v>8.49</v>
          </cell>
          <cell r="KA21">
            <v>8.61</v>
          </cell>
          <cell r="KB21">
            <v>6.52</v>
          </cell>
          <cell r="KD21">
            <v>23.62</v>
          </cell>
          <cell r="KE21">
            <v>14.79</v>
          </cell>
          <cell r="KF21">
            <v>10.85</v>
          </cell>
          <cell r="KG21">
            <v>0</v>
          </cell>
          <cell r="KH21">
            <v>0</v>
          </cell>
          <cell r="KI21">
            <v>25.64</v>
          </cell>
          <cell r="KJ21">
            <v>11.67</v>
          </cell>
          <cell r="KK21">
            <v>19.649999999999999</v>
          </cell>
          <cell r="KL21">
            <v>0</v>
          </cell>
          <cell r="KM21">
            <v>0</v>
          </cell>
          <cell r="KN21">
            <v>31.32</v>
          </cell>
          <cell r="KO21">
            <v>17.61</v>
          </cell>
          <cell r="KP21">
            <v>14.37</v>
          </cell>
          <cell r="KQ21">
            <v>0</v>
          </cell>
          <cell r="KR21">
            <v>0</v>
          </cell>
          <cell r="KS21">
            <v>31.979999999999997</v>
          </cell>
          <cell r="KT21">
            <v>13.41</v>
          </cell>
          <cell r="KU21">
            <v>0</v>
          </cell>
          <cell r="KV21">
            <v>0</v>
          </cell>
          <cell r="KW21">
            <v>0</v>
          </cell>
          <cell r="KX21">
            <v>13.41</v>
          </cell>
          <cell r="KZ21">
            <v>259.04000000000002</v>
          </cell>
        </row>
        <row r="22">
          <cell r="B22">
            <v>13</v>
          </cell>
          <cell r="C22">
            <v>60.8</v>
          </cell>
          <cell r="D22">
            <v>66.36</v>
          </cell>
          <cell r="H22">
            <v>66.36</v>
          </cell>
          <cell r="I22">
            <v>76.98</v>
          </cell>
          <cell r="M22">
            <v>76.98</v>
          </cell>
          <cell r="N22">
            <v>73.06</v>
          </cell>
          <cell r="R22">
            <v>73.06</v>
          </cell>
          <cell r="S22">
            <v>46.75</v>
          </cell>
          <cell r="T22">
            <v>51.57</v>
          </cell>
          <cell r="W22">
            <v>98.32</v>
          </cell>
          <cell r="X22">
            <v>60.5</v>
          </cell>
          <cell r="AB22">
            <v>60.5</v>
          </cell>
          <cell r="AC22">
            <v>69.97</v>
          </cell>
          <cell r="AG22">
            <v>69.97</v>
          </cell>
          <cell r="AH22">
            <v>45.5</v>
          </cell>
          <cell r="AI22">
            <v>47.04</v>
          </cell>
          <cell r="AL22">
            <v>92.539999999999992</v>
          </cell>
          <cell r="AM22">
            <v>64.430000000000007</v>
          </cell>
          <cell r="AN22">
            <v>57.06</v>
          </cell>
          <cell r="AQ22">
            <v>121.49000000000001</v>
          </cell>
          <cell r="AR22">
            <v>84.91</v>
          </cell>
          <cell r="AS22">
            <v>44.04</v>
          </cell>
          <cell r="AV22">
            <v>128.94999999999999</v>
          </cell>
          <cell r="AW22">
            <v>65.47</v>
          </cell>
          <cell r="AX22">
            <v>3.5</v>
          </cell>
          <cell r="BA22">
            <v>68.97</v>
          </cell>
          <cell r="BB22">
            <v>84.59</v>
          </cell>
          <cell r="BC22">
            <v>49.45</v>
          </cell>
          <cell r="BF22">
            <v>134.04000000000002</v>
          </cell>
          <cell r="BG22">
            <v>61.94</v>
          </cell>
          <cell r="BH22">
            <v>61.73</v>
          </cell>
          <cell r="BK22">
            <v>123.66999999999999</v>
          </cell>
          <cell r="BL22">
            <v>68.490000000000009</v>
          </cell>
          <cell r="BM22">
            <v>44.73</v>
          </cell>
          <cell r="BP22">
            <v>113.22</v>
          </cell>
          <cell r="BQ22">
            <v>31</v>
          </cell>
          <cell r="BR22">
            <v>24.04</v>
          </cell>
          <cell r="BU22">
            <v>55.04</v>
          </cell>
          <cell r="BV22">
            <v>17.38</v>
          </cell>
          <cell r="BW22">
            <v>16.79</v>
          </cell>
          <cell r="BX22">
            <v>15.09</v>
          </cell>
          <cell r="BZ22">
            <v>49.260000000000005</v>
          </cell>
          <cell r="CA22">
            <v>21.21</v>
          </cell>
          <cell r="CB22">
            <v>15.68</v>
          </cell>
          <cell r="CC22">
            <v>18.170000000000002</v>
          </cell>
          <cell r="CE22">
            <v>55.06</v>
          </cell>
          <cell r="CF22">
            <v>22.13</v>
          </cell>
          <cell r="CG22">
            <v>29.62</v>
          </cell>
          <cell r="CJ22">
            <v>51.75</v>
          </cell>
          <cell r="CK22">
            <v>45.4</v>
          </cell>
          <cell r="CL22">
            <v>40.75</v>
          </cell>
          <cell r="CO22">
            <v>86.15</v>
          </cell>
          <cell r="CP22">
            <v>26.03</v>
          </cell>
          <cell r="CQ22">
            <v>33.56</v>
          </cell>
          <cell r="CR22">
            <v>16.59</v>
          </cell>
          <cell r="CT22">
            <v>76.180000000000007</v>
          </cell>
          <cell r="CU22">
            <v>17.149999999999999</v>
          </cell>
          <cell r="CV22">
            <v>67.209999999999994</v>
          </cell>
          <cell r="CY22">
            <v>84.359999999999985</v>
          </cell>
          <cell r="CZ22">
            <v>80.569999999999993</v>
          </cell>
          <cell r="DD22">
            <v>80.569999999999993</v>
          </cell>
          <cell r="DE22">
            <v>96.34</v>
          </cell>
          <cell r="DI22">
            <v>96.34</v>
          </cell>
          <cell r="DJ22">
            <v>113.44</v>
          </cell>
          <cell r="DN22">
            <v>113.44</v>
          </cell>
          <cell r="DO22">
            <v>119.28</v>
          </cell>
          <cell r="DS22">
            <v>119.28</v>
          </cell>
          <cell r="DT22">
            <v>97.38</v>
          </cell>
          <cell r="DX22">
            <v>97.38</v>
          </cell>
          <cell r="DY22">
            <v>65.260000000000005</v>
          </cell>
          <cell r="DZ22">
            <v>42.5</v>
          </cell>
          <cell r="EC22">
            <v>107.76</v>
          </cell>
          <cell r="ED22">
            <v>42.3</v>
          </cell>
          <cell r="EE22">
            <v>21.67</v>
          </cell>
          <cell r="EH22">
            <v>63.97</v>
          </cell>
          <cell r="EI22">
            <v>15.89</v>
          </cell>
          <cell r="EJ22">
            <v>46.09</v>
          </cell>
          <cell r="EM22">
            <v>61.980000000000004</v>
          </cell>
          <cell r="EN22">
            <v>47.14</v>
          </cell>
          <cell r="ER22">
            <v>47.14</v>
          </cell>
          <cell r="ES22">
            <v>52.74</v>
          </cell>
          <cell r="ET22">
            <v>33.159999999999997</v>
          </cell>
          <cell r="EW22">
            <v>85.9</v>
          </cell>
          <cell r="EX22">
            <v>35.33</v>
          </cell>
          <cell r="EY22">
            <v>35.04</v>
          </cell>
          <cell r="EZ22">
            <v>7.22</v>
          </cell>
          <cell r="FB22">
            <v>77.59</v>
          </cell>
          <cell r="FC22">
            <v>29.15</v>
          </cell>
          <cell r="FD22">
            <v>64.63</v>
          </cell>
          <cell r="FG22">
            <v>93.78</v>
          </cell>
          <cell r="FH22">
            <v>43.04</v>
          </cell>
          <cell r="FI22">
            <v>42.88</v>
          </cell>
          <cell r="FL22">
            <v>85.92</v>
          </cell>
          <cell r="FM22">
            <v>51.48</v>
          </cell>
          <cell r="FN22">
            <v>58.16</v>
          </cell>
          <cell r="FQ22">
            <v>109.63999999999999</v>
          </cell>
          <cell r="FR22">
            <v>82.53</v>
          </cell>
          <cell r="FS22">
            <v>11.9</v>
          </cell>
          <cell r="FV22">
            <v>94.43</v>
          </cell>
          <cell r="FW22">
            <v>49.54</v>
          </cell>
          <cell r="FX22">
            <v>63.08</v>
          </cell>
          <cell r="GA22">
            <v>112.62</v>
          </cell>
          <cell r="GB22">
            <v>48.27</v>
          </cell>
          <cell r="GC22">
            <v>50.61</v>
          </cell>
          <cell r="GF22">
            <v>98.88</v>
          </cell>
          <cell r="GG22">
            <v>46.01</v>
          </cell>
          <cell r="GH22">
            <v>28.91</v>
          </cell>
          <cell r="GK22">
            <v>74.92</v>
          </cell>
          <cell r="GL22">
            <v>29.21</v>
          </cell>
          <cell r="GM22">
            <v>27.67</v>
          </cell>
          <cell r="GP22">
            <v>56.88</v>
          </cell>
          <cell r="GQ22">
            <v>23.1</v>
          </cell>
          <cell r="GR22">
            <v>21.69</v>
          </cell>
          <cell r="GU22">
            <v>44.790000000000006</v>
          </cell>
          <cell r="GV22">
            <v>45.89</v>
          </cell>
          <cell r="GW22">
            <v>22.12</v>
          </cell>
          <cell r="GZ22">
            <v>68.010000000000005</v>
          </cell>
          <cell r="HA22">
            <v>23.22</v>
          </cell>
          <cell r="HB22">
            <v>24.79</v>
          </cell>
          <cell r="HE22">
            <v>48.01</v>
          </cell>
          <cell r="HF22">
            <v>25.94</v>
          </cell>
          <cell r="HG22">
            <v>27.51</v>
          </cell>
          <cell r="HJ22">
            <v>53.45</v>
          </cell>
          <cell r="HK22">
            <v>25.66</v>
          </cell>
          <cell r="HL22">
            <v>29.12</v>
          </cell>
          <cell r="HM22">
            <v>16.309999999999999</v>
          </cell>
          <cell r="HO22">
            <v>71.09</v>
          </cell>
          <cell r="HP22">
            <v>38.74</v>
          </cell>
          <cell r="HQ22">
            <v>58.15</v>
          </cell>
          <cell r="HT22">
            <v>96.89</v>
          </cell>
          <cell r="HU22">
            <v>80.66</v>
          </cell>
          <cell r="HY22">
            <v>80.66</v>
          </cell>
          <cell r="HZ22">
            <v>104.81</v>
          </cell>
          <cell r="IA22">
            <v>79.900000000000006</v>
          </cell>
          <cell r="ID22">
            <v>184.71</v>
          </cell>
          <cell r="IE22">
            <v>47.77</v>
          </cell>
          <cell r="IF22">
            <v>38.939000000000007</v>
          </cell>
          <cell r="IG22">
            <v>52.42</v>
          </cell>
          <cell r="II22">
            <v>139.12900000000002</v>
          </cell>
          <cell r="IJ22">
            <v>28.76</v>
          </cell>
          <cell r="IK22">
            <v>42.98</v>
          </cell>
          <cell r="IL22">
            <v>8.58</v>
          </cell>
          <cell r="IN22">
            <v>80.319999999999993</v>
          </cell>
          <cell r="IP22">
            <v>998.85899999999992</v>
          </cell>
          <cell r="IQ22">
            <v>56.69</v>
          </cell>
          <cell r="IR22">
            <v>20.399999999999999</v>
          </cell>
          <cell r="IS22">
            <v>14.31</v>
          </cell>
          <cell r="IU22">
            <v>91.4</v>
          </cell>
          <cell r="IV22">
            <v>74.7</v>
          </cell>
          <cell r="IZ22">
            <v>74.7</v>
          </cell>
          <cell r="JA22">
            <v>32.619999999999997</v>
          </cell>
          <cell r="JB22">
            <v>24.97</v>
          </cell>
          <cell r="JE22">
            <v>57.589999999999996</v>
          </cell>
          <cell r="JF22">
            <v>47.86</v>
          </cell>
          <cell r="JJ22">
            <v>47.86</v>
          </cell>
          <cell r="JK22">
            <v>38.229999999999997</v>
          </cell>
          <cell r="JL22">
            <v>22.22</v>
          </cell>
          <cell r="JM22">
            <v>30.11</v>
          </cell>
          <cell r="JO22">
            <v>90.56</v>
          </cell>
          <cell r="JP22">
            <v>29.55</v>
          </cell>
          <cell r="JQ22">
            <v>26.67</v>
          </cell>
          <cell r="JT22">
            <v>56.22</v>
          </cell>
          <cell r="JU22">
            <v>29.55</v>
          </cell>
          <cell r="JV22">
            <v>30.66</v>
          </cell>
          <cell r="JW22">
            <v>29.32</v>
          </cell>
          <cell r="JY22">
            <v>89.53</v>
          </cell>
          <cell r="JZ22">
            <v>29.87</v>
          </cell>
          <cell r="KA22">
            <v>36.6</v>
          </cell>
          <cell r="KD22">
            <v>66.47</v>
          </cell>
          <cell r="KE22">
            <v>39.58</v>
          </cell>
          <cell r="KF22">
            <v>52.31</v>
          </cell>
          <cell r="KG22">
            <v>0</v>
          </cell>
          <cell r="KH22">
            <v>0</v>
          </cell>
          <cell r="KI22">
            <v>91.89</v>
          </cell>
          <cell r="KJ22">
            <v>46.48</v>
          </cell>
          <cell r="KK22">
            <v>69.669999999999987</v>
          </cell>
          <cell r="KL22">
            <v>0</v>
          </cell>
          <cell r="KM22">
            <v>0</v>
          </cell>
          <cell r="KN22">
            <v>116.14999999999998</v>
          </cell>
          <cell r="KO22">
            <v>78.239999999999995</v>
          </cell>
          <cell r="KP22">
            <v>65.34</v>
          </cell>
          <cell r="KQ22">
            <v>0</v>
          </cell>
          <cell r="KR22">
            <v>0</v>
          </cell>
          <cell r="KS22">
            <v>143.57999999999998</v>
          </cell>
          <cell r="KT22">
            <v>59.580000000000005</v>
          </cell>
          <cell r="KU22">
            <v>53.370000000000005</v>
          </cell>
          <cell r="KV22">
            <v>0</v>
          </cell>
          <cell r="KW22">
            <v>0</v>
          </cell>
          <cell r="KX22">
            <v>112.95000000000002</v>
          </cell>
          <cell r="KZ22">
            <v>1038.9000000000001</v>
          </cell>
        </row>
        <row r="23">
          <cell r="B23">
            <v>14</v>
          </cell>
          <cell r="C23">
            <v>41.6</v>
          </cell>
          <cell r="D23">
            <v>38.35</v>
          </cell>
          <cell r="H23">
            <v>38.35</v>
          </cell>
          <cell r="I23">
            <v>41.82</v>
          </cell>
          <cell r="M23">
            <v>41.82</v>
          </cell>
          <cell r="N23">
            <v>53.95</v>
          </cell>
          <cell r="R23">
            <v>53.95</v>
          </cell>
          <cell r="S23">
            <v>51.45</v>
          </cell>
          <cell r="T23">
            <v>19.91</v>
          </cell>
          <cell r="W23">
            <v>71.36</v>
          </cell>
          <cell r="X23">
            <v>6.95</v>
          </cell>
          <cell r="Y23">
            <v>47.02</v>
          </cell>
          <cell r="AB23">
            <v>53.970000000000006</v>
          </cell>
          <cell r="AC23">
            <v>57.92</v>
          </cell>
          <cell r="AG23">
            <v>57.92</v>
          </cell>
          <cell r="AH23">
            <v>62.89</v>
          </cell>
          <cell r="AI23">
            <v>27.94</v>
          </cell>
          <cell r="AL23">
            <v>90.83</v>
          </cell>
          <cell r="AM23">
            <v>20.47</v>
          </cell>
          <cell r="AN23">
            <v>35.779000000000003</v>
          </cell>
          <cell r="AO23">
            <v>4.25</v>
          </cell>
          <cell r="AQ23">
            <v>60.499000000000002</v>
          </cell>
          <cell r="AR23">
            <v>36.049999999999997</v>
          </cell>
          <cell r="AS23">
            <v>44.85</v>
          </cell>
          <cell r="AV23">
            <v>80.900000000000006</v>
          </cell>
          <cell r="AW23">
            <v>70.13</v>
          </cell>
          <cell r="BA23">
            <v>70.13</v>
          </cell>
          <cell r="BB23">
            <v>54.78</v>
          </cell>
          <cell r="BC23">
            <v>39.200000000000003</v>
          </cell>
          <cell r="BF23">
            <v>93.98</v>
          </cell>
          <cell r="BG23">
            <v>32.42</v>
          </cell>
          <cell r="BH23">
            <v>50.06</v>
          </cell>
          <cell r="BK23">
            <v>82.48</v>
          </cell>
          <cell r="BL23">
            <v>26.14</v>
          </cell>
          <cell r="BP23">
            <v>26.14</v>
          </cell>
          <cell r="BQ23">
            <v>46.81</v>
          </cell>
          <cell r="BR23">
            <v>18.75</v>
          </cell>
          <cell r="BU23">
            <v>65.56</v>
          </cell>
          <cell r="BV23">
            <v>19.71</v>
          </cell>
          <cell r="BW23">
            <v>14.5</v>
          </cell>
          <cell r="BZ23">
            <v>34.21</v>
          </cell>
          <cell r="CA23">
            <v>29.24</v>
          </cell>
          <cell r="CE23">
            <v>29.24</v>
          </cell>
          <cell r="CF23">
            <v>28.13</v>
          </cell>
          <cell r="CJ23">
            <v>28.13</v>
          </cell>
          <cell r="CK23">
            <v>49.87</v>
          </cell>
          <cell r="CL23">
            <v>36.75</v>
          </cell>
          <cell r="CO23">
            <v>86.62</v>
          </cell>
          <cell r="CP23">
            <v>26.37</v>
          </cell>
          <cell r="CQ23">
            <v>18.55</v>
          </cell>
          <cell r="CT23">
            <v>44.92</v>
          </cell>
          <cell r="CU23">
            <v>29</v>
          </cell>
          <cell r="CV23">
            <v>33.590000000000003</v>
          </cell>
          <cell r="CY23">
            <v>62.59</v>
          </cell>
          <cell r="CZ23">
            <v>49.78</v>
          </cell>
          <cell r="DD23">
            <v>49.78</v>
          </cell>
          <cell r="DE23">
            <v>59</v>
          </cell>
          <cell r="DI23">
            <v>59</v>
          </cell>
          <cell r="DJ23">
            <v>61.58</v>
          </cell>
          <cell r="DN23">
            <v>61.58</v>
          </cell>
          <cell r="DO23">
            <v>64.37</v>
          </cell>
          <cell r="DS23">
            <v>64.37</v>
          </cell>
          <cell r="DT23">
            <v>63.52</v>
          </cell>
          <cell r="DX23">
            <v>63.52</v>
          </cell>
          <cell r="DY23">
            <v>42.41</v>
          </cell>
          <cell r="EC23">
            <v>42.41</v>
          </cell>
          <cell r="ED23">
            <v>45.37</v>
          </cell>
          <cell r="EH23">
            <v>45.37</v>
          </cell>
          <cell r="EI23">
            <v>31.07</v>
          </cell>
          <cell r="EJ23">
            <v>26.98</v>
          </cell>
          <cell r="EM23">
            <v>58.05</v>
          </cell>
          <cell r="EN23">
            <v>29.4</v>
          </cell>
          <cell r="EO23">
            <v>7.83</v>
          </cell>
          <cell r="ER23">
            <v>37.229999999999997</v>
          </cell>
          <cell r="ES23">
            <v>40.89</v>
          </cell>
          <cell r="ET23">
            <v>18.78</v>
          </cell>
          <cell r="EW23">
            <v>59.67</v>
          </cell>
          <cell r="EX23">
            <v>33.5</v>
          </cell>
          <cell r="EY23">
            <v>21.97</v>
          </cell>
          <cell r="FB23">
            <v>55.47</v>
          </cell>
          <cell r="FC23">
            <v>26.71</v>
          </cell>
          <cell r="FD23">
            <v>24.97</v>
          </cell>
          <cell r="FG23">
            <v>51.68</v>
          </cell>
          <cell r="FH23">
            <v>38.979999999999997</v>
          </cell>
          <cell r="FI23">
            <v>19.809999999999999</v>
          </cell>
          <cell r="FL23">
            <v>58.789999999999992</v>
          </cell>
          <cell r="FM23">
            <v>42.2</v>
          </cell>
          <cell r="FN23">
            <v>37.58</v>
          </cell>
          <cell r="FQ23">
            <v>79.78</v>
          </cell>
          <cell r="FR23">
            <v>23.8</v>
          </cell>
          <cell r="FS23">
            <v>34.11</v>
          </cell>
          <cell r="FV23">
            <v>57.91</v>
          </cell>
          <cell r="FW23">
            <v>40.729999999999997</v>
          </cell>
          <cell r="FX23">
            <v>36.65</v>
          </cell>
          <cell r="GA23">
            <v>77.38</v>
          </cell>
          <cell r="GB23">
            <v>29.96</v>
          </cell>
          <cell r="GC23">
            <v>33.44</v>
          </cell>
          <cell r="GF23">
            <v>63.4</v>
          </cell>
          <cell r="GG23">
            <v>49.21</v>
          </cell>
          <cell r="GH23">
            <v>3.66</v>
          </cell>
          <cell r="GK23">
            <v>52.870000000000005</v>
          </cell>
          <cell r="GL23">
            <v>15.54</v>
          </cell>
          <cell r="GM23">
            <v>23.28</v>
          </cell>
          <cell r="GP23">
            <v>38.82</v>
          </cell>
          <cell r="GQ23">
            <v>12.49</v>
          </cell>
          <cell r="GR23">
            <v>6.09</v>
          </cell>
          <cell r="GU23">
            <v>18.579999999999998</v>
          </cell>
          <cell r="GV23">
            <v>28.29</v>
          </cell>
          <cell r="GW23">
            <v>19.72</v>
          </cell>
          <cell r="GZ23">
            <v>48.01</v>
          </cell>
          <cell r="HA23">
            <v>44.78</v>
          </cell>
          <cell r="HB23">
            <v>26.98</v>
          </cell>
          <cell r="HE23">
            <v>71.760000000000005</v>
          </cell>
          <cell r="HF23">
            <v>25.46</v>
          </cell>
          <cell r="HG23">
            <v>15.82</v>
          </cell>
          <cell r="HJ23">
            <v>41.28</v>
          </cell>
          <cell r="HK23">
            <v>41.1</v>
          </cell>
          <cell r="HL23">
            <v>11.93</v>
          </cell>
          <cell r="HO23">
            <v>53.03</v>
          </cell>
          <cell r="HP23">
            <v>87.25</v>
          </cell>
          <cell r="HQ23">
            <v>17.93</v>
          </cell>
          <cell r="HT23">
            <v>105.18</v>
          </cell>
          <cell r="HU23">
            <v>3.62</v>
          </cell>
          <cell r="HV23">
            <v>46.62</v>
          </cell>
          <cell r="HW23">
            <v>34.22</v>
          </cell>
          <cell r="HY23">
            <v>84.46</v>
          </cell>
          <cell r="HZ23">
            <v>32.299999999999997</v>
          </cell>
          <cell r="IA23">
            <v>63.89</v>
          </cell>
          <cell r="ID23">
            <v>96.19</v>
          </cell>
          <cell r="IE23">
            <v>31.495999999999999</v>
          </cell>
          <cell r="IF23">
            <v>27.1</v>
          </cell>
          <cell r="II23">
            <v>58.596000000000004</v>
          </cell>
          <cell r="IJ23">
            <v>59.76</v>
          </cell>
          <cell r="IK23">
            <v>34.15</v>
          </cell>
          <cell r="IN23">
            <v>93.91</v>
          </cell>
          <cell r="IP23">
            <v>762.68600000000004</v>
          </cell>
          <cell r="IQ23">
            <v>11.26</v>
          </cell>
          <cell r="IR23">
            <v>35.479999999999997</v>
          </cell>
          <cell r="IU23">
            <v>46.739999999999995</v>
          </cell>
          <cell r="IV23">
            <v>35.03</v>
          </cell>
          <cell r="IW23">
            <v>4.21</v>
          </cell>
          <cell r="IZ23">
            <v>39.24</v>
          </cell>
          <cell r="JA23">
            <v>22.95</v>
          </cell>
          <cell r="JB23">
            <v>9.1300000000000008</v>
          </cell>
          <cell r="JE23">
            <v>32.08</v>
          </cell>
          <cell r="JF23">
            <v>52.23</v>
          </cell>
          <cell r="JG23">
            <v>9.64</v>
          </cell>
          <cell r="JJ23">
            <v>61.87</v>
          </cell>
          <cell r="JK23">
            <v>44.44</v>
          </cell>
          <cell r="JL23">
            <v>11.04</v>
          </cell>
          <cell r="JO23">
            <v>55.48</v>
          </cell>
          <cell r="JP23">
            <v>37.78</v>
          </cell>
          <cell r="JQ23">
            <v>39.17</v>
          </cell>
          <cell r="JT23">
            <v>76.95</v>
          </cell>
          <cell r="JU23">
            <v>19.989999999999998</v>
          </cell>
          <cell r="JV23">
            <v>42.53</v>
          </cell>
          <cell r="JY23">
            <v>62.519999999999996</v>
          </cell>
          <cell r="JZ23">
            <v>37.32</v>
          </cell>
          <cell r="KA23">
            <v>21.13</v>
          </cell>
          <cell r="KD23">
            <v>58.45</v>
          </cell>
          <cell r="KE23">
            <v>62.89</v>
          </cell>
          <cell r="KF23">
            <v>13.16</v>
          </cell>
          <cell r="KG23">
            <v>0</v>
          </cell>
          <cell r="KH23">
            <v>0</v>
          </cell>
          <cell r="KI23">
            <v>76.05</v>
          </cell>
          <cell r="KJ23">
            <v>65.399999999999991</v>
          </cell>
          <cell r="KK23">
            <v>0</v>
          </cell>
          <cell r="KL23">
            <v>0</v>
          </cell>
          <cell r="KM23">
            <v>0</v>
          </cell>
          <cell r="KN23">
            <v>65.399999999999991</v>
          </cell>
          <cell r="KO23">
            <v>54.75</v>
          </cell>
          <cell r="KP23">
            <v>38.659999999999997</v>
          </cell>
          <cell r="KQ23">
            <v>0</v>
          </cell>
          <cell r="KR23">
            <v>0</v>
          </cell>
          <cell r="KS23">
            <v>93.41</v>
          </cell>
          <cell r="KT23">
            <v>45.839999999999996</v>
          </cell>
          <cell r="KU23">
            <v>0</v>
          </cell>
          <cell r="KV23">
            <v>0</v>
          </cell>
          <cell r="KW23">
            <v>0</v>
          </cell>
          <cell r="KX23">
            <v>45.839999999999996</v>
          </cell>
          <cell r="KZ23">
            <v>714.03</v>
          </cell>
        </row>
        <row r="24">
          <cell r="B24">
            <v>15</v>
          </cell>
          <cell r="C24">
            <v>49.3</v>
          </cell>
          <cell r="D24">
            <v>21.71</v>
          </cell>
          <cell r="E24">
            <v>40.119999999999997</v>
          </cell>
          <cell r="H24">
            <v>61.83</v>
          </cell>
          <cell r="I24">
            <v>62.85</v>
          </cell>
          <cell r="M24">
            <v>62.85</v>
          </cell>
          <cell r="N24">
            <v>36.03</v>
          </cell>
          <cell r="O24">
            <v>20.18</v>
          </cell>
          <cell r="R24">
            <v>56.21</v>
          </cell>
          <cell r="S24">
            <v>52.4</v>
          </cell>
          <cell r="T24">
            <v>4.5199999999999996</v>
          </cell>
          <cell r="W24">
            <v>56.92</v>
          </cell>
          <cell r="X24">
            <v>21.06</v>
          </cell>
          <cell r="Y24">
            <v>25.49</v>
          </cell>
          <cell r="Z24">
            <v>23.97</v>
          </cell>
          <cell r="AB24">
            <v>70.52</v>
          </cell>
          <cell r="AC24">
            <v>40.29</v>
          </cell>
          <cell r="AD24">
            <v>30.38</v>
          </cell>
          <cell r="AG24">
            <v>70.67</v>
          </cell>
          <cell r="AH24">
            <v>12.28</v>
          </cell>
          <cell r="AI24">
            <v>16.309999999999999</v>
          </cell>
          <cell r="AJ24">
            <v>17.55</v>
          </cell>
          <cell r="AL24">
            <v>46.14</v>
          </cell>
          <cell r="AM24">
            <v>26.32</v>
          </cell>
          <cell r="AN24">
            <v>28.08</v>
          </cell>
          <cell r="AQ24">
            <v>54.4</v>
          </cell>
          <cell r="AR24">
            <v>40.74</v>
          </cell>
          <cell r="AS24">
            <v>43.42</v>
          </cell>
          <cell r="AV24">
            <v>84.16</v>
          </cell>
          <cell r="AW24">
            <v>41.24</v>
          </cell>
          <cell r="BA24">
            <v>41.24</v>
          </cell>
          <cell r="BB24">
            <v>77</v>
          </cell>
          <cell r="BC24">
            <v>59.91</v>
          </cell>
          <cell r="BF24">
            <v>136.91</v>
          </cell>
          <cell r="BG24">
            <v>41.24</v>
          </cell>
          <cell r="BH24">
            <v>27.29</v>
          </cell>
          <cell r="BK24">
            <v>68.53</v>
          </cell>
          <cell r="BL24">
            <v>28.63</v>
          </cell>
          <cell r="BM24">
            <v>17.63</v>
          </cell>
          <cell r="BP24">
            <v>46.26</v>
          </cell>
          <cell r="BQ24">
            <v>15.21</v>
          </cell>
          <cell r="BR24">
            <v>10.43</v>
          </cell>
          <cell r="BU24">
            <v>25.64</v>
          </cell>
          <cell r="BV24">
            <v>10.16</v>
          </cell>
          <cell r="BW24">
            <v>9.1999999999999993</v>
          </cell>
          <cell r="BZ24">
            <v>19.36</v>
          </cell>
          <cell r="CA24">
            <v>6.11</v>
          </cell>
          <cell r="CB24">
            <v>19.52</v>
          </cell>
          <cell r="CC24">
            <v>10.44</v>
          </cell>
          <cell r="CE24">
            <v>36.07</v>
          </cell>
          <cell r="CF24">
            <v>20.309999999999999</v>
          </cell>
          <cell r="CG24">
            <v>16.690000000000001</v>
          </cell>
          <cell r="CJ24">
            <v>37</v>
          </cell>
          <cell r="CK24">
            <v>26.4</v>
          </cell>
          <cell r="CL24">
            <v>22.59</v>
          </cell>
          <cell r="CO24">
            <v>48.989999999999995</v>
          </cell>
          <cell r="CP24">
            <v>23.41</v>
          </cell>
          <cell r="CQ24">
            <v>23.85</v>
          </cell>
          <cell r="CR24">
            <v>34.479999999999997</v>
          </cell>
          <cell r="CT24">
            <v>81.740000000000009</v>
          </cell>
          <cell r="CU24">
            <v>34.39</v>
          </cell>
          <cell r="CV24">
            <v>25.83</v>
          </cell>
          <cell r="CY24">
            <v>60.22</v>
          </cell>
          <cell r="CZ24">
            <v>39.25</v>
          </cell>
          <cell r="DA24">
            <v>33.590000000000003</v>
          </cell>
          <cell r="DD24">
            <v>72.84</v>
          </cell>
          <cell r="DE24">
            <v>50.53</v>
          </cell>
          <cell r="DI24">
            <v>50.53</v>
          </cell>
          <cell r="DJ24">
            <v>47.75</v>
          </cell>
          <cell r="DK24">
            <v>47.01</v>
          </cell>
          <cell r="DL24">
            <v>15.84</v>
          </cell>
          <cell r="DN24">
            <v>110.6</v>
          </cell>
          <cell r="DO24">
            <v>23.17</v>
          </cell>
          <cell r="DP24">
            <v>38.36</v>
          </cell>
          <cell r="DS24">
            <v>61.53</v>
          </cell>
          <cell r="DT24">
            <v>44.31</v>
          </cell>
          <cell r="DU24">
            <v>37.89</v>
          </cell>
          <cell r="DX24">
            <v>82.2</v>
          </cell>
          <cell r="DY24">
            <v>69.069999999999993</v>
          </cell>
          <cell r="EC24">
            <v>69.069999999999993</v>
          </cell>
          <cell r="ED24">
            <v>29.2</v>
          </cell>
          <cell r="EE24">
            <v>27.56</v>
          </cell>
          <cell r="EH24">
            <v>56.76</v>
          </cell>
          <cell r="EI24">
            <v>28.55</v>
          </cell>
          <cell r="EJ24">
            <v>32.36</v>
          </cell>
          <cell r="EM24">
            <v>60.91</v>
          </cell>
          <cell r="EN24">
            <v>17.399999999999999</v>
          </cell>
          <cell r="EO24">
            <v>27.62</v>
          </cell>
          <cell r="ER24">
            <v>45.019999999999996</v>
          </cell>
          <cell r="ES24">
            <v>26.58</v>
          </cell>
          <cell r="ET24">
            <v>25.67</v>
          </cell>
          <cell r="EW24">
            <v>52.25</v>
          </cell>
          <cell r="EX24">
            <v>24.15</v>
          </cell>
          <cell r="EY24">
            <v>35.33</v>
          </cell>
          <cell r="FB24">
            <v>59.48</v>
          </cell>
          <cell r="FC24">
            <v>36.19</v>
          </cell>
          <cell r="FD24">
            <v>33.79</v>
          </cell>
          <cell r="FG24">
            <v>69.97999999999999</v>
          </cell>
          <cell r="FH24">
            <v>35.299999999999997</v>
          </cell>
          <cell r="FI24">
            <v>30.08</v>
          </cell>
          <cell r="FL24">
            <v>65.38</v>
          </cell>
          <cell r="FM24">
            <v>34.71</v>
          </cell>
          <cell r="FN24">
            <v>34.92</v>
          </cell>
          <cell r="FQ24">
            <v>69.63</v>
          </cell>
          <cell r="FR24">
            <v>39.159999999999997</v>
          </cell>
          <cell r="FS24">
            <v>36.33</v>
          </cell>
          <cell r="FV24">
            <v>75.489999999999995</v>
          </cell>
          <cell r="FW24">
            <v>35.28</v>
          </cell>
          <cell r="FX24">
            <v>35.869999999999997</v>
          </cell>
          <cell r="GA24">
            <v>71.150000000000006</v>
          </cell>
          <cell r="GB24">
            <v>28</v>
          </cell>
          <cell r="GC24">
            <v>30.24</v>
          </cell>
          <cell r="GF24">
            <v>58.239999999999995</v>
          </cell>
          <cell r="GG24">
            <v>22.07</v>
          </cell>
          <cell r="GH24">
            <v>15.31</v>
          </cell>
          <cell r="GK24">
            <v>37.380000000000003</v>
          </cell>
          <cell r="GL24">
            <v>9.6199999999999992</v>
          </cell>
          <cell r="GM24">
            <v>7.33</v>
          </cell>
          <cell r="GP24">
            <v>16.95</v>
          </cell>
          <cell r="GQ24">
            <v>8.48</v>
          </cell>
          <cell r="GR24">
            <v>4.96</v>
          </cell>
          <cell r="GU24">
            <v>13.440000000000001</v>
          </cell>
          <cell r="GV24">
            <v>14.53</v>
          </cell>
          <cell r="GZ24">
            <v>14.53</v>
          </cell>
          <cell r="HA24">
            <v>7.23</v>
          </cell>
          <cell r="HB24">
            <v>10.7</v>
          </cell>
          <cell r="HC24">
            <v>14.57</v>
          </cell>
          <cell r="HE24">
            <v>32.5</v>
          </cell>
          <cell r="HF24">
            <v>26.78</v>
          </cell>
          <cell r="HG24">
            <v>22.72</v>
          </cell>
          <cell r="HJ24">
            <v>49.5</v>
          </cell>
          <cell r="HK24">
            <v>20.97</v>
          </cell>
          <cell r="HL24">
            <v>13.11</v>
          </cell>
          <cell r="HO24">
            <v>34.08</v>
          </cell>
          <cell r="HP24">
            <v>34.42</v>
          </cell>
          <cell r="HQ24">
            <v>62.02</v>
          </cell>
          <cell r="HT24">
            <v>96.44</v>
          </cell>
          <cell r="HU24">
            <v>79.52</v>
          </cell>
          <cell r="HY24">
            <v>79.52</v>
          </cell>
          <cell r="HZ24">
            <v>69.789999999999992</v>
          </cell>
          <cell r="IA24">
            <v>37.229999999999997</v>
          </cell>
          <cell r="ID24">
            <v>107.01999999999998</v>
          </cell>
          <cell r="IE24">
            <v>46.04</v>
          </cell>
          <cell r="IF24">
            <v>31.87</v>
          </cell>
          <cell r="II24">
            <v>77.91</v>
          </cell>
          <cell r="IJ24">
            <v>34.21</v>
          </cell>
          <cell r="IK24">
            <v>26.28</v>
          </cell>
          <cell r="IN24">
            <v>60.49</v>
          </cell>
          <cell r="IP24">
            <v>619.76</v>
          </cell>
          <cell r="IQ24">
            <v>19.399999999999999</v>
          </cell>
          <cell r="IR24">
            <v>38.770000000000003</v>
          </cell>
          <cell r="IU24">
            <v>58.17</v>
          </cell>
          <cell r="IV24">
            <v>39.159999999999997</v>
          </cell>
          <cell r="IW24">
            <v>20.38</v>
          </cell>
          <cell r="IZ24">
            <v>59.539999999999992</v>
          </cell>
          <cell r="JA24">
            <v>18.46</v>
          </cell>
          <cell r="JB24">
            <v>29.86</v>
          </cell>
          <cell r="JE24">
            <v>48.32</v>
          </cell>
          <cell r="JF24">
            <v>46.6</v>
          </cell>
          <cell r="JJ24">
            <v>46.6</v>
          </cell>
          <cell r="JK24">
            <v>28.7</v>
          </cell>
          <cell r="JL24">
            <v>4.9000000000000004</v>
          </cell>
          <cell r="JM24">
            <v>25.76</v>
          </cell>
          <cell r="JO24">
            <v>59.36</v>
          </cell>
          <cell r="JP24">
            <v>21.2</v>
          </cell>
          <cell r="JQ24">
            <v>19.14</v>
          </cell>
          <cell r="JR24">
            <v>14.52</v>
          </cell>
          <cell r="JT24">
            <v>54.86</v>
          </cell>
          <cell r="JU24">
            <v>34.090000000000003</v>
          </cell>
          <cell r="JV24">
            <v>16.93</v>
          </cell>
          <cell r="JY24">
            <v>51.02</v>
          </cell>
          <cell r="JZ24">
            <v>34.950000000000003</v>
          </cell>
          <cell r="KA24">
            <v>16.77</v>
          </cell>
          <cell r="KD24">
            <v>51.72</v>
          </cell>
          <cell r="KE24">
            <v>32.64</v>
          </cell>
          <cell r="KF24">
            <v>23.779999999999998</v>
          </cell>
          <cell r="KG24">
            <v>0</v>
          </cell>
          <cell r="KH24">
            <v>0</v>
          </cell>
          <cell r="KI24">
            <v>56.42</v>
          </cell>
          <cell r="KJ24">
            <v>56.39</v>
          </cell>
          <cell r="KK24">
            <v>60.65</v>
          </cell>
          <cell r="KL24">
            <v>0</v>
          </cell>
          <cell r="KM24">
            <v>0</v>
          </cell>
          <cell r="KN24">
            <v>117.03999999999999</v>
          </cell>
          <cell r="KO24">
            <v>49.78</v>
          </cell>
          <cell r="KP24">
            <v>0</v>
          </cell>
          <cell r="KQ24">
            <v>0</v>
          </cell>
          <cell r="KR24">
            <v>0</v>
          </cell>
          <cell r="KS24">
            <v>49.78</v>
          </cell>
          <cell r="KT24">
            <v>70.900000000000006</v>
          </cell>
          <cell r="KU24">
            <v>53.16</v>
          </cell>
          <cell r="KV24">
            <v>0</v>
          </cell>
          <cell r="KW24">
            <v>0</v>
          </cell>
          <cell r="KX24">
            <v>124.06</v>
          </cell>
          <cell r="KZ24">
            <v>776.8900000000001</v>
          </cell>
        </row>
        <row r="25">
          <cell r="B25">
            <v>16</v>
          </cell>
          <cell r="C25">
            <v>53.2</v>
          </cell>
          <cell r="D25">
            <v>14.96</v>
          </cell>
          <cell r="E25">
            <v>42.95</v>
          </cell>
          <cell r="H25">
            <v>57.910000000000004</v>
          </cell>
          <cell r="I25">
            <v>18.61</v>
          </cell>
          <cell r="J25">
            <v>9</v>
          </cell>
          <cell r="M25">
            <v>27.61</v>
          </cell>
          <cell r="N25">
            <v>54.79</v>
          </cell>
          <cell r="O25">
            <v>35.92</v>
          </cell>
          <cell r="R25">
            <v>90.710000000000008</v>
          </cell>
          <cell r="S25">
            <v>26.22</v>
          </cell>
          <cell r="T25">
            <v>59.21</v>
          </cell>
          <cell r="W25">
            <v>85.43</v>
          </cell>
          <cell r="X25">
            <v>26.07</v>
          </cell>
          <cell r="Y25">
            <v>26.88</v>
          </cell>
          <cell r="AB25">
            <v>52.95</v>
          </cell>
          <cell r="AC25">
            <v>12.15</v>
          </cell>
          <cell r="AD25">
            <v>59.77</v>
          </cell>
          <cell r="AG25">
            <v>71.92</v>
          </cell>
          <cell r="AH25">
            <v>24.72</v>
          </cell>
          <cell r="AI25">
            <v>21.08</v>
          </cell>
          <cell r="AJ25">
            <v>23.55</v>
          </cell>
          <cell r="AL25">
            <v>69.349999999999994</v>
          </cell>
          <cell r="AM25">
            <v>33.42</v>
          </cell>
          <cell r="AN25">
            <v>45.56</v>
          </cell>
          <cell r="AQ25">
            <v>78.98</v>
          </cell>
          <cell r="AR25">
            <v>40.56</v>
          </cell>
          <cell r="AS25">
            <v>50.51</v>
          </cell>
          <cell r="AV25">
            <v>91.07</v>
          </cell>
          <cell r="AW25">
            <v>49.31</v>
          </cell>
          <cell r="AX25">
            <v>16.98</v>
          </cell>
          <cell r="BA25">
            <v>66.290000000000006</v>
          </cell>
          <cell r="BB25">
            <v>57.32</v>
          </cell>
          <cell r="BC25">
            <v>64.59</v>
          </cell>
          <cell r="BF25">
            <v>121.91</v>
          </cell>
          <cell r="BG25">
            <v>48.97</v>
          </cell>
          <cell r="BH25">
            <v>33.83</v>
          </cell>
          <cell r="BK25">
            <v>82.8</v>
          </cell>
          <cell r="BL25">
            <v>38.06</v>
          </cell>
          <cell r="BM25">
            <v>28.88</v>
          </cell>
          <cell r="BP25">
            <v>66.94</v>
          </cell>
          <cell r="BQ25">
            <v>22.35</v>
          </cell>
          <cell r="BR25">
            <v>24.13</v>
          </cell>
          <cell r="BU25">
            <v>46.480000000000004</v>
          </cell>
          <cell r="BV25">
            <v>15.88</v>
          </cell>
          <cell r="BW25">
            <v>17.579999999999998</v>
          </cell>
          <cell r="BX25">
            <v>13.91</v>
          </cell>
          <cell r="BZ25">
            <v>47.370000000000005</v>
          </cell>
          <cell r="CA25">
            <v>22.2</v>
          </cell>
          <cell r="CB25">
            <v>22.79</v>
          </cell>
          <cell r="CE25">
            <v>44.989999999999995</v>
          </cell>
          <cell r="CF25">
            <v>27.61</v>
          </cell>
          <cell r="CG25">
            <v>24.06</v>
          </cell>
          <cell r="CJ25">
            <v>51.67</v>
          </cell>
          <cell r="CK25">
            <v>38.86</v>
          </cell>
          <cell r="CL25">
            <v>32.630000000000003</v>
          </cell>
          <cell r="CO25">
            <v>71.490000000000009</v>
          </cell>
          <cell r="CP25">
            <v>35.31</v>
          </cell>
          <cell r="CQ25">
            <v>29.26</v>
          </cell>
          <cell r="CR25">
            <v>47.67</v>
          </cell>
          <cell r="CT25">
            <v>112.24000000000001</v>
          </cell>
          <cell r="CU25">
            <v>42.98</v>
          </cell>
          <cell r="CV25">
            <v>48.61</v>
          </cell>
          <cell r="CY25">
            <v>91.59</v>
          </cell>
          <cell r="CZ25">
            <v>56.14</v>
          </cell>
          <cell r="DA25">
            <v>49.03</v>
          </cell>
          <cell r="DD25">
            <v>105.17</v>
          </cell>
          <cell r="DE25">
            <v>32.979999999999997</v>
          </cell>
          <cell r="DF25">
            <v>31.83</v>
          </cell>
          <cell r="DG25">
            <v>38.700000000000003</v>
          </cell>
          <cell r="DI25">
            <v>103.51</v>
          </cell>
          <cell r="DJ25">
            <v>74.150000000000006</v>
          </cell>
          <cell r="DK25">
            <v>44.78</v>
          </cell>
          <cell r="DN25">
            <v>118.93</v>
          </cell>
          <cell r="DO25">
            <v>81.400000000000006</v>
          </cell>
          <cell r="DS25">
            <v>81.400000000000006</v>
          </cell>
          <cell r="DT25">
            <v>19.440000000000001</v>
          </cell>
          <cell r="DU25">
            <v>76.88</v>
          </cell>
          <cell r="DX25">
            <v>96.32</v>
          </cell>
          <cell r="DY25">
            <v>65.75</v>
          </cell>
          <cell r="EC25">
            <v>65.75</v>
          </cell>
          <cell r="ED25">
            <v>59.36</v>
          </cell>
          <cell r="EE25">
            <v>22.89</v>
          </cell>
          <cell r="EH25">
            <v>82.25</v>
          </cell>
          <cell r="EI25">
            <v>34.39</v>
          </cell>
          <cell r="EJ25">
            <v>40.92</v>
          </cell>
          <cell r="EM25">
            <v>75.31</v>
          </cell>
          <cell r="EN25">
            <v>25.15</v>
          </cell>
          <cell r="EO25">
            <v>24.35</v>
          </cell>
          <cell r="ER25">
            <v>49.5</v>
          </cell>
          <cell r="ES25">
            <v>32.42</v>
          </cell>
          <cell r="ET25">
            <v>34.630000000000003</v>
          </cell>
          <cell r="EW25">
            <v>67.050000000000011</v>
          </cell>
          <cell r="EX25">
            <v>28.11</v>
          </cell>
          <cell r="EY25">
            <v>36.36</v>
          </cell>
          <cell r="FB25">
            <v>64.47</v>
          </cell>
          <cell r="FC25">
            <v>43.97</v>
          </cell>
          <cell r="FD25">
            <v>59.64</v>
          </cell>
          <cell r="FG25">
            <v>103.61</v>
          </cell>
          <cell r="FH25">
            <v>39.450000000000003</v>
          </cell>
          <cell r="FI25">
            <v>53.72</v>
          </cell>
          <cell r="FL25">
            <v>93.17</v>
          </cell>
          <cell r="FM25">
            <v>49.85</v>
          </cell>
          <cell r="FN25">
            <v>41.52</v>
          </cell>
          <cell r="FQ25">
            <v>91.37</v>
          </cell>
          <cell r="FR25">
            <v>44.32</v>
          </cell>
          <cell r="FS25">
            <v>39.83</v>
          </cell>
          <cell r="FV25">
            <v>84.15</v>
          </cell>
          <cell r="FW25">
            <v>37.49</v>
          </cell>
          <cell r="FX25">
            <v>45.84</v>
          </cell>
          <cell r="GA25">
            <v>83.330000000000013</v>
          </cell>
          <cell r="GB25">
            <v>34.6</v>
          </cell>
          <cell r="GC25">
            <v>30.89</v>
          </cell>
          <cell r="GF25">
            <v>65.490000000000009</v>
          </cell>
          <cell r="GG25">
            <v>24.88</v>
          </cell>
          <cell r="GH25">
            <v>23.45</v>
          </cell>
          <cell r="GK25">
            <v>48.33</v>
          </cell>
          <cell r="GL25">
            <v>20.88</v>
          </cell>
          <cell r="GM25">
            <v>13.31</v>
          </cell>
          <cell r="GP25">
            <v>34.19</v>
          </cell>
          <cell r="GQ25">
            <v>12.31</v>
          </cell>
          <cell r="GR25">
            <v>11.32</v>
          </cell>
          <cell r="GU25">
            <v>23.630000000000003</v>
          </cell>
          <cell r="GV25">
            <v>32.729999999999997</v>
          </cell>
          <cell r="GW25">
            <v>22.68</v>
          </cell>
          <cell r="GZ25">
            <v>55.41</v>
          </cell>
          <cell r="HA25">
            <v>20.99</v>
          </cell>
          <cell r="HB25">
            <v>19.54</v>
          </cell>
          <cell r="HE25">
            <v>40.53</v>
          </cell>
          <cell r="HF25">
            <v>30.08</v>
          </cell>
          <cell r="HG25">
            <v>38.6</v>
          </cell>
          <cell r="HJ25">
            <v>68.680000000000007</v>
          </cell>
          <cell r="HK25">
            <v>34.64</v>
          </cell>
          <cell r="HL25">
            <v>33.57</v>
          </cell>
          <cell r="HO25">
            <v>68.210000000000008</v>
          </cell>
          <cell r="HP25">
            <v>40.1</v>
          </cell>
          <cell r="HQ25">
            <v>75.62</v>
          </cell>
          <cell r="HT25">
            <v>115.72</v>
          </cell>
          <cell r="HU25">
            <v>88.25</v>
          </cell>
          <cell r="HY25">
            <v>88.25</v>
          </cell>
          <cell r="HZ25">
            <v>76.39</v>
          </cell>
          <cell r="IA25">
            <v>39.22</v>
          </cell>
          <cell r="ID25">
            <v>115.61</v>
          </cell>
          <cell r="IE25">
            <v>51.38</v>
          </cell>
          <cell r="IF25">
            <v>39.630000000000003</v>
          </cell>
          <cell r="II25">
            <v>91.01</v>
          </cell>
          <cell r="IJ25">
            <v>28.6</v>
          </cell>
          <cell r="IK25">
            <v>27.35</v>
          </cell>
          <cell r="IL25">
            <v>31.71</v>
          </cell>
          <cell r="IN25">
            <v>87.66</v>
          </cell>
          <cell r="IP25">
            <v>837.23</v>
          </cell>
          <cell r="IQ25">
            <v>42.08</v>
          </cell>
          <cell r="IU25">
            <v>42.08</v>
          </cell>
          <cell r="IV25">
            <v>41.72</v>
          </cell>
          <cell r="IW25">
            <v>23.95</v>
          </cell>
          <cell r="IZ25">
            <v>65.67</v>
          </cell>
          <cell r="JA25">
            <v>30.97</v>
          </cell>
          <cell r="JB25">
            <v>31.66</v>
          </cell>
          <cell r="JE25">
            <v>62.629999999999995</v>
          </cell>
          <cell r="JF25">
            <v>59.59</v>
          </cell>
          <cell r="JJ25">
            <v>59.59</v>
          </cell>
          <cell r="JK25">
            <v>30.95</v>
          </cell>
          <cell r="JL25">
            <v>12.7</v>
          </cell>
          <cell r="JM25">
            <v>29.5</v>
          </cell>
          <cell r="JO25">
            <v>73.150000000000006</v>
          </cell>
          <cell r="JP25">
            <v>24.06</v>
          </cell>
          <cell r="JQ25">
            <v>20.55</v>
          </cell>
          <cell r="JR25">
            <v>25.26</v>
          </cell>
          <cell r="JT25">
            <v>69.87</v>
          </cell>
          <cell r="JU25">
            <v>40.61</v>
          </cell>
          <cell r="JV25">
            <v>35.590000000000003</v>
          </cell>
          <cell r="JY25">
            <v>76.2</v>
          </cell>
          <cell r="JZ25">
            <v>41.16</v>
          </cell>
          <cell r="KA25">
            <v>37.65</v>
          </cell>
          <cell r="KD25">
            <v>78.81</v>
          </cell>
          <cell r="KE25">
            <v>37.260000000000005</v>
          </cell>
          <cell r="KF25">
            <v>44.15</v>
          </cell>
          <cell r="KG25">
            <v>0</v>
          </cell>
          <cell r="KH25">
            <v>0</v>
          </cell>
          <cell r="KI25">
            <v>81.41</v>
          </cell>
          <cell r="KJ25">
            <v>38.340000000000003</v>
          </cell>
          <cell r="KK25">
            <v>62.370000000000005</v>
          </cell>
          <cell r="KL25">
            <v>0</v>
          </cell>
          <cell r="KM25">
            <v>0</v>
          </cell>
          <cell r="KN25">
            <v>100.71000000000001</v>
          </cell>
          <cell r="KO25">
            <v>48.72</v>
          </cell>
          <cell r="KP25">
            <v>30.18</v>
          </cell>
          <cell r="KQ25">
            <v>0</v>
          </cell>
          <cell r="KR25">
            <v>0</v>
          </cell>
          <cell r="KS25">
            <v>78.900000000000006</v>
          </cell>
          <cell r="KT25">
            <v>53.38</v>
          </cell>
          <cell r="KU25">
            <v>58.28</v>
          </cell>
          <cell r="KV25">
            <v>0</v>
          </cell>
          <cell r="KW25">
            <v>0</v>
          </cell>
          <cell r="KX25">
            <v>111.66</v>
          </cell>
          <cell r="KZ25">
            <v>900.68</v>
          </cell>
        </row>
        <row r="26">
          <cell r="B26">
            <v>17</v>
          </cell>
          <cell r="C26">
            <v>45.7</v>
          </cell>
          <cell r="D26">
            <v>34.11</v>
          </cell>
          <cell r="E26">
            <v>30.05</v>
          </cell>
          <cell r="H26">
            <v>64.16</v>
          </cell>
          <cell r="I26">
            <v>73.510000000000005</v>
          </cell>
          <cell r="M26">
            <v>73.510000000000005</v>
          </cell>
          <cell r="N26">
            <v>39.54</v>
          </cell>
          <cell r="O26">
            <v>36.97</v>
          </cell>
          <cell r="R26">
            <v>76.509999999999991</v>
          </cell>
          <cell r="S26">
            <v>46.48</v>
          </cell>
          <cell r="T26">
            <v>8.3000000000000007</v>
          </cell>
          <cell r="U26">
            <v>23.39</v>
          </cell>
          <cell r="W26">
            <v>78.17</v>
          </cell>
          <cell r="X26">
            <v>21.41</v>
          </cell>
          <cell r="Y26">
            <v>20.25</v>
          </cell>
          <cell r="Z26">
            <v>4.78</v>
          </cell>
          <cell r="AB26">
            <v>46.44</v>
          </cell>
          <cell r="AC26">
            <v>23.8</v>
          </cell>
          <cell r="AD26">
            <v>26.03</v>
          </cell>
          <cell r="AE26">
            <v>18.46</v>
          </cell>
          <cell r="AG26">
            <v>68.289999999999992</v>
          </cell>
          <cell r="AH26">
            <v>19.75</v>
          </cell>
          <cell r="AI26">
            <v>21.8</v>
          </cell>
          <cell r="AJ26">
            <v>19.38</v>
          </cell>
          <cell r="AL26">
            <v>60.929999999999993</v>
          </cell>
          <cell r="AM26">
            <v>27.51</v>
          </cell>
          <cell r="AN26">
            <v>48.33</v>
          </cell>
          <cell r="AQ26">
            <v>75.84</v>
          </cell>
          <cell r="AR26">
            <v>42.55</v>
          </cell>
          <cell r="AS26">
            <v>56.3</v>
          </cell>
          <cell r="AV26">
            <v>98.85</v>
          </cell>
          <cell r="AW26">
            <v>47.33</v>
          </cell>
          <cell r="AX26">
            <v>62.14</v>
          </cell>
          <cell r="BA26">
            <v>109.47</v>
          </cell>
          <cell r="BB26">
            <v>59.55</v>
          </cell>
          <cell r="BF26">
            <v>59.55</v>
          </cell>
          <cell r="BG26">
            <v>40.1</v>
          </cell>
          <cell r="BH26">
            <v>29.91</v>
          </cell>
          <cell r="BK26">
            <v>70.010000000000005</v>
          </cell>
          <cell r="BL26">
            <v>34.9</v>
          </cell>
          <cell r="BM26">
            <v>24.02</v>
          </cell>
          <cell r="BP26">
            <v>58.92</v>
          </cell>
          <cell r="BQ26">
            <v>21.33</v>
          </cell>
          <cell r="BR26">
            <v>15.22</v>
          </cell>
          <cell r="BU26">
            <v>36.549999999999997</v>
          </cell>
          <cell r="BV26">
            <v>12.84</v>
          </cell>
          <cell r="BW26">
            <v>18.02</v>
          </cell>
          <cell r="BX26">
            <v>13.3</v>
          </cell>
          <cell r="BZ26">
            <v>44.16</v>
          </cell>
          <cell r="CA26">
            <v>20</v>
          </cell>
          <cell r="CB26">
            <v>20.82</v>
          </cell>
          <cell r="CE26">
            <v>40.82</v>
          </cell>
          <cell r="CF26">
            <v>27.26</v>
          </cell>
          <cell r="CG26">
            <v>24.28</v>
          </cell>
          <cell r="CJ26">
            <v>51.540000000000006</v>
          </cell>
          <cell r="CK26">
            <v>30.72</v>
          </cell>
          <cell r="CL26">
            <v>35.159999999999997</v>
          </cell>
          <cell r="CM26">
            <v>8.57</v>
          </cell>
          <cell r="CO26">
            <v>74.449999999999989</v>
          </cell>
          <cell r="CP26">
            <v>21.85</v>
          </cell>
          <cell r="CQ26">
            <v>29.43</v>
          </cell>
          <cell r="CR26">
            <v>50.87</v>
          </cell>
          <cell r="CT26">
            <v>102.15</v>
          </cell>
          <cell r="CU26">
            <v>44.79</v>
          </cell>
          <cell r="CV26">
            <v>34.85</v>
          </cell>
          <cell r="CY26">
            <v>79.64</v>
          </cell>
          <cell r="CZ26">
            <v>49.65</v>
          </cell>
          <cell r="DA26">
            <v>45.26</v>
          </cell>
          <cell r="DB26">
            <v>36.020000000000003</v>
          </cell>
          <cell r="DD26">
            <v>130.93</v>
          </cell>
          <cell r="DE26">
            <v>31.99</v>
          </cell>
          <cell r="DF26">
            <v>46.14</v>
          </cell>
          <cell r="DI26">
            <v>78.13</v>
          </cell>
          <cell r="DJ26">
            <v>52.06</v>
          </cell>
          <cell r="DK26">
            <v>37.090000000000003</v>
          </cell>
          <cell r="DN26">
            <v>89.15</v>
          </cell>
          <cell r="DO26">
            <v>36.229999999999997</v>
          </cell>
          <cell r="DP26">
            <v>23.94</v>
          </cell>
          <cell r="DS26">
            <v>60.17</v>
          </cell>
          <cell r="DT26">
            <v>52.15</v>
          </cell>
          <cell r="DU26">
            <v>31.2</v>
          </cell>
          <cell r="DX26">
            <v>83.35</v>
          </cell>
          <cell r="DY26">
            <v>28.3</v>
          </cell>
          <cell r="DZ26">
            <v>20.07</v>
          </cell>
          <cell r="EC26">
            <v>48.370000000000005</v>
          </cell>
          <cell r="ED26">
            <v>32.46</v>
          </cell>
          <cell r="EH26">
            <v>32.46</v>
          </cell>
          <cell r="EI26">
            <v>21.83</v>
          </cell>
          <cell r="EJ26">
            <v>34.68</v>
          </cell>
          <cell r="EM26">
            <v>56.51</v>
          </cell>
          <cell r="EN26">
            <v>20.18</v>
          </cell>
          <cell r="EO26">
            <v>26.37</v>
          </cell>
          <cell r="ER26">
            <v>46.55</v>
          </cell>
          <cell r="ES26">
            <v>32.07</v>
          </cell>
          <cell r="ET26">
            <v>31.66</v>
          </cell>
          <cell r="EW26">
            <v>63.730000000000004</v>
          </cell>
          <cell r="EX26">
            <v>27.05</v>
          </cell>
          <cell r="EY26">
            <v>36.35</v>
          </cell>
          <cell r="FB26">
            <v>63.400000000000006</v>
          </cell>
          <cell r="FC26">
            <v>30.12</v>
          </cell>
          <cell r="FD26">
            <v>36.28</v>
          </cell>
          <cell r="FG26">
            <v>66.400000000000006</v>
          </cell>
          <cell r="FH26">
            <v>38.65</v>
          </cell>
          <cell r="FI26">
            <v>41.43</v>
          </cell>
          <cell r="FL26">
            <v>80.08</v>
          </cell>
          <cell r="FM26">
            <v>40.409999999999997</v>
          </cell>
          <cell r="FN26">
            <v>39.549999999999997</v>
          </cell>
          <cell r="FQ26">
            <v>79.959999999999994</v>
          </cell>
          <cell r="FR26">
            <v>38.57</v>
          </cell>
          <cell r="FS26">
            <v>39.17</v>
          </cell>
          <cell r="FV26">
            <v>77.740000000000009</v>
          </cell>
          <cell r="FW26">
            <v>37.03</v>
          </cell>
          <cell r="FX26">
            <v>32.01</v>
          </cell>
          <cell r="GA26">
            <v>69.039999999999992</v>
          </cell>
          <cell r="GB26">
            <v>27.48</v>
          </cell>
          <cell r="GC26">
            <v>24.71</v>
          </cell>
          <cell r="GF26">
            <v>52.19</v>
          </cell>
          <cell r="GG26">
            <v>25.52</v>
          </cell>
          <cell r="GH26">
            <v>20.25</v>
          </cell>
          <cell r="GK26">
            <v>45.769999999999996</v>
          </cell>
          <cell r="GL26">
            <v>16</v>
          </cell>
          <cell r="GM26">
            <v>10.55</v>
          </cell>
          <cell r="GP26">
            <v>26.55</v>
          </cell>
          <cell r="GQ26">
            <v>13.09</v>
          </cell>
          <cell r="GR26">
            <v>8.3699999999999992</v>
          </cell>
          <cell r="GU26">
            <v>21.46</v>
          </cell>
          <cell r="GV26">
            <v>22.98</v>
          </cell>
          <cell r="GW26">
            <v>34.08</v>
          </cell>
          <cell r="GZ26">
            <v>57.06</v>
          </cell>
          <cell r="HA26">
            <v>29.02</v>
          </cell>
          <cell r="HB26">
            <v>28</v>
          </cell>
          <cell r="HE26">
            <v>57.019999999999996</v>
          </cell>
          <cell r="HF26">
            <v>27.28</v>
          </cell>
          <cell r="HG26">
            <v>32.26</v>
          </cell>
          <cell r="HJ26">
            <v>59.54</v>
          </cell>
          <cell r="HK26">
            <v>33.229999999999997</v>
          </cell>
          <cell r="HL26">
            <v>29.44</v>
          </cell>
          <cell r="HO26">
            <v>62.67</v>
          </cell>
          <cell r="HP26">
            <v>40.450000000000003</v>
          </cell>
          <cell r="HQ26">
            <v>73.62</v>
          </cell>
          <cell r="HT26">
            <v>114.07000000000001</v>
          </cell>
          <cell r="HU26">
            <v>78.14</v>
          </cell>
          <cell r="HY26">
            <v>78.14</v>
          </cell>
          <cell r="HZ26">
            <v>74.97</v>
          </cell>
          <cell r="IA26">
            <v>45.7</v>
          </cell>
          <cell r="ID26">
            <v>120.67</v>
          </cell>
          <cell r="IE26">
            <v>44.69</v>
          </cell>
          <cell r="IF26">
            <v>30.02</v>
          </cell>
          <cell r="II26">
            <v>74.709999999999994</v>
          </cell>
          <cell r="IJ26">
            <v>28.85</v>
          </cell>
          <cell r="IK26">
            <v>35.46</v>
          </cell>
          <cell r="IL26">
            <v>32.58</v>
          </cell>
          <cell r="IN26">
            <v>96.89</v>
          </cell>
          <cell r="IP26">
            <v>814.55000000000007</v>
          </cell>
          <cell r="IQ26">
            <v>35.18</v>
          </cell>
          <cell r="IU26">
            <v>35.18</v>
          </cell>
          <cell r="IV26">
            <v>44.62</v>
          </cell>
          <cell r="IW26">
            <v>34.03</v>
          </cell>
          <cell r="IZ26">
            <v>78.650000000000006</v>
          </cell>
          <cell r="JA26">
            <v>27.41</v>
          </cell>
          <cell r="JB26">
            <v>28.79</v>
          </cell>
          <cell r="JE26">
            <v>56.2</v>
          </cell>
          <cell r="JF26">
            <v>48.38</v>
          </cell>
          <cell r="JJ26">
            <v>48.38</v>
          </cell>
          <cell r="JK26">
            <v>22.92</v>
          </cell>
          <cell r="JL26">
            <v>16.239999999999998</v>
          </cell>
          <cell r="JM26">
            <v>23.17</v>
          </cell>
          <cell r="JO26">
            <v>62.33</v>
          </cell>
          <cell r="JP26">
            <v>26.71</v>
          </cell>
          <cell r="JQ26">
            <v>25.56</v>
          </cell>
          <cell r="JR26">
            <v>19.57</v>
          </cell>
          <cell r="JT26">
            <v>71.84</v>
          </cell>
          <cell r="JU26">
            <v>46.18</v>
          </cell>
          <cell r="JV26">
            <v>29.4</v>
          </cell>
          <cell r="JY26">
            <v>75.58</v>
          </cell>
          <cell r="JZ26">
            <v>33.549999999999997</v>
          </cell>
          <cell r="KA26">
            <v>34.33</v>
          </cell>
          <cell r="KD26">
            <v>67.88</v>
          </cell>
          <cell r="KE26">
            <v>29.86</v>
          </cell>
          <cell r="KF26">
            <v>34.950000000000003</v>
          </cell>
          <cell r="KG26">
            <v>0</v>
          </cell>
          <cell r="KH26">
            <v>0</v>
          </cell>
          <cell r="KI26">
            <v>64.81</v>
          </cell>
          <cell r="KJ26">
            <v>41.78</v>
          </cell>
          <cell r="KK26">
            <v>48.11</v>
          </cell>
          <cell r="KL26">
            <v>0</v>
          </cell>
          <cell r="KM26">
            <v>0</v>
          </cell>
          <cell r="KN26">
            <v>89.89</v>
          </cell>
          <cell r="KO26">
            <v>48.36</v>
          </cell>
          <cell r="KP26">
            <v>54.98</v>
          </cell>
          <cell r="KQ26">
            <v>0</v>
          </cell>
          <cell r="KR26">
            <v>0</v>
          </cell>
          <cell r="KS26">
            <v>103.34</v>
          </cell>
          <cell r="KT26">
            <v>43.17</v>
          </cell>
          <cell r="KU26">
            <v>0</v>
          </cell>
          <cell r="KV26">
            <v>0</v>
          </cell>
          <cell r="KW26">
            <v>0</v>
          </cell>
          <cell r="KX26">
            <v>43.17</v>
          </cell>
          <cell r="KZ26">
            <v>797.25</v>
          </cell>
        </row>
        <row r="27">
          <cell r="B27">
            <v>18</v>
          </cell>
          <cell r="C27">
            <v>40.799999999999997</v>
          </cell>
          <cell r="D27">
            <v>40.49</v>
          </cell>
          <cell r="E27">
            <v>36.4</v>
          </cell>
          <cell r="H27">
            <v>76.89</v>
          </cell>
          <cell r="M27">
            <v>0</v>
          </cell>
          <cell r="N27">
            <v>64.66</v>
          </cell>
          <cell r="R27">
            <v>64.66</v>
          </cell>
          <cell r="S27">
            <v>33.83</v>
          </cell>
          <cell r="T27">
            <v>30.13</v>
          </cell>
          <cell r="W27">
            <v>63.959999999999994</v>
          </cell>
          <cell r="X27">
            <v>38.04</v>
          </cell>
          <cell r="AB27">
            <v>38.04</v>
          </cell>
          <cell r="AC27">
            <v>37.71</v>
          </cell>
          <cell r="AD27">
            <v>29.85</v>
          </cell>
          <cell r="AG27">
            <v>67.56</v>
          </cell>
          <cell r="AH27">
            <v>41.98</v>
          </cell>
          <cell r="AL27">
            <v>41.98</v>
          </cell>
          <cell r="AM27">
            <v>49.07</v>
          </cell>
          <cell r="AN27">
            <v>46.384999999999998</v>
          </cell>
          <cell r="AQ27">
            <v>95.454999999999998</v>
          </cell>
          <cell r="AR27">
            <v>51.22</v>
          </cell>
          <cell r="AS27">
            <v>15.25</v>
          </cell>
          <cell r="AT27">
            <v>19.22</v>
          </cell>
          <cell r="AV27">
            <v>85.69</v>
          </cell>
          <cell r="AW27">
            <v>37.96</v>
          </cell>
          <cell r="AX27">
            <v>50.97</v>
          </cell>
          <cell r="BA27">
            <v>88.93</v>
          </cell>
          <cell r="BB27">
            <v>46.85</v>
          </cell>
          <cell r="BC27">
            <v>12.32</v>
          </cell>
          <cell r="BF27">
            <v>59.17</v>
          </cell>
          <cell r="BG27">
            <v>31.71</v>
          </cell>
          <cell r="BH27">
            <v>48.47</v>
          </cell>
          <cell r="BK27">
            <v>80.180000000000007</v>
          </cell>
          <cell r="BL27">
            <v>48.13</v>
          </cell>
          <cell r="BM27">
            <v>31.03</v>
          </cell>
          <cell r="BP27">
            <v>79.16</v>
          </cell>
          <cell r="BQ27">
            <v>22.83</v>
          </cell>
          <cell r="BR27">
            <v>19.899999999999999</v>
          </cell>
          <cell r="BS27">
            <v>6.76</v>
          </cell>
          <cell r="BU27">
            <v>49.489999999999995</v>
          </cell>
          <cell r="BV27">
            <v>3.46</v>
          </cell>
          <cell r="BW27">
            <v>12.25</v>
          </cell>
          <cell r="BX27">
            <v>15.06</v>
          </cell>
          <cell r="BZ27">
            <v>30.770000000000003</v>
          </cell>
          <cell r="CA27">
            <v>14.89</v>
          </cell>
          <cell r="CB27">
            <v>15.63</v>
          </cell>
          <cell r="CC27">
            <v>10.63</v>
          </cell>
          <cell r="CE27">
            <v>41.150000000000006</v>
          </cell>
          <cell r="CF27">
            <v>17.2</v>
          </cell>
          <cell r="CG27">
            <v>20.69</v>
          </cell>
          <cell r="CJ27">
            <v>37.89</v>
          </cell>
          <cell r="CK27">
            <v>29.61</v>
          </cell>
          <cell r="CL27">
            <v>31.08</v>
          </cell>
          <cell r="CO27">
            <v>60.69</v>
          </cell>
          <cell r="CP27">
            <v>26</v>
          </cell>
          <cell r="CQ27">
            <v>26.84</v>
          </cell>
          <cell r="CR27">
            <v>29.12</v>
          </cell>
          <cell r="CT27">
            <v>81.960000000000008</v>
          </cell>
          <cell r="CU27">
            <v>47.95</v>
          </cell>
          <cell r="CY27">
            <v>47.95</v>
          </cell>
          <cell r="CZ27">
            <v>65.5</v>
          </cell>
          <cell r="DD27">
            <v>65.5</v>
          </cell>
          <cell r="DE27">
            <v>71.73</v>
          </cell>
          <cell r="DI27">
            <v>71.73</v>
          </cell>
          <cell r="DJ27">
            <v>66.47</v>
          </cell>
          <cell r="DN27">
            <v>66.47</v>
          </cell>
          <cell r="DO27">
            <v>87.02</v>
          </cell>
          <cell r="DS27">
            <v>87.02</v>
          </cell>
          <cell r="DT27">
            <v>67.2</v>
          </cell>
          <cell r="DX27">
            <v>67.2</v>
          </cell>
          <cell r="DY27">
            <v>48.68</v>
          </cell>
          <cell r="DZ27">
            <v>33.08</v>
          </cell>
          <cell r="EC27">
            <v>81.759999999999991</v>
          </cell>
          <cell r="ED27">
            <v>25.67</v>
          </cell>
          <cell r="EE27">
            <v>23.64</v>
          </cell>
          <cell r="EH27">
            <v>49.31</v>
          </cell>
          <cell r="EI27">
            <v>30.29</v>
          </cell>
          <cell r="EM27">
            <v>30.29</v>
          </cell>
          <cell r="EN27">
            <v>30.95</v>
          </cell>
          <cell r="EO27">
            <v>33.42</v>
          </cell>
          <cell r="ER27">
            <v>64.37</v>
          </cell>
          <cell r="ES27">
            <v>23.68</v>
          </cell>
          <cell r="ET27">
            <v>19.48</v>
          </cell>
          <cell r="EW27">
            <v>43.16</v>
          </cell>
          <cell r="EX27">
            <v>32.229999999999997</v>
          </cell>
          <cell r="EY27">
            <v>26.55</v>
          </cell>
          <cell r="FB27">
            <v>58.78</v>
          </cell>
          <cell r="FC27">
            <v>31.28</v>
          </cell>
          <cell r="FD27">
            <v>31.13</v>
          </cell>
          <cell r="FG27">
            <v>62.41</v>
          </cell>
          <cell r="FH27">
            <v>28.93</v>
          </cell>
          <cell r="FI27">
            <v>26.18</v>
          </cell>
          <cell r="FL27">
            <v>55.11</v>
          </cell>
          <cell r="FM27">
            <v>31.79</v>
          </cell>
          <cell r="FN27">
            <v>37.08</v>
          </cell>
          <cell r="FQ27">
            <v>68.87</v>
          </cell>
          <cell r="FR27">
            <v>45.43</v>
          </cell>
          <cell r="FS27">
            <v>36.36</v>
          </cell>
          <cell r="FV27">
            <v>81.789999999999992</v>
          </cell>
          <cell r="FW27">
            <v>47.18</v>
          </cell>
          <cell r="FX27">
            <v>10.97</v>
          </cell>
          <cell r="GA27">
            <v>58.15</v>
          </cell>
          <cell r="GB27">
            <v>22.99</v>
          </cell>
          <cell r="GC27">
            <v>37.25</v>
          </cell>
          <cell r="GF27">
            <v>60.239999999999995</v>
          </cell>
          <cell r="GG27">
            <v>35.35</v>
          </cell>
          <cell r="GH27">
            <v>22.66</v>
          </cell>
          <cell r="GK27">
            <v>58.010000000000005</v>
          </cell>
          <cell r="GL27">
            <v>19.2</v>
          </cell>
          <cell r="GM27">
            <v>19.02</v>
          </cell>
          <cell r="GP27">
            <v>38.22</v>
          </cell>
          <cell r="GQ27">
            <v>14.81</v>
          </cell>
          <cell r="GR27">
            <v>15.68</v>
          </cell>
          <cell r="GU27">
            <v>30.490000000000002</v>
          </cell>
          <cell r="GV27">
            <v>28.36</v>
          </cell>
          <cell r="GW27">
            <v>26.78</v>
          </cell>
          <cell r="GZ27">
            <v>55.14</v>
          </cell>
          <cell r="HA27">
            <v>23.51</v>
          </cell>
          <cell r="HB27">
            <v>22.56</v>
          </cell>
          <cell r="HE27">
            <v>46.07</v>
          </cell>
          <cell r="HF27">
            <v>21.31</v>
          </cell>
          <cell r="HG27">
            <v>19.22</v>
          </cell>
          <cell r="HJ27">
            <v>40.53</v>
          </cell>
          <cell r="HK27">
            <v>23.65</v>
          </cell>
          <cell r="HL27">
            <v>19.25</v>
          </cell>
          <cell r="HM27">
            <v>16.86</v>
          </cell>
          <cell r="HO27">
            <v>59.76</v>
          </cell>
          <cell r="HP27">
            <v>27.26</v>
          </cell>
          <cell r="HQ27">
            <v>36.840000000000003</v>
          </cell>
          <cell r="HT27">
            <v>64.100000000000009</v>
          </cell>
          <cell r="HU27">
            <v>50.79</v>
          </cell>
          <cell r="HV27">
            <v>28.25</v>
          </cell>
          <cell r="HY27">
            <v>79.039999999999992</v>
          </cell>
          <cell r="HZ27">
            <v>38.35</v>
          </cell>
          <cell r="IA27">
            <v>70.31</v>
          </cell>
          <cell r="ID27">
            <v>108.66</v>
          </cell>
          <cell r="IE27">
            <v>47.65</v>
          </cell>
          <cell r="IF27">
            <v>7.08</v>
          </cell>
          <cell r="II27">
            <v>54.73</v>
          </cell>
          <cell r="IJ27">
            <v>45.2</v>
          </cell>
          <cell r="IK27">
            <v>32.75</v>
          </cell>
          <cell r="IL27">
            <v>24.38</v>
          </cell>
          <cell r="IN27">
            <v>102.33</v>
          </cell>
          <cell r="IP27">
            <v>737.08</v>
          </cell>
          <cell r="IQ27">
            <v>54.83</v>
          </cell>
          <cell r="IU27">
            <v>54.83</v>
          </cell>
          <cell r="IV27">
            <v>52.43</v>
          </cell>
          <cell r="IZ27">
            <v>52.43</v>
          </cell>
          <cell r="JA27">
            <v>23.96</v>
          </cell>
          <cell r="JB27">
            <v>21.24</v>
          </cell>
          <cell r="JE27">
            <v>45.2</v>
          </cell>
          <cell r="JF27">
            <v>40.51</v>
          </cell>
          <cell r="JG27">
            <v>25.2</v>
          </cell>
          <cell r="JJ27">
            <v>65.709999999999994</v>
          </cell>
          <cell r="JK27">
            <v>11.83</v>
          </cell>
          <cell r="JL27">
            <v>25.41</v>
          </cell>
          <cell r="JM27">
            <v>23.67</v>
          </cell>
          <cell r="JO27">
            <v>60.910000000000004</v>
          </cell>
          <cell r="JP27">
            <v>32.200000000000003</v>
          </cell>
          <cell r="JQ27">
            <v>20.95</v>
          </cell>
          <cell r="JT27">
            <v>53.150000000000006</v>
          </cell>
          <cell r="JU27">
            <v>24.78</v>
          </cell>
          <cell r="JV27">
            <v>24.36</v>
          </cell>
          <cell r="JW27">
            <v>20.52</v>
          </cell>
          <cell r="JY27">
            <v>69.66</v>
          </cell>
          <cell r="JZ27">
            <v>28.58</v>
          </cell>
          <cell r="KA27">
            <v>35.229999999999997</v>
          </cell>
          <cell r="KD27">
            <v>63.809999999999995</v>
          </cell>
          <cell r="KE27">
            <v>25.82</v>
          </cell>
          <cell r="KF27">
            <v>43.61</v>
          </cell>
          <cell r="KG27">
            <v>0</v>
          </cell>
          <cell r="KH27">
            <v>0</v>
          </cell>
          <cell r="KI27">
            <v>69.430000000000007</v>
          </cell>
          <cell r="KJ27">
            <v>33.340000000000003</v>
          </cell>
          <cell r="KK27">
            <v>44.74</v>
          </cell>
          <cell r="KL27">
            <v>0</v>
          </cell>
          <cell r="KM27">
            <v>0</v>
          </cell>
          <cell r="KN27">
            <v>78.080000000000013</v>
          </cell>
          <cell r="KO27">
            <v>52.94</v>
          </cell>
          <cell r="KP27">
            <v>48.63</v>
          </cell>
          <cell r="KQ27">
            <v>0</v>
          </cell>
          <cell r="KR27">
            <v>0</v>
          </cell>
          <cell r="KS27">
            <v>101.57</v>
          </cell>
          <cell r="KT27">
            <v>45.21</v>
          </cell>
          <cell r="KU27">
            <v>40.72</v>
          </cell>
          <cell r="KV27">
            <v>0</v>
          </cell>
          <cell r="KW27">
            <v>0</v>
          </cell>
          <cell r="KX27">
            <v>85.93</v>
          </cell>
          <cell r="KZ27">
            <v>800.71</v>
          </cell>
        </row>
        <row r="28">
          <cell r="B28">
            <v>19</v>
          </cell>
          <cell r="C28">
            <v>50.62</v>
          </cell>
          <cell r="D28">
            <v>39.82</v>
          </cell>
          <cell r="E28">
            <v>42.11</v>
          </cell>
          <cell r="H28">
            <v>81.93</v>
          </cell>
          <cell r="I28">
            <v>44.96</v>
          </cell>
          <cell r="M28">
            <v>44.96</v>
          </cell>
          <cell r="N28">
            <v>56.07</v>
          </cell>
          <cell r="R28">
            <v>56.07</v>
          </cell>
          <cell r="S28">
            <v>50.03</v>
          </cell>
          <cell r="T28">
            <v>15.32</v>
          </cell>
          <cell r="W28">
            <v>65.349999999999994</v>
          </cell>
          <cell r="X28">
            <v>31.53</v>
          </cell>
          <cell r="Y28">
            <v>37.4</v>
          </cell>
          <cell r="Z28">
            <v>27.47</v>
          </cell>
          <cell r="AB28">
            <v>96.4</v>
          </cell>
          <cell r="AC28">
            <v>26.2</v>
          </cell>
          <cell r="AD28">
            <v>28.01</v>
          </cell>
          <cell r="AG28">
            <v>54.21</v>
          </cell>
          <cell r="AH28">
            <v>38.6</v>
          </cell>
          <cell r="AI28">
            <v>10.99</v>
          </cell>
          <cell r="AJ28">
            <v>30.85</v>
          </cell>
          <cell r="AL28">
            <v>80.44</v>
          </cell>
          <cell r="AM28">
            <v>38.049999999999997</v>
          </cell>
          <cell r="AN28">
            <v>12.17</v>
          </cell>
          <cell r="AO28">
            <v>35.9</v>
          </cell>
          <cell r="AQ28">
            <v>86.12</v>
          </cell>
          <cell r="AR28">
            <v>60.04</v>
          </cell>
          <cell r="AS28">
            <v>35.69</v>
          </cell>
          <cell r="AV28">
            <v>95.72999999999999</v>
          </cell>
          <cell r="AW28">
            <v>70.959999999999994</v>
          </cell>
          <cell r="BA28">
            <v>70.959999999999994</v>
          </cell>
          <cell r="BB28">
            <v>62.18</v>
          </cell>
          <cell r="BF28">
            <v>62.18</v>
          </cell>
          <cell r="BG28">
            <v>59.35</v>
          </cell>
          <cell r="BH28">
            <v>34.58</v>
          </cell>
          <cell r="BK28">
            <v>93.93</v>
          </cell>
          <cell r="BL28">
            <v>31.42</v>
          </cell>
          <cell r="BM28">
            <v>21.02</v>
          </cell>
          <cell r="BN28">
            <v>8.73</v>
          </cell>
          <cell r="BP28">
            <v>61.17</v>
          </cell>
          <cell r="BQ28">
            <v>21.08</v>
          </cell>
          <cell r="BR28">
            <v>17.41</v>
          </cell>
          <cell r="BS28">
            <v>9.61</v>
          </cell>
          <cell r="BU28">
            <v>48.099999999999994</v>
          </cell>
          <cell r="BV28">
            <v>17.399999999999999</v>
          </cell>
          <cell r="BW28">
            <v>17.649999999999999</v>
          </cell>
          <cell r="BZ28">
            <v>35.049999999999997</v>
          </cell>
          <cell r="CA28">
            <v>21.82</v>
          </cell>
          <cell r="CB28">
            <v>22.04</v>
          </cell>
          <cell r="CC28">
            <v>3.44</v>
          </cell>
          <cell r="CE28">
            <v>47.3</v>
          </cell>
          <cell r="CF28">
            <v>16.260000000000002</v>
          </cell>
          <cell r="CG28">
            <v>28.38</v>
          </cell>
          <cell r="CH28">
            <v>23.79</v>
          </cell>
          <cell r="CJ28">
            <v>68.430000000000007</v>
          </cell>
          <cell r="CK28">
            <v>27.92</v>
          </cell>
          <cell r="CL28">
            <v>26.18</v>
          </cell>
          <cell r="CO28">
            <v>54.1</v>
          </cell>
          <cell r="CP28">
            <v>18.850000000000001</v>
          </cell>
          <cell r="CQ28">
            <v>28.53</v>
          </cell>
          <cell r="CR28">
            <v>18.62</v>
          </cell>
          <cell r="CT28">
            <v>66</v>
          </cell>
          <cell r="CU28">
            <v>11.32</v>
          </cell>
          <cell r="CV28">
            <v>36.47</v>
          </cell>
          <cell r="CW28">
            <v>40.380000000000003</v>
          </cell>
          <cell r="CY28">
            <v>88.17</v>
          </cell>
          <cell r="CZ28">
            <v>47.61</v>
          </cell>
          <cell r="DA28">
            <v>41.79</v>
          </cell>
          <cell r="DD28">
            <v>89.4</v>
          </cell>
          <cell r="DE28">
            <v>32.35</v>
          </cell>
          <cell r="DF28">
            <v>29.97</v>
          </cell>
          <cell r="DI28">
            <v>62.32</v>
          </cell>
          <cell r="DJ28">
            <v>59.42</v>
          </cell>
          <cell r="DK28">
            <v>50.5</v>
          </cell>
          <cell r="DN28">
            <v>109.92</v>
          </cell>
          <cell r="DO28">
            <v>37.68</v>
          </cell>
          <cell r="DP28">
            <v>30.31</v>
          </cell>
          <cell r="DS28">
            <v>67.989999999999995</v>
          </cell>
          <cell r="DT28">
            <v>44.95</v>
          </cell>
          <cell r="DU28">
            <v>37.58</v>
          </cell>
          <cell r="DX28">
            <v>82.53</v>
          </cell>
          <cell r="DY28">
            <v>30.76</v>
          </cell>
          <cell r="DZ28">
            <v>23.94</v>
          </cell>
          <cell r="EC28">
            <v>54.7</v>
          </cell>
          <cell r="ED28">
            <v>29.28</v>
          </cell>
          <cell r="EE28">
            <v>28.183</v>
          </cell>
          <cell r="EH28">
            <v>57.463000000000001</v>
          </cell>
          <cell r="EI28">
            <v>42.13</v>
          </cell>
          <cell r="EM28">
            <v>42.13</v>
          </cell>
          <cell r="EN28">
            <v>35.29</v>
          </cell>
          <cell r="EO28">
            <v>23.19</v>
          </cell>
          <cell r="EP28">
            <v>12.31</v>
          </cell>
          <cell r="ER28">
            <v>70.790000000000006</v>
          </cell>
          <cell r="ES28">
            <v>29.74</v>
          </cell>
          <cell r="ET28">
            <v>35.36</v>
          </cell>
          <cell r="EU28">
            <v>28.91</v>
          </cell>
          <cell r="EW28">
            <v>94.009999999999991</v>
          </cell>
          <cell r="EX28">
            <v>40.9</v>
          </cell>
          <cell r="EY28">
            <v>33.54</v>
          </cell>
          <cell r="FB28">
            <v>74.44</v>
          </cell>
          <cell r="FC28">
            <v>50.95</v>
          </cell>
          <cell r="FD28">
            <v>36.9</v>
          </cell>
          <cell r="FG28">
            <v>87.85</v>
          </cell>
          <cell r="FH28">
            <v>39.93</v>
          </cell>
          <cell r="FI28">
            <v>3.43</v>
          </cell>
          <cell r="FL28">
            <v>43.36</v>
          </cell>
          <cell r="FM28">
            <v>38.369999999999997</v>
          </cell>
          <cell r="FN28">
            <v>42.72</v>
          </cell>
          <cell r="FQ28">
            <v>81.09</v>
          </cell>
          <cell r="FR28">
            <v>35.32</v>
          </cell>
          <cell r="FS28">
            <v>40.729999999999997</v>
          </cell>
          <cell r="FV28">
            <v>76.05</v>
          </cell>
          <cell r="FW28">
            <v>36.119999999999997</v>
          </cell>
          <cell r="FX28">
            <v>42.68</v>
          </cell>
          <cell r="GA28">
            <v>78.8</v>
          </cell>
          <cell r="GB28">
            <v>32.35</v>
          </cell>
          <cell r="GC28">
            <v>26.49</v>
          </cell>
          <cell r="GF28">
            <v>58.84</v>
          </cell>
          <cell r="GG28">
            <v>27.52</v>
          </cell>
          <cell r="GH28">
            <v>20.74</v>
          </cell>
          <cell r="GK28">
            <v>48.26</v>
          </cell>
          <cell r="GL28">
            <v>15.06</v>
          </cell>
          <cell r="GM28">
            <v>11</v>
          </cell>
          <cell r="GP28">
            <v>26.060000000000002</v>
          </cell>
          <cell r="GQ28">
            <v>11.64</v>
          </cell>
          <cell r="GR28">
            <v>8.18</v>
          </cell>
          <cell r="GS28">
            <v>7.52</v>
          </cell>
          <cell r="GU28">
            <v>27.34</v>
          </cell>
          <cell r="GV28">
            <v>37.159999999999997</v>
          </cell>
          <cell r="GZ28">
            <v>37.159999999999997</v>
          </cell>
          <cell r="HA28">
            <v>19.32</v>
          </cell>
          <cell r="HB28">
            <v>19.190000000000001</v>
          </cell>
          <cell r="HC28">
            <v>20.010000000000002</v>
          </cell>
          <cell r="HE28">
            <v>58.52000000000001</v>
          </cell>
          <cell r="HF28">
            <v>4.3499999999999996</v>
          </cell>
          <cell r="HG28">
            <v>19.75</v>
          </cell>
          <cell r="HH28">
            <v>27.34</v>
          </cell>
          <cell r="HJ28">
            <v>51.44</v>
          </cell>
          <cell r="HK28">
            <v>25.51</v>
          </cell>
          <cell r="HL28">
            <v>14.72</v>
          </cell>
          <cell r="HO28">
            <v>40.230000000000004</v>
          </cell>
          <cell r="HP28">
            <v>68.5</v>
          </cell>
          <cell r="HT28">
            <v>68.5</v>
          </cell>
          <cell r="HU28">
            <v>87.75</v>
          </cell>
          <cell r="HV28">
            <v>87.18</v>
          </cell>
          <cell r="HY28">
            <v>174.93</v>
          </cell>
          <cell r="HZ28">
            <v>61.76</v>
          </cell>
          <cell r="IA28">
            <v>27.95</v>
          </cell>
          <cell r="ID28">
            <v>89.71</v>
          </cell>
          <cell r="IE28">
            <v>50.74</v>
          </cell>
          <cell r="IF28">
            <v>23.71</v>
          </cell>
          <cell r="II28">
            <v>74.45</v>
          </cell>
          <cell r="IJ28">
            <v>40.1</v>
          </cell>
          <cell r="IK28">
            <v>9.11</v>
          </cell>
          <cell r="IN28">
            <v>49.21</v>
          </cell>
          <cell r="IP28">
            <v>745.81000000000017</v>
          </cell>
          <cell r="IQ28">
            <v>28.74</v>
          </cell>
          <cell r="IR28">
            <v>26.29</v>
          </cell>
          <cell r="IU28">
            <v>55.03</v>
          </cell>
          <cell r="IV28">
            <v>40.56</v>
          </cell>
          <cell r="IW28">
            <v>23.43</v>
          </cell>
          <cell r="IZ28">
            <v>63.99</v>
          </cell>
          <cell r="JA28">
            <v>31.71</v>
          </cell>
          <cell r="JB28">
            <v>8.9600000000000009</v>
          </cell>
          <cell r="JE28">
            <v>40.67</v>
          </cell>
          <cell r="JF28">
            <v>43.32</v>
          </cell>
          <cell r="JG28">
            <v>48.33</v>
          </cell>
          <cell r="JJ28">
            <v>91.65</v>
          </cell>
          <cell r="JK28">
            <v>26.47</v>
          </cell>
          <cell r="JL28">
            <v>17.850000000000001</v>
          </cell>
          <cell r="JM28">
            <v>20.71</v>
          </cell>
          <cell r="JO28">
            <v>65.03</v>
          </cell>
          <cell r="JP28">
            <v>32.54</v>
          </cell>
          <cell r="JQ28">
            <v>20.16</v>
          </cell>
          <cell r="JT28">
            <v>52.7</v>
          </cell>
          <cell r="JU28">
            <v>36.39</v>
          </cell>
          <cell r="JV28">
            <v>36.229999999999997</v>
          </cell>
          <cell r="JW28">
            <v>11.13</v>
          </cell>
          <cell r="JY28">
            <v>83.75</v>
          </cell>
          <cell r="JZ28">
            <v>21.68</v>
          </cell>
          <cell r="KA28">
            <v>38.17</v>
          </cell>
          <cell r="KB28">
            <v>22.24</v>
          </cell>
          <cell r="KD28">
            <v>82.09</v>
          </cell>
          <cell r="KE28">
            <v>45.83</v>
          </cell>
          <cell r="KF28">
            <v>38.379999999999995</v>
          </cell>
          <cell r="KG28">
            <v>0</v>
          </cell>
          <cell r="KH28">
            <v>0</v>
          </cell>
          <cell r="KI28">
            <v>84.21</v>
          </cell>
          <cell r="KJ28">
            <v>48.669999999999995</v>
          </cell>
          <cell r="KK28">
            <v>57.73</v>
          </cell>
          <cell r="KL28">
            <v>0</v>
          </cell>
          <cell r="KM28">
            <v>0</v>
          </cell>
          <cell r="KN28">
            <v>106.39999999999999</v>
          </cell>
          <cell r="KO28">
            <v>50.51</v>
          </cell>
          <cell r="KP28">
            <v>0</v>
          </cell>
          <cell r="KQ28">
            <v>0</v>
          </cell>
          <cell r="KR28">
            <v>0</v>
          </cell>
          <cell r="KS28">
            <v>50.51</v>
          </cell>
          <cell r="KT28">
            <v>56.22</v>
          </cell>
          <cell r="KU28">
            <v>33.75</v>
          </cell>
          <cell r="KV28">
            <v>0</v>
          </cell>
          <cell r="KW28">
            <v>0</v>
          </cell>
          <cell r="KX28">
            <v>89.97</v>
          </cell>
          <cell r="KZ28">
            <v>866</v>
          </cell>
        </row>
        <row r="29">
          <cell r="B29">
            <v>20</v>
          </cell>
          <cell r="C29">
            <v>62.08</v>
          </cell>
          <cell r="D29">
            <v>39.950000000000003</v>
          </cell>
          <cell r="E29">
            <v>51.61</v>
          </cell>
          <cell r="H29">
            <v>91.56</v>
          </cell>
          <cell r="I29">
            <v>50.55</v>
          </cell>
          <cell r="M29">
            <v>50.55</v>
          </cell>
          <cell r="N29">
            <v>45.12</v>
          </cell>
          <cell r="O29">
            <v>27.36</v>
          </cell>
          <cell r="R29">
            <v>72.47999999999999</v>
          </cell>
          <cell r="S29">
            <v>41.54</v>
          </cell>
          <cell r="T29">
            <v>29.27</v>
          </cell>
          <cell r="W29">
            <v>70.81</v>
          </cell>
          <cell r="X29">
            <v>31.53</v>
          </cell>
          <cell r="Y29">
            <v>27.73</v>
          </cell>
          <cell r="Z29">
            <v>20.48</v>
          </cell>
          <cell r="AB29">
            <v>79.740000000000009</v>
          </cell>
          <cell r="AC29">
            <v>40.99</v>
          </cell>
          <cell r="AD29">
            <v>31.33</v>
          </cell>
          <cell r="AG29">
            <v>72.319999999999993</v>
          </cell>
          <cell r="AH29">
            <v>37.68</v>
          </cell>
          <cell r="AI29">
            <v>10.48</v>
          </cell>
          <cell r="AJ29">
            <v>22.11</v>
          </cell>
          <cell r="AL29">
            <v>70.27</v>
          </cell>
          <cell r="AM29">
            <v>54.88</v>
          </cell>
          <cell r="AN29">
            <v>18.64</v>
          </cell>
          <cell r="AO29">
            <v>27.75</v>
          </cell>
          <cell r="AQ29">
            <v>101.27000000000001</v>
          </cell>
          <cell r="AR29">
            <v>53.61</v>
          </cell>
          <cell r="AS29">
            <v>7.31</v>
          </cell>
          <cell r="AV29">
            <v>60.92</v>
          </cell>
          <cell r="AW29">
            <v>38.33</v>
          </cell>
          <cell r="AX29">
            <v>44.86</v>
          </cell>
          <cell r="BA29">
            <v>83.19</v>
          </cell>
          <cell r="BB29">
            <v>70.66</v>
          </cell>
          <cell r="BF29">
            <v>70.66</v>
          </cell>
          <cell r="BG29">
            <v>52.33</v>
          </cell>
          <cell r="BH29">
            <v>36.43</v>
          </cell>
          <cell r="BK29">
            <v>88.759999999999991</v>
          </cell>
          <cell r="BL29">
            <v>33.090000000000003</v>
          </cell>
          <cell r="BM29">
            <v>30.93</v>
          </cell>
          <cell r="BP29">
            <v>64.02000000000001</v>
          </cell>
          <cell r="BQ29">
            <v>20.39</v>
          </cell>
          <cell r="BR29">
            <v>19.920000000000002</v>
          </cell>
          <cell r="BS29">
            <v>11.6</v>
          </cell>
          <cell r="BU29">
            <v>51.910000000000004</v>
          </cell>
          <cell r="BV29">
            <v>16.8</v>
          </cell>
          <cell r="BW29">
            <v>14.41</v>
          </cell>
          <cell r="BZ29">
            <v>31.21</v>
          </cell>
          <cell r="CA29">
            <v>19.329999999999998</v>
          </cell>
          <cell r="CB29">
            <v>20.59</v>
          </cell>
          <cell r="CE29">
            <v>39.92</v>
          </cell>
          <cell r="CF29">
            <v>23.25</v>
          </cell>
          <cell r="CG29">
            <v>27.31</v>
          </cell>
          <cell r="CH29">
            <v>17.79</v>
          </cell>
          <cell r="CJ29">
            <v>68.349999999999994</v>
          </cell>
          <cell r="CK29">
            <v>4.1100000000000003</v>
          </cell>
          <cell r="CL29">
            <v>25.93</v>
          </cell>
          <cell r="CM29">
            <v>22.42</v>
          </cell>
          <cell r="CO29">
            <v>52.46</v>
          </cell>
          <cell r="CP29">
            <v>19.75</v>
          </cell>
          <cell r="CQ29">
            <v>30.35</v>
          </cell>
          <cell r="CT29">
            <v>50.1</v>
          </cell>
          <cell r="CU29">
            <v>41.08</v>
          </cell>
          <cell r="CV29">
            <v>44.4</v>
          </cell>
          <cell r="CW29">
            <v>42.71</v>
          </cell>
          <cell r="CY29">
            <v>128.19</v>
          </cell>
          <cell r="CZ29">
            <v>60.77</v>
          </cell>
          <cell r="DA29">
            <v>38.67</v>
          </cell>
          <cell r="DD29">
            <v>99.44</v>
          </cell>
          <cell r="DE29">
            <v>26.9</v>
          </cell>
          <cell r="DF29">
            <v>42.53</v>
          </cell>
          <cell r="DI29">
            <v>69.430000000000007</v>
          </cell>
          <cell r="DJ29">
            <v>59.84</v>
          </cell>
          <cell r="DK29">
            <v>49.97</v>
          </cell>
          <cell r="DN29">
            <v>109.81</v>
          </cell>
          <cell r="DO29">
            <v>51.31</v>
          </cell>
          <cell r="DP29">
            <v>40.08</v>
          </cell>
          <cell r="DS29">
            <v>91.39</v>
          </cell>
          <cell r="DT29">
            <v>42.86</v>
          </cell>
          <cell r="DU29">
            <v>34.549999999999997</v>
          </cell>
          <cell r="DX29">
            <v>77.41</v>
          </cell>
          <cell r="DY29">
            <v>30.72</v>
          </cell>
          <cell r="DZ29">
            <v>30.75</v>
          </cell>
          <cell r="EC29">
            <v>61.47</v>
          </cell>
          <cell r="ED29">
            <v>33.619999999999997</v>
          </cell>
          <cell r="EE29">
            <v>21.05</v>
          </cell>
          <cell r="EH29">
            <v>54.67</v>
          </cell>
          <cell r="EI29">
            <v>10.34</v>
          </cell>
          <cell r="EJ29">
            <v>42.34</v>
          </cell>
          <cell r="EM29">
            <v>52.680000000000007</v>
          </cell>
          <cell r="EN29">
            <v>37.74</v>
          </cell>
          <cell r="EO29">
            <v>25.94</v>
          </cell>
          <cell r="ER29">
            <v>63.680000000000007</v>
          </cell>
          <cell r="ES29">
            <v>39.39</v>
          </cell>
          <cell r="ET29">
            <v>35.65</v>
          </cell>
          <cell r="EU29">
            <v>33.22</v>
          </cell>
          <cell r="EW29">
            <v>108.25999999999999</v>
          </cell>
          <cell r="EX29">
            <v>40.08</v>
          </cell>
          <cell r="EY29">
            <v>34.1</v>
          </cell>
          <cell r="FB29">
            <v>74.180000000000007</v>
          </cell>
          <cell r="FC29">
            <v>52.25</v>
          </cell>
          <cell r="FD29">
            <v>14.72</v>
          </cell>
          <cell r="FG29">
            <v>66.97</v>
          </cell>
          <cell r="FH29">
            <v>26.92</v>
          </cell>
          <cell r="FI29">
            <v>48.55</v>
          </cell>
          <cell r="FL29">
            <v>75.47</v>
          </cell>
          <cell r="FM29">
            <v>31.99</v>
          </cell>
          <cell r="FN29">
            <v>34.619999999999997</v>
          </cell>
          <cell r="FQ29">
            <v>66.61</v>
          </cell>
          <cell r="FR29">
            <v>43.68</v>
          </cell>
          <cell r="FS29">
            <v>48.8</v>
          </cell>
          <cell r="FV29">
            <v>92.47999999999999</v>
          </cell>
          <cell r="FW29">
            <v>41.4</v>
          </cell>
          <cell r="FX29">
            <v>36.65</v>
          </cell>
          <cell r="GA29">
            <v>78.05</v>
          </cell>
          <cell r="GB29">
            <v>37.89</v>
          </cell>
          <cell r="GC29">
            <v>30.42</v>
          </cell>
          <cell r="GF29">
            <v>68.31</v>
          </cell>
          <cell r="GG29">
            <v>29.16</v>
          </cell>
          <cell r="GH29">
            <v>20.350000000000001</v>
          </cell>
          <cell r="GK29">
            <v>49.510000000000005</v>
          </cell>
          <cell r="GL29">
            <v>14.02</v>
          </cell>
          <cell r="GM29">
            <v>10.06</v>
          </cell>
          <cell r="GP29">
            <v>24.08</v>
          </cell>
          <cell r="GQ29">
            <v>7.04</v>
          </cell>
          <cell r="GR29">
            <v>3.67</v>
          </cell>
          <cell r="GS29">
            <v>5.84</v>
          </cell>
          <cell r="GU29">
            <v>16.55</v>
          </cell>
          <cell r="GV29">
            <v>22.51</v>
          </cell>
          <cell r="GZ29">
            <v>22.51</v>
          </cell>
          <cell r="HA29">
            <v>22.64</v>
          </cell>
          <cell r="HB29">
            <v>23.19</v>
          </cell>
          <cell r="HE29">
            <v>45.83</v>
          </cell>
          <cell r="HF29">
            <v>25.81</v>
          </cell>
          <cell r="HG29">
            <v>22.15</v>
          </cell>
          <cell r="HH29">
            <v>16.850000000000001</v>
          </cell>
          <cell r="HJ29">
            <v>64.81</v>
          </cell>
          <cell r="HK29">
            <v>13.96</v>
          </cell>
          <cell r="HL29">
            <v>33.44</v>
          </cell>
          <cell r="HM29">
            <v>21.88</v>
          </cell>
          <cell r="HO29">
            <v>69.28</v>
          </cell>
          <cell r="HP29">
            <v>70.23</v>
          </cell>
          <cell r="HT29">
            <v>70.23</v>
          </cell>
          <cell r="HU29">
            <v>84.53</v>
          </cell>
          <cell r="HV29">
            <v>84.03</v>
          </cell>
          <cell r="HY29">
            <v>168.56</v>
          </cell>
          <cell r="HZ29">
            <v>77.52000000000001</v>
          </cell>
          <cell r="IA29">
            <v>37.82</v>
          </cell>
          <cell r="ID29">
            <v>115.34</v>
          </cell>
          <cell r="IE29">
            <v>60.64</v>
          </cell>
          <cell r="IF29">
            <v>23.65</v>
          </cell>
          <cell r="II29">
            <v>84.289999999999992</v>
          </cell>
          <cell r="IJ29">
            <v>47.96</v>
          </cell>
          <cell r="IK29">
            <v>21.04</v>
          </cell>
          <cell r="IN29">
            <v>69</v>
          </cell>
          <cell r="IP29">
            <v>799.99000000000012</v>
          </cell>
          <cell r="IQ29">
            <v>30.22</v>
          </cell>
          <cell r="IR29">
            <v>39.9</v>
          </cell>
          <cell r="IU29">
            <v>70.12</v>
          </cell>
          <cell r="IV29">
            <v>44.09</v>
          </cell>
          <cell r="IW29">
            <v>26.75</v>
          </cell>
          <cell r="IZ29">
            <v>70.84</v>
          </cell>
          <cell r="JA29">
            <v>34.53</v>
          </cell>
          <cell r="JE29">
            <v>34.53</v>
          </cell>
          <cell r="JF29">
            <v>69.31</v>
          </cell>
          <cell r="JG29">
            <v>47.24</v>
          </cell>
          <cell r="JJ29">
            <v>116.55000000000001</v>
          </cell>
          <cell r="JK29">
            <v>31.89</v>
          </cell>
          <cell r="JL29">
            <v>29.95</v>
          </cell>
          <cell r="JM29">
            <v>28.37</v>
          </cell>
          <cell r="JO29">
            <v>90.210000000000008</v>
          </cell>
          <cell r="JP29">
            <v>29.8</v>
          </cell>
          <cell r="JQ29">
            <v>21.33</v>
          </cell>
          <cell r="JT29">
            <v>51.129999999999995</v>
          </cell>
          <cell r="JU29">
            <v>39.03</v>
          </cell>
          <cell r="JV29">
            <v>36.28</v>
          </cell>
          <cell r="JY29">
            <v>75.31</v>
          </cell>
          <cell r="JZ29">
            <v>40.53</v>
          </cell>
          <cell r="KA29">
            <v>36.32</v>
          </cell>
          <cell r="KB29">
            <v>24.35</v>
          </cell>
          <cell r="KD29">
            <v>101.19999999999999</v>
          </cell>
          <cell r="KE29">
            <v>51.959999999999994</v>
          </cell>
          <cell r="KF29">
            <v>30.14</v>
          </cell>
          <cell r="KG29">
            <v>0</v>
          </cell>
          <cell r="KH29">
            <v>0</v>
          </cell>
          <cell r="KI29">
            <v>82.1</v>
          </cell>
          <cell r="KJ29">
            <v>62.42</v>
          </cell>
          <cell r="KK29">
            <v>62.42</v>
          </cell>
          <cell r="KL29">
            <v>0</v>
          </cell>
          <cell r="KM29">
            <v>0</v>
          </cell>
          <cell r="KN29">
            <v>124.84</v>
          </cell>
          <cell r="KO29">
            <v>75.11</v>
          </cell>
          <cell r="KP29">
            <v>0</v>
          </cell>
          <cell r="KQ29">
            <v>0</v>
          </cell>
          <cell r="KR29">
            <v>0</v>
          </cell>
          <cell r="KS29">
            <v>75.11</v>
          </cell>
          <cell r="KT29">
            <v>84.19</v>
          </cell>
          <cell r="KU29">
            <v>52.47</v>
          </cell>
          <cell r="KV29">
            <v>0</v>
          </cell>
          <cell r="KW29">
            <v>0</v>
          </cell>
          <cell r="KX29">
            <v>136.66</v>
          </cell>
          <cell r="KZ29">
            <v>1028.6000000000001</v>
          </cell>
        </row>
        <row r="30">
          <cell r="B30">
            <v>21</v>
          </cell>
          <cell r="C30">
            <v>72.2</v>
          </cell>
          <cell r="D30">
            <v>49.51</v>
          </cell>
          <cell r="E30">
            <v>62.4</v>
          </cell>
          <cell r="H30">
            <v>111.91</v>
          </cell>
          <cell r="I30">
            <v>35.94</v>
          </cell>
          <cell r="J30">
            <v>74.459999999999994</v>
          </cell>
          <cell r="M30">
            <v>110.39999999999999</v>
          </cell>
          <cell r="N30">
            <v>79.73</v>
          </cell>
          <cell r="O30">
            <v>21.21</v>
          </cell>
          <cell r="R30">
            <v>100.94</v>
          </cell>
          <cell r="S30">
            <v>35.72</v>
          </cell>
          <cell r="T30">
            <v>73.03</v>
          </cell>
          <cell r="U30">
            <v>5</v>
          </cell>
          <cell r="W30">
            <v>113.75</v>
          </cell>
          <cell r="X30">
            <v>44.79</v>
          </cell>
          <cell r="Y30">
            <v>37.950000000000003</v>
          </cell>
          <cell r="Z30">
            <v>44.6</v>
          </cell>
          <cell r="AB30">
            <v>127.34</v>
          </cell>
          <cell r="AC30">
            <v>47.73</v>
          </cell>
          <cell r="AD30">
            <v>34.75</v>
          </cell>
          <cell r="AG30">
            <v>82.47999999999999</v>
          </cell>
          <cell r="AH30">
            <v>56.96</v>
          </cell>
          <cell r="AI30">
            <v>23.3</v>
          </cell>
          <cell r="AJ30">
            <v>34.33</v>
          </cell>
          <cell r="AL30">
            <v>114.59</v>
          </cell>
          <cell r="AM30">
            <v>46.3</v>
          </cell>
          <cell r="AN30">
            <v>62.99</v>
          </cell>
          <cell r="AQ30">
            <v>109.28999999999999</v>
          </cell>
          <cell r="AR30">
            <v>67.28</v>
          </cell>
          <cell r="AS30">
            <v>81.64</v>
          </cell>
          <cell r="AV30">
            <v>148.92000000000002</v>
          </cell>
          <cell r="AW30">
            <v>74.67</v>
          </cell>
          <cell r="AX30">
            <v>91.68</v>
          </cell>
          <cell r="BA30">
            <v>166.35000000000002</v>
          </cell>
          <cell r="BB30">
            <v>111.31</v>
          </cell>
          <cell r="BF30">
            <v>111.31</v>
          </cell>
          <cell r="BG30">
            <v>74.19</v>
          </cell>
          <cell r="BH30">
            <v>63.08</v>
          </cell>
          <cell r="BK30">
            <v>137.26999999999998</v>
          </cell>
          <cell r="BL30">
            <v>57.17</v>
          </cell>
          <cell r="BM30">
            <v>44.23</v>
          </cell>
          <cell r="BP30">
            <v>101.4</v>
          </cell>
          <cell r="BQ30">
            <v>37.92</v>
          </cell>
          <cell r="BR30">
            <v>17</v>
          </cell>
          <cell r="BS30">
            <v>31.94</v>
          </cell>
          <cell r="BU30">
            <v>86.86</v>
          </cell>
          <cell r="BV30">
            <v>31.82</v>
          </cell>
          <cell r="BW30">
            <v>22.05</v>
          </cell>
          <cell r="BZ30">
            <v>53.870000000000005</v>
          </cell>
          <cell r="CA30">
            <v>36.15</v>
          </cell>
          <cell r="CB30">
            <v>31.82</v>
          </cell>
          <cell r="CE30">
            <v>67.97</v>
          </cell>
          <cell r="CF30">
            <v>39.840000000000003</v>
          </cell>
          <cell r="CG30">
            <v>37.18</v>
          </cell>
          <cell r="CJ30">
            <v>77.02000000000001</v>
          </cell>
          <cell r="CK30">
            <v>46.97</v>
          </cell>
          <cell r="CL30">
            <v>39.28</v>
          </cell>
          <cell r="CM30">
            <v>40.4</v>
          </cell>
          <cell r="CO30">
            <v>126.65</v>
          </cell>
          <cell r="CP30">
            <v>31.58</v>
          </cell>
          <cell r="CQ30">
            <v>47.41</v>
          </cell>
          <cell r="CT30">
            <v>78.989999999999995</v>
          </cell>
          <cell r="CU30">
            <v>50.95</v>
          </cell>
          <cell r="CV30">
            <v>62.95</v>
          </cell>
          <cell r="CW30">
            <v>26.72</v>
          </cell>
          <cell r="CY30">
            <v>140.62</v>
          </cell>
          <cell r="CZ30">
            <v>36.200000000000003</v>
          </cell>
          <cell r="DA30">
            <v>93.42</v>
          </cell>
          <cell r="DB30">
            <v>60.63</v>
          </cell>
          <cell r="DD30">
            <v>190.25</v>
          </cell>
          <cell r="DE30">
            <v>51.93</v>
          </cell>
          <cell r="DF30">
            <v>85.19</v>
          </cell>
          <cell r="DI30">
            <v>137.12</v>
          </cell>
          <cell r="DJ30">
            <v>73.12</v>
          </cell>
          <cell r="DK30">
            <v>88.73</v>
          </cell>
          <cell r="DN30">
            <v>161.85000000000002</v>
          </cell>
          <cell r="DO30">
            <v>81.64</v>
          </cell>
          <cell r="DP30">
            <v>70.709999999999994</v>
          </cell>
          <cell r="DS30">
            <v>152.35</v>
          </cell>
          <cell r="DT30">
            <v>111.87</v>
          </cell>
          <cell r="DU30">
            <v>27.61</v>
          </cell>
          <cell r="DX30">
            <v>139.48000000000002</v>
          </cell>
          <cell r="DY30">
            <v>47.83</v>
          </cell>
          <cell r="DZ30">
            <v>47.09</v>
          </cell>
          <cell r="EC30">
            <v>94.92</v>
          </cell>
          <cell r="ED30">
            <v>60.31</v>
          </cell>
          <cell r="EH30">
            <v>60.31</v>
          </cell>
          <cell r="EI30">
            <v>61.62</v>
          </cell>
          <cell r="EJ30">
            <v>58.21</v>
          </cell>
          <cell r="EM30">
            <v>119.83</v>
          </cell>
          <cell r="EN30">
            <v>50.02</v>
          </cell>
          <cell r="EO30">
            <v>26.37</v>
          </cell>
          <cell r="ER30">
            <v>76.39</v>
          </cell>
          <cell r="ES30">
            <v>47.56</v>
          </cell>
          <cell r="ET30">
            <v>37.479999999999997</v>
          </cell>
          <cell r="EU30">
            <v>7.71</v>
          </cell>
          <cell r="EW30">
            <v>92.749999999999986</v>
          </cell>
          <cell r="EX30">
            <v>31.29</v>
          </cell>
          <cell r="EY30">
            <v>50.69</v>
          </cell>
          <cell r="EZ30">
            <v>2.5</v>
          </cell>
          <cell r="FB30">
            <v>84.47999999999999</v>
          </cell>
          <cell r="FC30">
            <v>54.21</v>
          </cell>
          <cell r="FD30">
            <v>63.44</v>
          </cell>
          <cell r="FG30">
            <v>117.65</v>
          </cell>
          <cell r="FH30">
            <v>72.87</v>
          </cell>
          <cell r="FI30">
            <v>66.86</v>
          </cell>
          <cell r="FL30">
            <v>139.73000000000002</v>
          </cell>
          <cell r="FM30">
            <v>64.69</v>
          </cell>
          <cell r="FN30">
            <v>73.290000000000006</v>
          </cell>
          <cell r="FQ30">
            <v>137.98000000000002</v>
          </cell>
          <cell r="FR30">
            <v>69.89</v>
          </cell>
          <cell r="FS30">
            <v>73.180000000000007</v>
          </cell>
          <cell r="FV30">
            <v>143.07</v>
          </cell>
          <cell r="FW30">
            <v>73.08</v>
          </cell>
          <cell r="FX30">
            <v>74.989999999999995</v>
          </cell>
          <cell r="GA30">
            <v>148.07</v>
          </cell>
          <cell r="GB30">
            <v>60.25</v>
          </cell>
          <cell r="GC30">
            <v>48.41</v>
          </cell>
          <cell r="GF30">
            <v>108.66</v>
          </cell>
          <cell r="GG30">
            <v>47.8</v>
          </cell>
          <cell r="GH30">
            <v>38.65</v>
          </cell>
          <cell r="GK30">
            <v>86.449999999999989</v>
          </cell>
          <cell r="GL30">
            <v>30.27</v>
          </cell>
          <cell r="GM30">
            <v>20.51</v>
          </cell>
          <cell r="GP30">
            <v>50.78</v>
          </cell>
          <cell r="GQ30">
            <v>24.16</v>
          </cell>
          <cell r="GR30">
            <v>21.92</v>
          </cell>
          <cell r="GU30">
            <v>46.08</v>
          </cell>
          <cell r="GV30">
            <v>20.9</v>
          </cell>
          <cell r="GW30">
            <v>49.48</v>
          </cell>
          <cell r="GZ30">
            <v>70.38</v>
          </cell>
          <cell r="HA30">
            <v>39.369999999999997</v>
          </cell>
          <cell r="HB30">
            <v>29.69</v>
          </cell>
          <cell r="HC30">
            <v>8.5399999999999991</v>
          </cell>
          <cell r="HE30">
            <v>77.599999999999994</v>
          </cell>
          <cell r="HF30">
            <v>53.6</v>
          </cell>
          <cell r="HG30">
            <v>51.84</v>
          </cell>
          <cell r="HJ30">
            <v>105.44</v>
          </cell>
          <cell r="HK30">
            <v>62.45</v>
          </cell>
          <cell r="HL30">
            <v>61.58</v>
          </cell>
          <cell r="HM30">
            <v>36.35</v>
          </cell>
          <cell r="HO30">
            <v>160.38</v>
          </cell>
          <cell r="HP30">
            <v>10</v>
          </cell>
          <cell r="HQ30">
            <v>105.14</v>
          </cell>
          <cell r="HT30">
            <v>115.14</v>
          </cell>
          <cell r="HU30">
            <v>122.07</v>
          </cell>
          <cell r="HV30">
            <v>20.48</v>
          </cell>
          <cell r="HY30">
            <v>142.54999999999998</v>
          </cell>
          <cell r="HZ30">
            <v>108.95</v>
          </cell>
          <cell r="IA30">
            <v>82.15</v>
          </cell>
          <cell r="IB30">
            <v>8.81</v>
          </cell>
          <cell r="ID30">
            <v>199.91000000000003</v>
          </cell>
          <cell r="IE30">
            <v>55.88</v>
          </cell>
          <cell r="IF30">
            <v>61.53</v>
          </cell>
          <cell r="IG30">
            <v>36.82</v>
          </cell>
          <cell r="II30">
            <v>154.22999999999999</v>
          </cell>
          <cell r="IJ30">
            <v>46.57</v>
          </cell>
          <cell r="IK30">
            <v>49.48</v>
          </cell>
          <cell r="IN30">
            <v>96.05</v>
          </cell>
          <cell r="IP30">
            <v>1304.9899999999998</v>
          </cell>
          <cell r="IQ30">
            <v>40.67</v>
          </cell>
          <cell r="IR30">
            <v>54.79</v>
          </cell>
          <cell r="IU30">
            <v>95.460000000000008</v>
          </cell>
          <cell r="IV30">
            <v>54.6</v>
          </cell>
          <cell r="IW30">
            <v>4.84</v>
          </cell>
          <cell r="IZ30">
            <v>59.44</v>
          </cell>
          <cell r="JA30">
            <v>34.99</v>
          </cell>
          <cell r="JB30">
            <v>48.74</v>
          </cell>
          <cell r="JE30">
            <v>83.73</v>
          </cell>
          <cell r="JF30">
            <v>109.54</v>
          </cell>
          <cell r="JG30">
            <v>50.39</v>
          </cell>
          <cell r="JJ30">
            <v>159.93</v>
          </cell>
          <cell r="JK30">
            <v>43.19</v>
          </cell>
          <cell r="JL30">
            <v>32.5</v>
          </cell>
          <cell r="JM30">
            <v>36.5</v>
          </cell>
          <cell r="JO30">
            <v>112.19</v>
          </cell>
          <cell r="JP30">
            <v>38.979999999999997</v>
          </cell>
          <cell r="JQ30">
            <v>30.59</v>
          </cell>
          <cell r="JT30">
            <v>69.569999999999993</v>
          </cell>
          <cell r="JU30">
            <v>48.52</v>
          </cell>
          <cell r="JV30">
            <v>47.16</v>
          </cell>
          <cell r="JY30">
            <v>95.68</v>
          </cell>
          <cell r="JZ30">
            <v>52.89</v>
          </cell>
          <cell r="KA30">
            <v>46.99</v>
          </cell>
          <cell r="KB30">
            <v>11.29</v>
          </cell>
          <cell r="KD30">
            <v>111.16999999999999</v>
          </cell>
          <cell r="KE30">
            <v>30.470000000000002</v>
          </cell>
          <cell r="KF30">
            <v>68.490000000000009</v>
          </cell>
          <cell r="KG30">
            <v>47</v>
          </cell>
          <cell r="KH30">
            <v>0</v>
          </cell>
          <cell r="KI30">
            <v>145.96</v>
          </cell>
          <cell r="KJ30">
            <v>87.73</v>
          </cell>
          <cell r="KK30">
            <v>17.68</v>
          </cell>
          <cell r="KL30">
            <v>0</v>
          </cell>
          <cell r="KM30">
            <v>0</v>
          </cell>
          <cell r="KN30">
            <v>105.41</v>
          </cell>
          <cell r="KO30">
            <v>69.41</v>
          </cell>
          <cell r="KP30">
            <v>94.26</v>
          </cell>
          <cell r="KQ30">
            <v>0</v>
          </cell>
          <cell r="KR30">
            <v>0</v>
          </cell>
          <cell r="KS30">
            <v>163.67000000000002</v>
          </cell>
          <cell r="KT30">
            <v>101.30000000000001</v>
          </cell>
          <cell r="KU30">
            <v>20.9</v>
          </cell>
          <cell r="KV30">
            <v>0</v>
          </cell>
          <cell r="KW30">
            <v>0</v>
          </cell>
          <cell r="KX30">
            <v>122.20000000000002</v>
          </cell>
          <cell r="KZ30">
            <v>1324.41</v>
          </cell>
        </row>
        <row r="31">
          <cell r="B31">
            <v>22</v>
          </cell>
          <cell r="C31">
            <v>52.3</v>
          </cell>
          <cell r="D31">
            <v>33.94</v>
          </cell>
          <cell r="H31">
            <v>33.94</v>
          </cell>
          <cell r="I31">
            <v>50.89</v>
          </cell>
          <cell r="J31">
            <v>47.71</v>
          </cell>
          <cell r="M31">
            <v>98.6</v>
          </cell>
          <cell r="N31">
            <v>44.1</v>
          </cell>
          <cell r="R31">
            <v>44.1</v>
          </cell>
          <cell r="S31">
            <v>19.18</v>
          </cell>
          <cell r="T31">
            <v>27.01</v>
          </cell>
          <cell r="U31">
            <v>25.01</v>
          </cell>
          <cell r="W31">
            <v>71.2</v>
          </cell>
          <cell r="X31">
            <v>27.18</v>
          </cell>
          <cell r="Y31">
            <v>33.49</v>
          </cell>
          <cell r="Z31">
            <v>10.7</v>
          </cell>
          <cell r="AB31">
            <v>71.37</v>
          </cell>
          <cell r="AC31">
            <v>52.9</v>
          </cell>
          <cell r="AD31">
            <v>16.34</v>
          </cell>
          <cell r="AG31">
            <v>69.239999999999995</v>
          </cell>
          <cell r="AH31">
            <v>34.200000000000003</v>
          </cell>
          <cell r="AI31">
            <v>18.579999999999998</v>
          </cell>
          <cell r="AJ31">
            <v>29.48</v>
          </cell>
          <cell r="AL31">
            <v>82.26</v>
          </cell>
          <cell r="AM31">
            <v>37.39</v>
          </cell>
          <cell r="AN31">
            <v>47.69</v>
          </cell>
          <cell r="AQ31">
            <v>85.08</v>
          </cell>
          <cell r="AR31">
            <v>40.369999999999997</v>
          </cell>
          <cell r="AS31">
            <v>53.82</v>
          </cell>
          <cell r="AV31">
            <v>94.19</v>
          </cell>
          <cell r="AW31">
            <v>46.04</v>
          </cell>
          <cell r="AX31">
            <v>62.26</v>
          </cell>
          <cell r="BA31">
            <v>108.3</v>
          </cell>
          <cell r="BB31">
            <v>75.95</v>
          </cell>
          <cell r="BF31">
            <v>75.95</v>
          </cell>
          <cell r="BG31">
            <v>58.63</v>
          </cell>
          <cell r="BH31">
            <v>37.229999999999997</v>
          </cell>
          <cell r="BK31">
            <v>95.86</v>
          </cell>
          <cell r="BL31">
            <v>41.96</v>
          </cell>
          <cell r="BM31">
            <v>29.03</v>
          </cell>
          <cell r="BP31">
            <v>70.990000000000009</v>
          </cell>
          <cell r="BQ31">
            <v>23.02</v>
          </cell>
          <cell r="BR31">
            <v>21.28</v>
          </cell>
          <cell r="BS31">
            <v>11.01</v>
          </cell>
          <cell r="BU31">
            <v>55.309999999999995</v>
          </cell>
          <cell r="BV31">
            <v>24.58</v>
          </cell>
          <cell r="BW31">
            <v>15.7</v>
          </cell>
          <cell r="BZ31">
            <v>40.28</v>
          </cell>
          <cell r="CA31">
            <v>20.43</v>
          </cell>
          <cell r="CB31">
            <v>17.09</v>
          </cell>
          <cell r="CE31">
            <v>37.519999999999996</v>
          </cell>
          <cell r="CF31">
            <v>26.56</v>
          </cell>
          <cell r="CG31">
            <v>23.63</v>
          </cell>
          <cell r="CJ31">
            <v>50.19</v>
          </cell>
          <cell r="CK31">
            <v>29.68</v>
          </cell>
          <cell r="CL31">
            <v>28.21</v>
          </cell>
          <cell r="CM31">
            <v>20.52</v>
          </cell>
          <cell r="CO31">
            <v>78.41</v>
          </cell>
          <cell r="CP31">
            <v>24.21</v>
          </cell>
          <cell r="CQ31">
            <v>33.119999999999997</v>
          </cell>
          <cell r="CT31">
            <v>57.33</v>
          </cell>
          <cell r="CU31">
            <v>37.06</v>
          </cell>
          <cell r="CV31">
            <v>40.770000000000003</v>
          </cell>
          <cell r="CY31">
            <v>77.830000000000013</v>
          </cell>
          <cell r="CZ31">
            <v>52.6</v>
          </cell>
          <cell r="DA31">
            <v>52.46</v>
          </cell>
          <cell r="DB31">
            <v>32.71</v>
          </cell>
          <cell r="DD31">
            <v>137.77000000000001</v>
          </cell>
          <cell r="DE31">
            <v>30.39</v>
          </cell>
          <cell r="DF31">
            <v>57.26</v>
          </cell>
          <cell r="DI31">
            <v>87.65</v>
          </cell>
          <cell r="DJ31">
            <v>53.17</v>
          </cell>
          <cell r="DK31">
            <v>50.42</v>
          </cell>
          <cell r="DN31">
            <v>103.59</v>
          </cell>
          <cell r="DO31">
            <v>51.02</v>
          </cell>
          <cell r="DP31">
            <v>32.869999999999997</v>
          </cell>
          <cell r="DS31">
            <v>83.89</v>
          </cell>
          <cell r="DT31">
            <v>50.97</v>
          </cell>
          <cell r="DU31">
            <v>40.840000000000003</v>
          </cell>
          <cell r="DX31">
            <v>91.81</v>
          </cell>
          <cell r="DY31">
            <v>36.94</v>
          </cell>
          <cell r="DZ31">
            <v>26.85</v>
          </cell>
          <cell r="EC31">
            <v>63.79</v>
          </cell>
          <cell r="ED31">
            <v>38.15</v>
          </cell>
          <cell r="EH31">
            <v>38.15</v>
          </cell>
          <cell r="EI31">
            <v>30.2</v>
          </cell>
          <cell r="EJ31">
            <v>33.78</v>
          </cell>
          <cell r="EM31">
            <v>63.980000000000004</v>
          </cell>
          <cell r="EN31">
            <v>22.65</v>
          </cell>
          <cell r="EO31">
            <v>22.29</v>
          </cell>
          <cell r="ER31">
            <v>44.94</v>
          </cell>
          <cell r="ES31">
            <v>29.54</v>
          </cell>
          <cell r="ET31">
            <v>26.22</v>
          </cell>
          <cell r="EW31">
            <v>55.76</v>
          </cell>
          <cell r="EX31">
            <v>22.99</v>
          </cell>
          <cell r="EY31">
            <v>39.01</v>
          </cell>
          <cell r="FB31">
            <v>62</v>
          </cell>
          <cell r="FC31">
            <v>35.57</v>
          </cell>
          <cell r="FD31">
            <v>47.87</v>
          </cell>
          <cell r="FG31">
            <v>83.44</v>
          </cell>
          <cell r="FH31">
            <v>47.65</v>
          </cell>
          <cell r="FI31">
            <v>43.47</v>
          </cell>
          <cell r="FL31">
            <v>91.12</v>
          </cell>
          <cell r="FM31">
            <v>44.24</v>
          </cell>
          <cell r="FN31">
            <v>45.46</v>
          </cell>
          <cell r="FQ31">
            <v>89.7</v>
          </cell>
          <cell r="FR31">
            <v>49.43</v>
          </cell>
          <cell r="FS31">
            <v>50.9</v>
          </cell>
          <cell r="FV31">
            <v>100.33</v>
          </cell>
          <cell r="FW31">
            <v>49.04</v>
          </cell>
          <cell r="FX31">
            <v>47.02</v>
          </cell>
          <cell r="GA31">
            <v>96.06</v>
          </cell>
          <cell r="GB31">
            <v>39.03</v>
          </cell>
          <cell r="GC31">
            <v>31.71</v>
          </cell>
          <cell r="GF31">
            <v>70.740000000000009</v>
          </cell>
          <cell r="GG31">
            <v>33.450000000000003</v>
          </cell>
          <cell r="GH31">
            <v>25.22</v>
          </cell>
          <cell r="GK31">
            <v>58.67</v>
          </cell>
          <cell r="GL31">
            <v>20.78</v>
          </cell>
          <cell r="GM31">
            <v>15.28</v>
          </cell>
          <cell r="GP31">
            <v>36.06</v>
          </cell>
          <cell r="GQ31">
            <v>16.43</v>
          </cell>
          <cell r="GR31">
            <v>10.62</v>
          </cell>
          <cell r="GU31">
            <v>27.049999999999997</v>
          </cell>
          <cell r="GV31">
            <v>16.18</v>
          </cell>
          <cell r="GW31">
            <v>27.63</v>
          </cell>
          <cell r="GZ31">
            <v>43.81</v>
          </cell>
          <cell r="HA31">
            <v>16.559999999999999</v>
          </cell>
          <cell r="HB31">
            <v>22.03</v>
          </cell>
          <cell r="HE31">
            <v>38.590000000000003</v>
          </cell>
          <cell r="HF31">
            <v>28.5</v>
          </cell>
          <cell r="HG31">
            <v>30.42</v>
          </cell>
          <cell r="HJ31">
            <v>58.92</v>
          </cell>
          <cell r="HK31">
            <v>40.74</v>
          </cell>
          <cell r="HL31">
            <v>28.13</v>
          </cell>
          <cell r="HO31">
            <v>68.87</v>
          </cell>
          <cell r="HP31">
            <v>32.130000000000003</v>
          </cell>
          <cell r="HQ31">
            <v>68.430000000000007</v>
          </cell>
          <cell r="HT31">
            <v>100.56</v>
          </cell>
          <cell r="HU31">
            <v>75.260000000000005</v>
          </cell>
          <cell r="HY31">
            <v>75.260000000000005</v>
          </cell>
          <cell r="HZ31">
            <v>83.04</v>
          </cell>
          <cell r="IA31">
            <v>50.38</v>
          </cell>
          <cell r="ID31">
            <v>133.42000000000002</v>
          </cell>
          <cell r="IE31">
            <v>40.15</v>
          </cell>
          <cell r="IF31">
            <v>35.04</v>
          </cell>
          <cell r="IG31">
            <v>18.22</v>
          </cell>
          <cell r="II31">
            <v>93.41</v>
          </cell>
          <cell r="IJ31">
            <v>7.25</v>
          </cell>
          <cell r="IK31">
            <v>29.27</v>
          </cell>
          <cell r="IL31">
            <v>31.16</v>
          </cell>
          <cell r="IN31">
            <v>67.679999999999993</v>
          </cell>
          <cell r="IP31">
            <v>802.3</v>
          </cell>
          <cell r="IQ31">
            <v>30.8</v>
          </cell>
          <cell r="IU31">
            <v>30.8</v>
          </cell>
          <cell r="IV31">
            <v>45.27</v>
          </cell>
          <cell r="IW31">
            <v>29.23</v>
          </cell>
          <cell r="IZ31">
            <v>74.5</v>
          </cell>
          <cell r="JA31">
            <v>24.74</v>
          </cell>
          <cell r="JB31">
            <v>30.52</v>
          </cell>
          <cell r="JE31">
            <v>55.26</v>
          </cell>
          <cell r="JF31">
            <v>55.47</v>
          </cell>
          <cell r="JG31">
            <v>22.66</v>
          </cell>
          <cell r="JJ31">
            <v>78.13</v>
          </cell>
          <cell r="JK31">
            <v>16.579999999999998</v>
          </cell>
          <cell r="JL31">
            <v>23.98</v>
          </cell>
          <cell r="JO31">
            <v>40.56</v>
          </cell>
          <cell r="JP31">
            <v>42.1</v>
          </cell>
          <cell r="JQ31">
            <v>3.71</v>
          </cell>
          <cell r="JR31">
            <v>19.190000000000001</v>
          </cell>
          <cell r="JT31">
            <v>65</v>
          </cell>
          <cell r="JU31">
            <v>33.6</v>
          </cell>
          <cell r="JV31">
            <v>32.76</v>
          </cell>
          <cell r="JY31">
            <v>66.36</v>
          </cell>
          <cell r="JZ31">
            <v>36.17</v>
          </cell>
          <cell r="KA31">
            <v>30.43</v>
          </cell>
          <cell r="KD31">
            <v>66.599999999999994</v>
          </cell>
          <cell r="KE31">
            <v>32.760000000000005</v>
          </cell>
          <cell r="KF31">
            <v>46.08</v>
          </cell>
          <cell r="KG31">
            <v>18.97</v>
          </cell>
          <cell r="KH31">
            <v>0</v>
          </cell>
          <cell r="KI31">
            <v>97.81</v>
          </cell>
          <cell r="KJ31">
            <v>20.939999999999998</v>
          </cell>
          <cell r="KK31">
            <v>63.26</v>
          </cell>
          <cell r="KL31">
            <v>0</v>
          </cell>
          <cell r="KM31">
            <v>0</v>
          </cell>
          <cell r="KN31">
            <v>84.199999999999989</v>
          </cell>
          <cell r="KO31">
            <v>55.65</v>
          </cell>
          <cell r="KP31">
            <v>66.52</v>
          </cell>
          <cell r="KQ31">
            <v>0</v>
          </cell>
          <cell r="KR31">
            <v>0</v>
          </cell>
          <cell r="KS31">
            <v>122.16999999999999</v>
          </cell>
          <cell r="KT31">
            <v>64.45</v>
          </cell>
          <cell r="KU31">
            <v>0</v>
          </cell>
          <cell r="KV31">
            <v>0</v>
          </cell>
          <cell r="KW31">
            <v>0</v>
          </cell>
          <cell r="KX31">
            <v>64.45</v>
          </cell>
          <cell r="KZ31">
            <v>845.84</v>
          </cell>
        </row>
        <row r="32">
          <cell r="B32">
            <v>24</v>
          </cell>
          <cell r="C32">
            <v>44.7</v>
          </cell>
          <cell r="D32">
            <v>49.85</v>
          </cell>
          <cell r="H32">
            <v>49.85</v>
          </cell>
          <cell r="M32">
            <v>0</v>
          </cell>
          <cell r="N32">
            <v>47</v>
          </cell>
          <cell r="R32">
            <v>47</v>
          </cell>
          <cell r="S32">
            <v>28.85</v>
          </cell>
          <cell r="W32">
            <v>28.85</v>
          </cell>
          <cell r="X32">
            <v>45.93</v>
          </cell>
          <cell r="AB32">
            <v>45.93</v>
          </cell>
          <cell r="AC32">
            <v>56.21</v>
          </cell>
          <cell r="AD32">
            <v>32.08</v>
          </cell>
          <cell r="AG32">
            <v>88.289999999999992</v>
          </cell>
          <cell r="AH32">
            <v>23.57</v>
          </cell>
          <cell r="AL32">
            <v>23.57</v>
          </cell>
          <cell r="AM32">
            <v>32.57</v>
          </cell>
          <cell r="AN32">
            <v>34.67</v>
          </cell>
          <cell r="AQ32">
            <v>67.240000000000009</v>
          </cell>
          <cell r="AR32">
            <v>43.82</v>
          </cell>
          <cell r="AV32">
            <v>43.82</v>
          </cell>
          <cell r="AW32">
            <v>29.95</v>
          </cell>
          <cell r="AX32">
            <v>40</v>
          </cell>
          <cell r="BA32">
            <v>69.95</v>
          </cell>
          <cell r="BB32">
            <v>55.42</v>
          </cell>
          <cell r="BF32">
            <v>55.42</v>
          </cell>
          <cell r="BG32">
            <v>77.97</v>
          </cell>
          <cell r="BK32">
            <v>77.97</v>
          </cell>
          <cell r="BL32">
            <v>71.94</v>
          </cell>
          <cell r="BP32">
            <v>71.94</v>
          </cell>
          <cell r="BQ32">
            <v>43.839999999999996</v>
          </cell>
          <cell r="BR32">
            <v>18.04</v>
          </cell>
          <cell r="BU32">
            <v>61.879999999999995</v>
          </cell>
          <cell r="BV32">
            <v>4.7699999999999996</v>
          </cell>
          <cell r="BW32">
            <v>10.75</v>
          </cell>
          <cell r="BZ32">
            <v>15.52</v>
          </cell>
          <cell r="CA32">
            <v>10.76</v>
          </cell>
          <cell r="CB32">
            <v>15.23</v>
          </cell>
          <cell r="CE32">
            <v>25.990000000000002</v>
          </cell>
          <cell r="CF32">
            <v>21.56</v>
          </cell>
          <cell r="CG32">
            <v>20.79</v>
          </cell>
          <cell r="CJ32">
            <v>42.349999999999994</v>
          </cell>
          <cell r="CK32">
            <v>21.63</v>
          </cell>
          <cell r="CL32">
            <v>13.39</v>
          </cell>
          <cell r="CO32">
            <v>35.019999999999996</v>
          </cell>
          <cell r="CP32">
            <v>20.55</v>
          </cell>
          <cell r="CQ32">
            <v>12.14</v>
          </cell>
          <cell r="CT32">
            <v>32.69</v>
          </cell>
          <cell r="CU32">
            <v>20.309999999999999</v>
          </cell>
          <cell r="CV32">
            <v>17.55</v>
          </cell>
          <cell r="CY32">
            <v>37.86</v>
          </cell>
          <cell r="CZ32">
            <v>30.49</v>
          </cell>
          <cell r="DA32">
            <v>41.28</v>
          </cell>
          <cell r="DD32">
            <v>71.77</v>
          </cell>
          <cell r="DE32">
            <v>46.45</v>
          </cell>
          <cell r="DF32">
            <v>28.63</v>
          </cell>
          <cell r="DI32">
            <v>75.08</v>
          </cell>
          <cell r="DJ32">
            <v>23.69</v>
          </cell>
          <cell r="DK32">
            <v>58.59</v>
          </cell>
          <cell r="DN32">
            <v>82.28</v>
          </cell>
          <cell r="DO32">
            <v>59.83</v>
          </cell>
          <cell r="DS32">
            <v>59.83</v>
          </cell>
          <cell r="DT32">
            <v>46.12</v>
          </cell>
          <cell r="DX32">
            <v>46.12</v>
          </cell>
          <cell r="DY32">
            <v>34.53</v>
          </cell>
          <cell r="DZ32">
            <v>15.22</v>
          </cell>
          <cell r="EC32">
            <v>49.75</v>
          </cell>
          <cell r="ED32">
            <v>9.9499999999999993</v>
          </cell>
          <cell r="EE32">
            <v>24.55</v>
          </cell>
          <cell r="EH32">
            <v>34.5</v>
          </cell>
          <cell r="EI32">
            <v>29.77</v>
          </cell>
          <cell r="EM32">
            <v>29.77</v>
          </cell>
          <cell r="EN32">
            <v>29.76</v>
          </cell>
          <cell r="ER32">
            <v>29.76</v>
          </cell>
          <cell r="ES32">
            <v>12.15</v>
          </cell>
          <cell r="ET32">
            <v>29.13</v>
          </cell>
          <cell r="EU32">
            <v>5.83</v>
          </cell>
          <cell r="EW32">
            <v>47.11</v>
          </cell>
          <cell r="EX32">
            <v>28.01</v>
          </cell>
          <cell r="EY32">
            <v>27.38</v>
          </cell>
          <cell r="FB32">
            <v>55.39</v>
          </cell>
          <cell r="FC32">
            <v>25.04</v>
          </cell>
          <cell r="FD32">
            <v>28</v>
          </cell>
          <cell r="FG32">
            <v>53.04</v>
          </cell>
          <cell r="FH32">
            <v>24.2</v>
          </cell>
          <cell r="FI32">
            <v>31.73</v>
          </cell>
          <cell r="FL32">
            <v>55.93</v>
          </cell>
          <cell r="FM32">
            <v>33.94</v>
          </cell>
          <cell r="FN32">
            <v>34.69</v>
          </cell>
          <cell r="FQ32">
            <v>68.63</v>
          </cell>
          <cell r="FR32">
            <v>44.36</v>
          </cell>
          <cell r="FS32">
            <v>43.1</v>
          </cell>
          <cell r="FV32">
            <v>87.460000000000008</v>
          </cell>
          <cell r="FW32">
            <v>46.4</v>
          </cell>
          <cell r="FX32">
            <v>34.619999999999997</v>
          </cell>
          <cell r="GA32">
            <v>81.02</v>
          </cell>
          <cell r="GB32">
            <v>61.3</v>
          </cell>
          <cell r="GF32">
            <v>61.3</v>
          </cell>
          <cell r="GG32">
            <v>40.47</v>
          </cell>
          <cell r="GH32">
            <v>11.98</v>
          </cell>
          <cell r="GK32">
            <v>52.45</v>
          </cell>
          <cell r="GL32">
            <v>10.65</v>
          </cell>
          <cell r="GM32">
            <v>11.75</v>
          </cell>
          <cell r="GP32">
            <v>22.4</v>
          </cell>
          <cell r="GQ32">
            <v>7.11</v>
          </cell>
          <cell r="GR32">
            <v>4.0199999999999996</v>
          </cell>
          <cell r="GS32">
            <v>2.67</v>
          </cell>
          <cell r="GU32">
            <v>13.799999999999999</v>
          </cell>
          <cell r="GV32">
            <v>14.27</v>
          </cell>
          <cell r="GW32">
            <v>2.87</v>
          </cell>
          <cell r="GZ32">
            <v>17.14</v>
          </cell>
          <cell r="HA32">
            <v>40.590000000000003</v>
          </cell>
          <cell r="HB32">
            <v>24.53</v>
          </cell>
          <cell r="HE32">
            <v>65.12</v>
          </cell>
          <cell r="HF32">
            <v>16.11</v>
          </cell>
          <cell r="HG32">
            <v>19.62</v>
          </cell>
          <cell r="HH32">
            <v>27.34</v>
          </cell>
          <cell r="HJ32">
            <v>63.070000000000007</v>
          </cell>
          <cell r="HK32">
            <v>45.15</v>
          </cell>
          <cell r="HL32">
            <v>11.87</v>
          </cell>
          <cell r="HO32">
            <v>57.019999999999996</v>
          </cell>
          <cell r="HP32">
            <v>23.98</v>
          </cell>
          <cell r="HQ32">
            <v>73.34</v>
          </cell>
          <cell r="HT32">
            <v>97.320000000000007</v>
          </cell>
          <cell r="HU32">
            <v>87.79</v>
          </cell>
          <cell r="HY32">
            <v>87.79</v>
          </cell>
          <cell r="HZ32">
            <v>86.78</v>
          </cell>
          <cell r="IA32">
            <v>44.96</v>
          </cell>
          <cell r="ID32">
            <v>131.74</v>
          </cell>
          <cell r="IE32">
            <v>77.47</v>
          </cell>
          <cell r="IF32">
            <v>22.06</v>
          </cell>
          <cell r="II32">
            <v>99.53</v>
          </cell>
          <cell r="IJ32">
            <v>29.61</v>
          </cell>
          <cell r="IK32">
            <v>57.95</v>
          </cell>
          <cell r="IN32">
            <v>87.56</v>
          </cell>
          <cell r="IP32">
            <v>794.94</v>
          </cell>
          <cell r="IQ32">
            <v>53.53</v>
          </cell>
          <cell r="IU32">
            <v>53.53</v>
          </cell>
          <cell r="IV32">
            <v>53.72</v>
          </cell>
          <cell r="IW32">
            <v>6.63</v>
          </cell>
          <cell r="IZ32">
            <v>60.35</v>
          </cell>
          <cell r="JA32">
            <v>38.17</v>
          </cell>
          <cell r="JB32">
            <v>10.39</v>
          </cell>
          <cell r="JE32">
            <v>48.56</v>
          </cell>
          <cell r="JF32">
            <v>53.56</v>
          </cell>
          <cell r="JG32">
            <v>38.85</v>
          </cell>
          <cell r="JJ32">
            <v>92.41</v>
          </cell>
          <cell r="JK32">
            <v>3.97</v>
          </cell>
          <cell r="JL32">
            <v>28.66</v>
          </cell>
          <cell r="JO32">
            <v>32.630000000000003</v>
          </cell>
          <cell r="JP32">
            <v>45.17</v>
          </cell>
          <cell r="JQ32">
            <v>19.14</v>
          </cell>
          <cell r="JT32">
            <v>64.31</v>
          </cell>
          <cell r="JU32">
            <v>21.82</v>
          </cell>
          <cell r="JV32">
            <v>23.58</v>
          </cell>
          <cell r="JW32">
            <v>3.94</v>
          </cell>
          <cell r="JY32">
            <v>49.339999999999996</v>
          </cell>
          <cell r="JZ32">
            <v>36.090000000000003</v>
          </cell>
          <cell r="KA32">
            <v>38.69</v>
          </cell>
          <cell r="KB32">
            <v>3.01</v>
          </cell>
          <cell r="KD32">
            <v>77.790000000000006</v>
          </cell>
          <cell r="KE32">
            <v>19.45</v>
          </cell>
          <cell r="KF32">
            <v>51.440000000000005</v>
          </cell>
          <cell r="KG32">
            <v>0</v>
          </cell>
          <cell r="KH32">
            <v>0</v>
          </cell>
          <cell r="KI32">
            <v>70.89</v>
          </cell>
          <cell r="KJ32">
            <v>52.29</v>
          </cell>
          <cell r="KK32">
            <v>60.83</v>
          </cell>
          <cell r="KL32">
            <v>0</v>
          </cell>
          <cell r="KM32">
            <v>0</v>
          </cell>
          <cell r="KN32">
            <v>113.12</v>
          </cell>
          <cell r="KO32">
            <v>45.06</v>
          </cell>
          <cell r="KP32">
            <v>49.58</v>
          </cell>
          <cell r="KQ32">
            <v>0</v>
          </cell>
          <cell r="KR32">
            <v>0</v>
          </cell>
          <cell r="KS32">
            <v>94.64</v>
          </cell>
          <cell r="KT32">
            <v>49.910000000000004</v>
          </cell>
          <cell r="KU32">
            <v>0</v>
          </cell>
          <cell r="KV32">
            <v>0</v>
          </cell>
          <cell r="KW32">
            <v>0</v>
          </cell>
          <cell r="KX32">
            <v>49.910000000000004</v>
          </cell>
          <cell r="KZ32">
            <v>807.48</v>
          </cell>
        </row>
        <row r="33">
          <cell r="B33">
            <v>38</v>
          </cell>
          <cell r="H33">
            <v>0</v>
          </cell>
          <cell r="M33">
            <v>0</v>
          </cell>
          <cell r="R33">
            <v>0</v>
          </cell>
          <cell r="W33">
            <v>0</v>
          </cell>
          <cell r="X33">
            <v>0</v>
          </cell>
          <cell r="AB33">
            <v>0</v>
          </cell>
          <cell r="AG33">
            <v>0</v>
          </cell>
          <cell r="AL33">
            <v>0</v>
          </cell>
          <cell r="AQ33">
            <v>0</v>
          </cell>
          <cell r="AV33">
            <v>0</v>
          </cell>
          <cell r="BA33">
            <v>0</v>
          </cell>
          <cell r="BF33">
            <v>0</v>
          </cell>
          <cell r="BK33">
            <v>0</v>
          </cell>
          <cell r="BP33">
            <v>0</v>
          </cell>
          <cell r="BU33">
            <v>0</v>
          </cell>
          <cell r="BZ33">
            <v>0</v>
          </cell>
          <cell r="CE33">
            <v>0</v>
          </cell>
          <cell r="CJ33">
            <v>0</v>
          </cell>
          <cell r="CO33">
            <v>0</v>
          </cell>
          <cell r="IP33">
            <v>0</v>
          </cell>
          <cell r="KD33">
            <v>0</v>
          </cell>
          <cell r="KE33" t="str">
            <v/>
          </cell>
          <cell r="KF33" t="str">
            <v/>
          </cell>
          <cell r="KG33" t="str">
            <v/>
          </cell>
          <cell r="KH33" t="str">
            <v/>
          </cell>
          <cell r="KI33">
            <v>0</v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>
            <v>0</v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>
            <v>0</v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>
            <v>0</v>
          </cell>
          <cell r="KZ33">
            <v>0</v>
          </cell>
        </row>
        <row r="34">
          <cell r="B34" t="str">
            <v>PHASE 4,5,6</v>
          </cell>
          <cell r="H34">
            <v>0</v>
          </cell>
          <cell r="M34">
            <v>0</v>
          </cell>
          <cell r="R34">
            <v>0</v>
          </cell>
          <cell r="W34">
            <v>0</v>
          </cell>
          <cell r="AB34">
            <v>0</v>
          </cell>
          <cell r="AG34">
            <v>0</v>
          </cell>
          <cell r="AL34">
            <v>0</v>
          </cell>
          <cell r="AQ34">
            <v>0</v>
          </cell>
          <cell r="AV34">
            <v>0</v>
          </cell>
          <cell r="BA34">
            <v>0</v>
          </cell>
          <cell r="BF34">
            <v>0</v>
          </cell>
          <cell r="BK34">
            <v>0</v>
          </cell>
          <cell r="BP34">
            <v>0</v>
          </cell>
          <cell r="BU34">
            <v>0</v>
          </cell>
          <cell r="BZ34">
            <v>0</v>
          </cell>
          <cell r="CE34">
            <v>0</v>
          </cell>
          <cell r="CJ34">
            <v>0</v>
          </cell>
          <cell r="CO34">
            <v>0</v>
          </cell>
          <cell r="IP34">
            <v>0</v>
          </cell>
          <cell r="KD34">
            <v>0</v>
          </cell>
          <cell r="KE34" t="str">
            <v/>
          </cell>
          <cell r="KF34" t="str">
            <v/>
          </cell>
          <cell r="KG34" t="str">
            <v/>
          </cell>
          <cell r="KH34" t="str">
            <v/>
          </cell>
          <cell r="KI34">
            <v>0</v>
          </cell>
          <cell r="KJ34" t="str">
            <v/>
          </cell>
          <cell r="KK34" t="str">
            <v/>
          </cell>
          <cell r="KL34" t="str">
            <v/>
          </cell>
          <cell r="KM34" t="str">
            <v/>
          </cell>
          <cell r="KN34">
            <v>0</v>
          </cell>
          <cell r="KO34" t="str">
            <v/>
          </cell>
          <cell r="KP34" t="str">
            <v/>
          </cell>
          <cell r="KQ34" t="str">
            <v/>
          </cell>
          <cell r="KR34" t="str">
            <v/>
          </cell>
          <cell r="KS34">
            <v>0</v>
          </cell>
          <cell r="KT34" t="str">
            <v/>
          </cell>
          <cell r="KU34" t="str">
            <v/>
          </cell>
          <cell r="KV34" t="str">
            <v/>
          </cell>
          <cell r="KW34" t="str">
            <v/>
          </cell>
          <cell r="KX34">
            <v>0</v>
          </cell>
          <cell r="KZ34">
            <v>0</v>
          </cell>
        </row>
        <row r="35">
          <cell r="B35">
            <v>32</v>
          </cell>
          <cell r="D35">
            <v>8.92</v>
          </cell>
          <cell r="E35">
            <v>3</v>
          </cell>
          <cell r="H35">
            <v>11.92</v>
          </cell>
          <cell r="I35">
            <v>5.83</v>
          </cell>
          <cell r="J35">
            <v>7.36</v>
          </cell>
          <cell r="M35">
            <v>13.190000000000001</v>
          </cell>
          <cell r="O35">
            <v>2.33</v>
          </cell>
          <cell r="R35">
            <v>2.33</v>
          </cell>
          <cell r="S35">
            <v>7.39</v>
          </cell>
          <cell r="T35">
            <v>9.77</v>
          </cell>
          <cell r="W35">
            <v>17.16</v>
          </cell>
          <cell r="X35">
            <v>7.56</v>
          </cell>
          <cell r="Y35">
            <v>7.42</v>
          </cell>
          <cell r="AB35">
            <v>14.98</v>
          </cell>
          <cell r="AC35">
            <v>12.7</v>
          </cell>
          <cell r="AD35">
            <v>6.91</v>
          </cell>
          <cell r="AG35">
            <v>19.61</v>
          </cell>
          <cell r="AH35">
            <v>13.41</v>
          </cell>
          <cell r="AI35">
            <v>6.8</v>
          </cell>
          <cell r="AL35">
            <v>20.21</v>
          </cell>
          <cell r="AM35">
            <v>5.74</v>
          </cell>
          <cell r="AN35">
            <v>3.76</v>
          </cell>
          <cell r="AO35">
            <v>2.73</v>
          </cell>
          <cell r="AQ35">
            <v>12.23</v>
          </cell>
          <cell r="AV35">
            <v>0</v>
          </cell>
          <cell r="BA35">
            <v>0</v>
          </cell>
          <cell r="BF35">
            <v>0</v>
          </cell>
          <cell r="BK35">
            <v>0</v>
          </cell>
          <cell r="BP35">
            <v>0</v>
          </cell>
          <cell r="BU35">
            <v>0</v>
          </cell>
          <cell r="BZ35">
            <v>0</v>
          </cell>
          <cell r="CE35">
            <v>0</v>
          </cell>
          <cell r="CJ35">
            <v>0</v>
          </cell>
          <cell r="CO35">
            <v>0</v>
          </cell>
          <cell r="IP35">
            <v>0</v>
          </cell>
          <cell r="KD35">
            <v>0</v>
          </cell>
          <cell r="KE35" t="str">
            <v/>
          </cell>
          <cell r="KF35" t="str">
            <v/>
          </cell>
          <cell r="KG35" t="str">
            <v/>
          </cell>
          <cell r="KH35" t="str">
            <v/>
          </cell>
          <cell r="KI35">
            <v>0</v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>
            <v>0</v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>
            <v>0</v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>
            <v>0</v>
          </cell>
          <cell r="KZ35">
            <v>0</v>
          </cell>
        </row>
        <row r="36">
          <cell r="BK36">
            <v>0</v>
          </cell>
          <cell r="BP36">
            <v>0</v>
          </cell>
          <cell r="BU36">
            <v>0</v>
          </cell>
          <cell r="BZ36">
            <v>0</v>
          </cell>
          <cell r="CE36">
            <v>0</v>
          </cell>
          <cell r="CJ36">
            <v>0</v>
          </cell>
          <cell r="CO36">
            <v>0</v>
          </cell>
          <cell r="IP36">
            <v>0</v>
          </cell>
          <cell r="KD36">
            <v>0</v>
          </cell>
          <cell r="KE36" t="str">
            <v/>
          </cell>
          <cell r="KF36" t="str">
            <v/>
          </cell>
          <cell r="KG36" t="str">
            <v/>
          </cell>
          <cell r="KH36" t="str">
            <v/>
          </cell>
          <cell r="KI36">
            <v>0</v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>
            <v>0</v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>
            <v>0</v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>
            <v>0</v>
          </cell>
          <cell r="KZ36">
            <v>0</v>
          </cell>
        </row>
        <row r="37">
          <cell r="B37">
            <v>105</v>
          </cell>
          <cell r="C37">
            <v>50</v>
          </cell>
          <cell r="D37">
            <v>3.78</v>
          </cell>
          <cell r="H37">
            <v>3.78</v>
          </cell>
          <cell r="I37">
            <v>3.76</v>
          </cell>
          <cell r="M37">
            <v>3.76</v>
          </cell>
          <cell r="R37">
            <v>0</v>
          </cell>
          <cell r="S37">
            <v>8.2100000000000009</v>
          </cell>
          <cell r="T37">
            <v>2.0499999999999998</v>
          </cell>
          <cell r="W37">
            <v>10.260000000000002</v>
          </cell>
          <cell r="X37">
            <v>3.61</v>
          </cell>
          <cell r="Y37">
            <v>2.2999999999999998</v>
          </cell>
          <cell r="AB37">
            <v>5.91</v>
          </cell>
          <cell r="AC37">
            <v>4.21</v>
          </cell>
          <cell r="AD37">
            <v>5.2</v>
          </cell>
          <cell r="AG37">
            <v>9.41</v>
          </cell>
          <cell r="AH37">
            <v>7.56</v>
          </cell>
          <cell r="AI37">
            <v>3.86</v>
          </cell>
          <cell r="AL37">
            <v>11.42</v>
          </cell>
          <cell r="AM37">
            <v>5.88</v>
          </cell>
          <cell r="AQ37">
            <v>5.88</v>
          </cell>
          <cell r="AR37">
            <v>5.88</v>
          </cell>
          <cell r="AS37">
            <v>4.7</v>
          </cell>
          <cell r="AV37">
            <v>10.58</v>
          </cell>
          <cell r="AW37">
            <v>4.13</v>
          </cell>
          <cell r="AX37">
            <v>3.83</v>
          </cell>
          <cell r="BA37">
            <v>7.96</v>
          </cell>
          <cell r="BB37">
            <v>4.49</v>
          </cell>
          <cell r="BC37">
            <v>6.15</v>
          </cell>
          <cell r="BF37">
            <v>10.64</v>
          </cell>
          <cell r="BK37">
            <v>0</v>
          </cell>
          <cell r="BP37">
            <v>0</v>
          </cell>
          <cell r="BU37">
            <v>0</v>
          </cell>
          <cell r="BZ37">
            <v>0</v>
          </cell>
          <cell r="CE37">
            <v>0</v>
          </cell>
          <cell r="CJ37">
            <v>0</v>
          </cell>
          <cell r="CO37">
            <v>0</v>
          </cell>
          <cell r="CY37">
            <v>0</v>
          </cell>
          <cell r="DD37">
            <v>0</v>
          </cell>
          <cell r="DE37">
            <v>3.05</v>
          </cell>
          <cell r="DI37">
            <v>3.05</v>
          </cell>
          <cell r="DN37">
            <v>0</v>
          </cell>
          <cell r="DS37">
            <v>0</v>
          </cell>
          <cell r="DX37">
            <v>0</v>
          </cell>
          <cell r="EC37">
            <v>0</v>
          </cell>
          <cell r="EH37">
            <v>0</v>
          </cell>
          <cell r="EM37">
            <v>0</v>
          </cell>
          <cell r="ER37">
            <v>0</v>
          </cell>
          <cell r="EW37">
            <v>0</v>
          </cell>
          <cell r="FB37">
            <v>0</v>
          </cell>
          <cell r="FG37">
            <v>0</v>
          </cell>
          <cell r="FL37">
            <v>0</v>
          </cell>
          <cell r="FQ37">
            <v>0</v>
          </cell>
          <cell r="FV37">
            <v>0</v>
          </cell>
          <cell r="GA37">
            <v>0</v>
          </cell>
          <cell r="GF37">
            <v>0</v>
          </cell>
          <cell r="GK37">
            <v>0</v>
          </cell>
          <cell r="GP37">
            <v>0</v>
          </cell>
          <cell r="GQ37">
            <v>0.15</v>
          </cell>
          <cell r="GU37">
            <v>0.15</v>
          </cell>
          <cell r="GZ37">
            <v>0</v>
          </cell>
          <cell r="HE37">
            <v>0</v>
          </cell>
          <cell r="HJ37">
            <v>0</v>
          </cell>
          <cell r="HO37">
            <v>0</v>
          </cell>
          <cell r="HT37">
            <v>0</v>
          </cell>
          <cell r="HY37">
            <v>0</v>
          </cell>
          <cell r="ID37">
            <v>0</v>
          </cell>
          <cell r="II37">
            <v>0</v>
          </cell>
          <cell r="IN37">
            <v>0</v>
          </cell>
          <cell r="IP37">
            <v>0.15</v>
          </cell>
          <cell r="IU37">
            <v>0</v>
          </cell>
          <cell r="IZ37">
            <v>0</v>
          </cell>
          <cell r="JE37">
            <v>0</v>
          </cell>
          <cell r="JJ37">
            <v>0</v>
          </cell>
          <cell r="JO37">
            <v>0</v>
          </cell>
          <cell r="JT37">
            <v>0</v>
          </cell>
          <cell r="JY37">
            <v>0</v>
          </cell>
          <cell r="KD37">
            <v>0</v>
          </cell>
          <cell r="KE37" t="str">
            <v/>
          </cell>
          <cell r="KF37" t="str">
            <v/>
          </cell>
          <cell r="KG37" t="str">
            <v/>
          </cell>
          <cell r="KH37" t="str">
            <v/>
          </cell>
          <cell r="KI37">
            <v>0</v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>
            <v>0</v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>
            <v>0</v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>
            <v>0</v>
          </cell>
          <cell r="KZ37">
            <v>0</v>
          </cell>
        </row>
        <row r="38">
          <cell r="B38">
            <v>114</v>
          </cell>
          <cell r="C38">
            <v>46</v>
          </cell>
          <cell r="GK38">
            <v>0</v>
          </cell>
          <cell r="GP38">
            <v>0</v>
          </cell>
          <cell r="GQ38">
            <v>0.15</v>
          </cell>
          <cell r="GU38">
            <v>0.15</v>
          </cell>
          <cell r="GZ38">
            <v>0</v>
          </cell>
          <cell r="HE38">
            <v>0</v>
          </cell>
          <cell r="HJ38">
            <v>0</v>
          </cell>
          <cell r="HO38">
            <v>0</v>
          </cell>
          <cell r="HT38">
            <v>0</v>
          </cell>
          <cell r="HY38">
            <v>0</v>
          </cell>
          <cell r="ID38">
            <v>0</v>
          </cell>
          <cell r="II38">
            <v>0</v>
          </cell>
          <cell r="IN38">
            <v>0</v>
          </cell>
          <cell r="IP38">
            <v>0.15</v>
          </cell>
          <cell r="IU38">
            <v>0</v>
          </cell>
          <cell r="IZ38">
            <v>0</v>
          </cell>
          <cell r="JE38">
            <v>0</v>
          </cell>
          <cell r="JJ38">
            <v>0</v>
          </cell>
          <cell r="JO38">
            <v>0</v>
          </cell>
          <cell r="JT38">
            <v>0</v>
          </cell>
          <cell r="JY38">
            <v>0</v>
          </cell>
          <cell r="KD38">
            <v>0</v>
          </cell>
          <cell r="KE38" t="str">
            <v/>
          </cell>
          <cell r="KF38" t="str">
            <v/>
          </cell>
          <cell r="KG38" t="str">
            <v/>
          </cell>
          <cell r="KH38" t="str">
            <v/>
          </cell>
          <cell r="KI38">
            <v>0</v>
          </cell>
          <cell r="KJ38" t="str">
            <v/>
          </cell>
          <cell r="KK38" t="str">
            <v/>
          </cell>
          <cell r="KL38" t="str">
            <v/>
          </cell>
          <cell r="KM38" t="str">
            <v/>
          </cell>
          <cell r="KN38">
            <v>0</v>
          </cell>
          <cell r="KO38" t="str">
            <v/>
          </cell>
          <cell r="KP38" t="str">
            <v/>
          </cell>
          <cell r="KQ38" t="str">
            <v/>
          </cell>
          <cell r="KR38" t="str">
            <v/>
          </cell>
          <cell r="KS38">
            <v>0</v>
          </cell>
          <cell r="KT38" t="str">
            <v/>
          </cell>
          <cell r="KU38" t="str">
            <v/>
          </cell>
          <cell r="KV38" t="str">
            <v/>
          </cell>
          <cell r="KW38" t="str">
            <v/>
          </cell>
          <cell r="KX38">
            <v>0</v>
          </cell>
          <cell r="KZ38">
            <v>0</v>
          </cell>
        </row>
        <row r="39">
          <cell r="B39">
            <v>25</v>
          </cell>
          <cell r="C39">
            <v>38.22</v>
          </cell>
          <cell r="BK39">
            <v>0</v>
          </cell>
          <cell r="BP39">
            <v>0</v>
          </cell>
          <cell r="BU39">
            <v>0</v>
          </cell>
          <cell r="BZ39">
            <v>0</v>
          </cell>
          <cell r="CE39">
            <v>0</v>
          </cell>
          <cell r="CJ39">
            <v>0</v>
          </cell>
          <cell r="CO39">
            <v>0</v>
          </cell>
          <cell r="CT39">
            <v>0</v>
          </cell>
          <cell r="CY39">
            <v>0</v>
          </cell>
          <cell r="CZ39">
            <v>0.28999999999999998</v>
          </cell>
          <cell r="DD39">
            <v>0.28999999999999998</v>
          </cell>
          <cell r="DE39">
            <v>0.69</v>
          </cell>
          <cell r="DI39">
            <v>0.69</v>
          </cell>
          <cell r="DJ39">
            <v>0.4</v>
          </cell>
          <cell r="DN39">
            <v>0.4</v>
          </cell>
          <cell r="DO39">
            <v>0.71</v>
          </cell>
          <cell r="DS39">
            <v>0.71</v>
          </cell>
          <cell r="DT39">
            <v>0.99</v>
          </cell>
          <cell r="DX39">
            <v>0.99</v>
          </cell>
          <cell r="DY39">
            <v>0.61</v>
          </cell>
          <cell r="DZ39">
            <v>0.81</v>
          </cell>
          <cell r="EC39">
            <v>1.42</v>
          </cell>
          <cell r="ED39">
            <v>0.37</v>
          </cell>
          <cell r="EH39">
            <v>0.37</v>
          </cell>
          <cell r="EI39">
            <v>0.36</v>
          </cell>
          <cell r="EM39">
            <v>0.36</v>
          </cell>
          <cell r="EN39">
            <v>1.26</v>
          </cell>
          <cell r="ER39">
            <v>1.26</v>
          </cell>
          <cell r="ES39">
            <v>1.83</v>
          </cell>
          <cell r="ET39">
            <v>0.93</v>
          </cell>
          <cell r="EW39">
            <v>2.7600000000000002</v>
          </cell>
          <cell r="EX39">
            <v>0.92</v>
          </cell>
          <cell r="FB39">
            <v>0.92</v>
          </cell>
          <cell r="FC39">
            <v>1.19</v>
          </cell>
          <cell r="FG39">
            <v>1.19</v>
          </cell>
          <cell r="FH39">
            <v>0.89</v>
          </cell>
          <cell r="FI39">
            <v>1.27</v>
          </cell>
          <cell r="FL39">
            <v>2.16</v>
          </cell>
          <cell r="FM39">
            <v>0.71</v>
          </cell>
          <cell r="FQ39">
            <v>0.71</v>
          </cell>
          <cell r="FR39">
            <v>0.62</v>
          </cell>
          <cell r="FS39">
            <v>0.78</v>
          </cell>
          <cell r="FV39">
            <v>1.4</v>
          </cell>
          <cell r="FW39">
            <v>0.5</v>
          </cell>
          <cell r="FX39">
            <v>1.07</v>
          </cell>
          <cell r="GA39">
            <v>1.57</v>
          </cell>
          <cell r="GB39">
            <v>0.52</v>
          </cell>
          <cell r="GC39">
            <v>0.51</v>
          </cell>
          <cell r="GF39">
            <v>1.03</v>
          </cell>
          <cell r="GG39">
            <v>0.37</v>
          </cell>
          <cell r="GH39">
            <v>0.65</v>
          </cell>
          <cell r="GK39">
            <v>1.02</v>
          </cell>
          <cell r="GL39">
            <v>0.48</v>
          </cell>
          <cell r="GM39">
            <v>0.54</v>
          </cell>
          <cell r="GP39">
            <v>1.02</v>
          </cell>
          <cell r="GQ39">
            <v>0.94</v>
          </cell>
          <cell r="GR39">
            <v>1.34</v>
          </cell>
          <cell r="GU39">
            <v>2.2800000000000002</v>
          </cell>
          <cell r="GV39">
            <v>1.66</v>
          </cell>
          <cell r="GW39">
            <v>1.77</v>
          </cell>
          <cell r="GZ39">
            <v>3.4299999999999997</v>
          </cell>
          <cell r="HA39">
            <v>2.68</v>
          </cell>
          <cell r="HB39">
            <v>6.66</v>
          </cell>
          <cell r="HE39">
            <v>9.34</v>
          </cell>
          <cell r="HF39">
            <v>3.23</v>
          </cell>
          <cell r="HG39">
            <v>8.94</v>
          </cell>
          <cell r="HJ39">
            <v>12.17</v>
          </cell>
          <cell r="HK39">
            <v>1.51</v>
          </cell>
          <cell r="HL39">
            <v>6.59</v>
          </cell>
          <cell r="HO39">
            <v>8.1</v>
          </cell>
          <cell r="HP39">
            <v>10.59</v>
          </cell>
          <cell r="HT39">
            <v>10.59</v>
          </cell>
          <cell r="HU39">
            <v>8.4600000000000009</v>
          </cell>
          <cell r="HV39">
            <v>6.37</v>
          </cell>
          <cell r="HY39">
            <v>14.830000000000002</v>
          </cell>
          <cell r="HZ39">
            <v>7.62</v>
          </cell>
          <cell r="IA39">
            <v>5.59</v>
          </cell>
          <cell r="ID39">
            <v>13.21</v>
          </cell>
          <cell r="IE39">
            <v>11.73</v>
          </cell>
          <cell r="IF39">
            <v>13.08</v>
          </cell>
          <cell r="II39">
            <v>24.810000000000002</v>
          </cell>
          <cell r="IJ39">
            <v>4.58</v>
          </cell>
          <cell r="IK39">
            <v>4.53</v>
          </cell>
          <cell r="IN39">
            <v>9.11</v>
          </cell>
          <cell r="IP39">
            <v>109.91000000000001</v>
          </cell>
          <cell r="IQ39">
            <v>18.25</v>
          </cell>
          <cell r="IU39">
            <v>18.25</v>
          </cell>
          <cell r="IV39">
            <v>14.66</v>
          </cell>
          <cell r="IW39">
            <v>6.8</v>
          </cell>
          <cell r="IZ39">
            <v>21.46</v>
          </cell>
          <cell r="JA39">
            <v>7.51</v>
          </cell>
          <cell r="JB39">
            <v>11.47</v>
          </cell>
          <cell r="JE39">
            <v>18.98</v>
          </cell>
          <cell r="JF39">
            <v>15.53</v>
          </cell>
          <cell r="JG39">
            <v>13.39</v>
          </cell>
          <cell r="JJ39">
            <v>28.92</v>
          </cell>
          <cell r="JK39">
            <v>19.649999999999999</v>
          </cell>
          <cell r="JL39">
            <v>24.13</v>
          </cell>
          <cell r="JO39">
            <v>43.78</v>
          </cell>
          <cell r="JP39">
            <v>9.7899999999999991</v>
          </cell>
          <cell r="JQ39">
            <v>14.64</v>
          </cell>
          <cell r="JT39">
            <v>24.43</v>
          </cell>
          <cell r="JU39">
            <v>13.64</v>
          </cell>
          <cell r="JV39">
            <v>10.25</v>
          </cell>
          <cell r="JY39">
            <v>23.89</v>
          </cell>
          <cell r="JZ39">
            <v>23.57</v>
          </cell>
          <cell r="KA39">
            <v>6.51</v>
          </cell>
          <cell r="KD39">
            <v>30.08</v>
          </cell>
          <cell r="KE39">
            <v>23.03</v>
          </cell>
          <cell r="KF39">
            <v>7.02</v>
          </cell>
          <cell r="KG39">
            <v>0</v>
          </cell>
          <cell r="KH39">
            <v>0</v>
          </cell>
          <cell r="KI39">
            <v>30.05</v>
          </cell>
          <cell r="KJ39">
            <v>25.560000000000002</v>
          </cell>
          <cell r="KK39">
            <v>14.440000000000001</v>
          </cell>
          <cell r="KL39">
            <v>0</v>
          </cell>
          <cell r="KM39">
            <v>0</v>
          </cell>
          <cell r="KN39">
            <v>40</v>
          </cell>
          <cell r="KO39">
            <v>13.8</v>
          </cell>
          <cell r="KP39">
            <v>14.97</v>
          </cell>
          <cell r="KQ39">
            <v>0</v>
          </cell>
          <cell r="KR39">
            <v>0</v>
          </cell>
          <cell r="KS39">
            <v>28.770000000000003</v>
          </cell>
          <cell r="KT39">
            <v>12.27</v>
          </cell>
          <cell r="KU39">
            <v>9.43</v>
          </cell>
          <cell r="KV39">
            <v>0</v>
          </cell>
          <cell r="KW39">
            <v>0</v>
          </cell>
          <cell r="KX39">
            <v>21.7</v>
          </cell>
          <cell r="KZ39">
            <v>330.30999999999995</v>
          </cell>
        </row>
        <row r="40">
          <cell r="B40" t="str">
            <v>26A</v>
          </cell>
          <cell r="C40">
            <v>22.72</v>
          </cell>
          <cell r="BG40">
            <v>2</v>
          </cell>
          <cell r="BK40">
            <v>2</v>
          </cell>
          <cell r="BL40">
            <v>1.79</v>
          </cell>
          <cell r="BM40">
            <v>1.2</v>
          </cell>
          <cell r="BP40">
            <v>2.99</v>
          </cell>
          <cell r="BQ40">
            <v>0.48</v>
          </cell>
          <cell r="BR40">
            <v>0.55000000000000004</v>
          </cell>
          <cell r="BU40">
            <v>1.03</v>
          </cell>
          <cell r="BV40">
            <v>0.5</v>
          </cell>
          <cell r="BZ40">
            <v>0.5</v>
          </cell>
          <cell r="CE40">
            <v>0</v>
          </cell>
          <cell r="CJ40">
            <v>0</v>
          </cell>
          <cell r="CK40">
            <v>1.53</v>
          </cell>
          <cell r="CL40">
            <v>0.24</v>
          </cell>
          <cell r="CO40">
            <v>1.77</v>
          </cell>
          <cell r="CP40">
            <v>0.3</v>
          </cell>
          <cell r="CQ40">
            <v>0.4</v>
          </cell>
          <cell r="CT40">
            <v>0.7</v>
          </cell>
          <cell r="CU40">
            <v>0.52</v>
          </cell>
          <cell r="CV40">
            <v>0.45</v>
          </cell>
          <cell r="CY40">
            <v>0.97</v>
          </cell>
          <cell r="CZ40">
            <v>0.75</v>
          </cell>
          <cell r="DA40">
            <v>1</v>
          </cell>
          <cell r="DD40">
            <v>1.75</v>
          </cell>
          <cell r="DE40">
            <v>2</v>
          </cell>
          <cell r="DI40">
            <v>2</v>
          </cell>
          <cell r="DJ40">
            <v>2</v>
          </cell>
          <cell r="DN40">
            <v>2</v>
          </cell>
          <cell r="DO40">
            <v>3.21</v>
          </cell>
          <cell r="DS40">
            <v>3.21</v>
          </cell>
          <cell r="DT40">
            <v>1.5</v>
          </cell>
          <cell r="DX40">
            <v>1.5</v>
          </cell>
          <cell r="DY40">
            <v>2.4</v>
          </cell>
          <cell r="DZ40">
            <v>2.21</v>
          </cell>
          <cell r="EC40">
            <v>4.6099999999999994</v>
          </cell>
          <cell r="ED40">
            <v>1.23</v>
          </cell>
          <cell r="EH40">
            <v>1.23</v>
          </cell>
          <cell r="EI40">
            <v>2</v>
          </cell>
          <cell r="EM40">
            <v>2</v>
          </cell>
          <cell r="EN40">
            <v>2.17</v>
          </cell>
          <cell r="ER40">
            <v>2.17</v>
          </cell>
          <cell r="ES40">
            <v>2.4900000000000002</v>
          </cell>
          <cell r="ET40">
            <v>0.9</v>
          </cell>
          <cell r="EW40">
            <v>3.39</v>
          </cell>
          <cell r="EX40">
            <v>2.4900000000000002</v>
          </cell>
          <cell r="FB40">
            <v>2.4900000000000002</v>
          </cell>
          <cell r="FC40">
            <v>2.62</v>
          </cell>
          <cell r="FD40">
            <v>1.41</v>
          </cell>
          <cell r="FG40">
            <v>4.03</v>
          </cell>
          <cell r="FH40">
            <v>3.1</v>
          </cell>
          <cell r="FL40">
            <v>3.1</v>
          </cell>
          <cell r="FM40">
            <v>4.79</v>
          </cell>
          <cell r="FQ40">
            <v>4.79</v>
          </cell>
          <cell r="FR40">
            <v>2.75</v>
          </cell>
          <cell r="FS40">
            <v>4.92</v>
          </cell>
          <cell r="FV40">
            <v>7.67</v>
          </cell>
          <cell r="FW40">
            <v>4.51</v>
          </cell>
          <cell r="FX40">
            <v>3.96</v>
          </cell>
          <cell r="GA40">
            <v>8.4699999999999989</v>
          </cell>
          <cell r="GB40">
            <v>3.33</v>
          </cell>
          <cell r="GC40">
            <v>2.86</v>
          </cell>
          <cell r="GF40">
            <v>6.1899999999999995</v>
          </cell>
          <cell r="GG40">
            <v>3.24</v>
          </cell>
          <cell r="GH40">
            <v>2.54</v>
          </cell>
          <cell r="GK40">
            <v>5.78</v>
          </cell>
          <cell r="GL40">
            <v>2.54</v>
          </cell>
          <cell r="GM40">
            <v>2.27</v>
          </cell>
          <cell r="GP40">
            <v>4.8100000000000005</v>
          </cell>
          <cell r="GQ40">
            <v>4.12</v>
          </cell>
          <cell r="GR40">
            <v>1.95</v>
          </cell>
          <cell r="GU40">
            <v>6.07</v>
          </cell>
          <cell r="GV40">
            <v>4.1900000000000004</v>
          </cell>
          <cell r="GW40">
            <v>4.87</v>
          </cell>
          <cell r="GZ40">
            <v>9.06</v>
          </cell>
          <cell r="HA40">
            <v>8</v>
          </cell>
          <cell r="HB40">
            <v>7.52</v>
          </cell>
          <cell r="HE40">
            <v>15.52</v>
          </cell>
          <cell r="HF40">
            <v>5.66</v>
          </cell>
          <cell r="HG40">
            <v>8.51</v>
          </cell>
          <cell r="HJ40">
            <v>14.17</v>
          </cell>
          <cell r="HK40">
            <v>3.9</v>
          </cell>
          <cell r="HL40">
            <v>5.77</v>
          </cell>
          <cell r="HO40">
            <v>9.67</v>
          </cell>
          <cell r="HP40">
            <v>8.16</v>
          </cell>
          <cell r="HQ40">
            <v>12.98</v>
          </cell>
          <cell r="HT40">
            <v>21.14</v>
          </cell>
          <cell r="HU40">
            <v>10.89</v>
          </cell>
          <cell r="HV40">
            <v>9.2100000000000009</v>
          </cell>
          <cell r="HY40">
            <v>20.100000000000001</v>
          </cell>
          <cell r="HZ40">
            <v>14.61</v>
          </cell>
          <cell r="IA40">
            <v>2.0699999999999998</v>
          </cell>
          <cell r="ID40">
            <v>16.68</v>
          </cell>
          <cell r="IE40">
            <v>6.89</v>
          </cell>
          <cell r="IF40">
            <v>12.92</v>
          </cell>
          <cell r="II40">
            <v>19.809999999999999</v>
          </cell>
          <cell r="IJ40">
            <v>7.88</v>
          </cell>
          <cell r="IK40">
            <v>14.17</v>
          </cell>
          <cell r="IN40">
            <v>22.05</v>
          </cell>
          <cell r="IP40">
            <v>164.86</v>
          </cell>
          <cell r="IQ40">
            <v>9.0399999999999991</v>
          </cell>
          <cell r="IR40">
            <v>9.56</v>
          </cell>
          <cell r="IU40">
            <v>18.600000000000001</v>
          </cell>
          <cell r="IV40">
            <v>8.83</v>
          </cell>
          <cell r="IW40">
            <v>2.0699999999999998</v>
          </cell>
          <cell r="IZ40">
            <v>10.9</v>
          </cell>
          <cell r="JA40">
            <v>14.27</v>
          </cell>
          <cell r="JB40">
            <v>9.57</v>
          </cell>
          <cell r="JE40">
            <v>23.84</v>
          </cell>
          <cell r="JF40">
            <v>13.13</v>
          </cell>
          <cell r="JG40">
            <v>6.48</v>
          </cell>
          <cell r="JJ40">
            <v>19.61</v>
          </cell>
          <cell r="JK40">
            <v>20.61</v>
          </cell>
          <cell r="JO40">
            <v>20.61</v>
          </cell>
          <cell r="JP40">
            <v>16.12</v>
          </cell>
          <cell r="JQ40">
            <v>8.6199999999999992</v>
          </cell>
          <cell r="JT40">
            <v>24.740000000000002</v>
          </cell>
          <cell r="JU40">
            <v>8.86</v>
          </cell>
          <cell r="JV40">
            <v>8.9499999999999993</v>
          </cell>
          <cell r="JY40">
            <v>17.809999999999999</v>
          </cell>
          <cell r="JZ40">
            <v>18.23</v>
          </cell>
          <cell r="KA40">
            <v>6.13</v>
          </cell>
          <cell r="KD40">
            <v>24.36</v>
          </cell>
          <cell r="KE40">
            <v>25.71</v>
          </cell>
          <cell r="KF40">
            <v>2.5099999999999998</v>
          </cell>
          <cell r="KG40">
            <v>0</v>
          </cell>
          <cell r="KH40">
            <v>0</v>
          </cell>
          <cell r="KI40">
            <v>28.22</v>
          </cell>
          <cell r="KJ40">
            <v>27.609999999999996</v>
          </cell>
          <cell r="KK40">
            <v>6.29</v>
          </cell>
          <cell r="KL40">
            <v>0</v>
          </cell>
          <cell r="KM40">
            <v>0</v>
          </cell>
          <cell r="KN40">
            <v>33.9</v>
          </cell>
          <cell r="KO40">
            <v>24.59</v>
          </cell>
          <cell r="KP40">
            <v>5.81</v>
          </cell>
          <cell r="KQ40">
            <v>0</v>
          </cell>
          <cell r="KR40">
            <v>0</v>
          </cell>
          <cell r="KS40">
            <v>30.4</v>
          </cell>
          <cell r="KT40">
            <v>10.02</v>
          </cell>
          <cell r="KU40">
            <v>18.229999999999997</v>
          </cell>
          <cell r="KV40">
            <v>0</v>
          </cell>
          <cell r="KW40">
            <v>0</v>
          </cell>
          <cell r="KX40">
            <v>28.249999999999996</v>
          </cell>
          <cell r="KZ40">
            <v>281.24</v>
          </cell>
        </row>
        <row r="41">
          <cell r="B41" t="str">
            <v>26B</v>
          </cell>
          <cell r="BK41">
            <v>0</v>
          </cell>
          <cell r="BP41">
            <v>0</v>
          </cell>
          <cell r="BU41">
            <v>0</v>
          </cell>
          <cell r="BZ41">
            <v>0</v>
          </cell>
          <cell r="CE41">
            <v>0</v>
          </cell>
          <cell r="CJ41">
            <v>0</v>
          </cell>
          <cell r="CO41">
            <v>0</v>
          </cell>
          <cell r="IP41">
            <v>0</v>
          </cell>
          <cell r="KD41">
            <v>0</v>
          </cell>
          <cell r="KE41" t="str">
            <v/>
          </cell>
          <cell r="KF41" t="str">
            <v/>
          </cell>
          <cell r="KG41" t="str">
            <v/>
          </cell>
          <cell r="KH41" t="str">
            <v/>
          </cell>
          <cell r="KI41">
            <v>0</v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>
            <v>0</v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>
            <v>0</v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>
            <v>0</v>
          </cell>
          <cell r="KZ41">
            <v>0</v>
          </cell>
        </row>
        <row r="42">
          <cell r="B42">
            <v>27</v>
          </cell>
          <cell r="C42">
            <v>18.64</v>
          </cell>
          <cell r="BK42">
            <v>0</v>
          </cell>
          <cell r="BL42">
            <v>2.63</v>
          </cell>
          <cell r="BP42">
            <v>2.63</v>
          </cell>
          <cell r="BQ42">
            <v>0.3</v>
          </cell>
          <cell r="BR42">
            <v>0.3</v>
          </cell>
          <cell r="BU42">
            <v>0.6</v>
          </cell>
          <cell r="BV42">
            <v>0.33</v>
          </cell>
          <cell r="BZ42">
            <v>0.33</v>
          </cell>
          <cell r="CE42">
            <v>0</v>
          </cell>
          <cell r="CJ42">
            <v>0</v>
          </cell>
          <cell r="CK42">
            <v>1.17</v>
          </cell>
          <cell r="CL42">
            <v>0.31</v>
          </cell>
          <cell r="CO42">
            <v>1.48</v>
          </cell>
          <cell r="CP42">
            <v>0.3</v>
          </cell>
          <cell r="CQ42">
            <v>0.3</v>
          </cell>
          <cell r="CT42">
            <v>0.6</v>
          </cell>
          <cell r="CU42">
            <v>0.42</v>
          </cell>
          <cell r="CV42">
            <v>0.36</v>
          </cell>
          <cell r="CY42">
            <v>0.78</v>
          </cell>
          <cell r="CZ42">
            <v>0.65</v>
          </cell>
          <cell r="DA42">
            <v>0.7</v>
          </cell>
          <cell r="DD42">
            <v>1.35</v>
          </cell>
          <cell r="DE42">
            <v>1</v>
          </cell>
          <cell r="DI42">
            <v>1</v>
          </cell>
          <cell r="DJ42">
            <v>0.9</v>
          </cell>
          <cell r="DN42">
            <v>0.9</v>
          </cell>
          <cell r="DO42">
            <v>1.21</v>
          </cell>
          <cell r="DS42">
            <v>1.21</v>
          </cell>
          <cell r="DT42">
            <v>0.99</v>
          </cell>
          <cell r="DX42">
            <v>0.99</v>
          </cell>
          <cell r="DY42">
            <v>0.81</v>
          </cell>
          <cell r="DZ42">
            <v>1</v>
          </cell>
          <cell r="EC42">
            <v>1.81</v>
          </cell>
          <cell r="ED42">
            <v>0.61</v>
          </cell>
          <cell r="EH42">
            <v>0.61</v>
          </cell>
          <cell r="EI42">
            <v>3.33</v>
          </cell>
          <cell r="EM42">
            <v>3.33</v>
          </cell>
          <cell r="EN42">
            <v>1.27</v>
          </cell>
          <cell r="ER42">
            <v>1.27</v>
          </cell>
          <cell r="ES42">
            <v>1.7</v>
          </cell>
          <cell r="ET42">
            <v>3.53</v>
          </cell>
          <cell r="EW42">
            <v>5.2299999999999995</v>
          </cell>
          <cell r="EX42">
            <v>2.19</v>
          </cell>
          <cell r="FB42">
            <v>2.19</v>
          </cell>
          <cell r="FC42">
            <v>3.9</v>
          </cell>
          <cell r="FD42">
            <v>4.21</v>
          </cell>
          <cell r="FG42">
            <v>8.11</v>
          </cell>
          <cell r="FH42">
            <v>1.67</v>
          </cell>
          <cell r="FI42">
            <v>2.66</v>
          </cell>
          <cell r="FL42">
            <v>4.33</v>
          </cell>
          <cell r="FM42">
            <v>2.41</v>
          </cell>
          <cell r="FQ42">
            <v>2.41</v>
          </cell>
          <cell r="FR42">
            <v>1.93</v>
          </cell>
          <cell r="FS42">
            <v>1.69</v>
          </cell>
          <cell r="FV42">
            <v>3.62</v>
          </cell>
          <cell r="FW42">
            <v>2.1</v>
          </cell>
          <cell r="FX42">
            <v>1.38</v>
          </cell>
          <cell r="GA42">
            <v>3.48</v>
          </cell>
          <cell r="GB42">
            <v>1.19</v>
          </cell>
          <cell r="GC42">
            <v>0.88</v>
          </cell>
          <cell r="GF42">
            <v>2.0699999999999998</v>
          </cell>
          <cell r="GG42">
            <v>0.8</v>
          </cell>
          <cell r="GH42">
            <v>0.68</v>
          </cell>
          <cell r="GI42">
            <v>0.71</v>
          </cell>
          <cell r="GK42">
            <v>2.19</v>
          </cell>
          <cell r="GL42">
            <v>0.95</v>
          </cell>
          <cell r="GM42">
            <v>1</v>
          </cell>
          <cell r="GP42">
            <v>1.95</v>
          </cell>
          <cell r="GQ42">
            <v>0.41</v>
          </cell>
          <cell r="GR42">
            <v>2.56</v>
          </cell>
          <cell r="GU42">
            <v>2.97</v>
          </cell>
          <cell r="GV42">
            <v>3.37</v>
          </cell>
          <cell r="GW42">
            <v>4.09</v>
          </cell>
          <cell r="GZ42">
            <v>7.46</v>
          </cell>
          <cell r="HA42">
            <v>4.37</v>
          </cell>
          <cell r="HB42">
            <v>6.83</v>
          </cell>
          <cell r="HE42">
            <v>11.2</v>
          </cell>
          <cell r="HF42">
            <v>5.05</v>
          </cell>
          <cell r="HG42">
            <v>2.96</v>
          </cell>
          <cell r="HJ42">
            <v>8.01</v>
          </cell>
          <cell r="HK42">
            <v>9.66</v>
          </cell>
          <cell r="HL42">
            <v>3.87</v>
          </cell>
          <cell r="HO42">
            <v>13.530000000000001</v>
          </cell>
          <cell r="HP42">
            <v>3.46</v>
          </cell>
          <cell r="HQ42">
            <v>4.34</v>
          </cell>
          <cell r="HT42">
            <v>7.8</v>
          </cell>
          <cell r="HU42">
            <v>4.2</v>
          </cell>
          <cell r="HV42">
            <v>5.29</v>
          </cell>
          <cell r="HY42">
            <v>9.49</v>
          </cell>
          <cell r="HZ42">
            <v>9.64</v>
          </cell>
          <cell r="IA42">
            <v>5.83</v>
          </cell>
          <cell r="ID42">
            <v>15.47</v>
          </cell>
          <cell r="IE42">
            <v>8.5500000000000007</v>
          </cell>
          <cell r="IF42">
            <v>6.76</v>
          </cell>
          <cell r="II42">
            <v>15.31</v>
          </cell>
          <cell r="IJ42">
            <v>6.36</v>
          </cell>
          <cell r="IK42">
            <v>7.39</v>
          </cell>
          <cell r="IN42">
            <v>13.75</v>
          </cell>
          <cell r="IP42">
            <v>109.13</v>
          </cell>
          <cell r="IQ42">
            <v>2.98</v>
          </cell>
          <cell r="IU42">
            <v>2.98</v>
          </cell>
          <cell r="IV42">
            <v>8.36</v>
          </cell>
          <cell r="IW42">
            <v>3.6</v>
          </cell>
          <cell r="IZ42">
            <v>11.959999999999999</v>
          </cell>
          <cell r="JA42">
            <v>5.41</v>
          </cell>
          <cell r="JB42">
            <v>3.84</v>
          </cell>
          <cell r="JE42">
            <v>9.25</v>
          </cell>
          <cell r="JF42">
            <v>9.08</v>
          </cell>
          <cell r="JG42">
            <v>8.18</v>
          </cell>
          <cell r="JJ42">
            <v>17.259999999999998</v>
          </cell>
          <cell r="JK42">
            <v>8.16</v>
          </cell>
          <cell r="JL42">
            <v>6.15</v>
          </cell>
          <cell r="JO42">
            <v>14.31</v>
          </cell>
          <cell r="JP42">
            <v>6.9</v>
          </cell>
          <cell r="JQ42">
            <v>6.83</v>
          </cell>
          <cell r="JT42">
            <v>13.73</v>
          </cell>
          <cell r="JU42">
            <v>7.34</v>
          </cell>
          <cell r="JV42">
            <v>8.73</v>
          </cell>
          <cell r="JY42">
            <v>16.07</v>
          </cell>
          <cell r="JZ42">
            <v>7.79</v>
          </cell>
          <cell r="KA42">
            <v>7.52</v>
          </cell>
          <cell r="KB42">
            <v>9.9600000000000009</v>
          </cell>
          <cell r="KD42">
            <v>25.27</v>
          </cell>
          <cell r="KE42">
            <v>9.42</v>
          </cell>
          <cell r="KF42">
            <v>7.53</v>
          </cell>
          <cell r="KG42">
            <v>0</v>
          </cell>
          <cell r="KH42">
            <v>0</v>
          </cell>
          <cell r="KI42">
            <v>16.95</v>
          </cell>
          <cell r="KJ42">
            <v>3.37</v>
          </cell>
          <cell r="KK42">
            <v>17.25</v>
          </cell>
          <cell r="KL42">
            <v>0</v>
          </cell>
          <cell r="KM42">
            <v>0</v>
          </cell>
          <cell r="KN42">
            <v>20.62</v>
          </cell>
          <cell r="KO42">
            <v>4.34</v>
          </cell>
          <cell r="KP42">
            <v>19.899999999999999</v>
          </cell>
          <cell r="KQ42">
            <v>0</v>
          </cell>
          <cell r="KR42">
            <v>0</v>
          </cell>
          <cell r="KS42">
            <v>24.24</v>
          </cell>
          <cell r="KT42">
            <v>10</v>
          </cell>
          <cell r="KU42">
            <v>9</v>
          </cell>
          <cell r="KV42">
            <v>0</v>
          </cell>
          <cell r="KW42">
            <v>0</v>
          </cell>
          <cell r="KX42">
            <v>19</v>
          </cell>
          <cell r="KZ42">
            <v>191.64000000000001</v>
          </cell>
        </row>
        <row r="43">
          <cell r="B43">
            <v>28</v>
          </cell>
          <cell r="C43">
            <v>25.5</v>
          </cell>
          <cell r="BG43">
            <v>3.88</v>
          </cell>
          <cell r="BK43">
            <v>3.88</v>
          </cell>
          <cell r="BL43">
            <v>6.56</v>
          </cell>
          <cell r="BM43">
            <v>2.04</v>
          </cell>
          <cell r="BP43">
            <v>8.6</v>
          </cell>
          <cell r="BQ43">
            <v>2.06</v>
          </cell>
          <cell r="BR43">
            <v>1.55</v>
          </cell>
          <cell r="BU43">
            <v>3.6100000000000003</v>
          </cell>
          <cell r="BV43">
            <v>1.93</v>
          </cell>
          <cell r="BW43">
            <v>2.1</v>
          </cell>
          <cell r="BZ43">
            <v>4.03</v>
          </cell>
          <cell r="CA43">
            <v>1.1299999999999999</v>
          </cell>
          <cell r="CE43">
            <v>1.1299999999999999</v>
          </cell>
          <cell r="CF43">
            <v>5.29</v>
          </cell>
          <cell r="CJ43">
            <v>5.29</v>
          </cell>
          <cell r="CK43">
            <v>3.9</v>
          </cell>
          <cell r="CL43">
            <v>6.64</v>
          </cell>
          <cell r="CO43">
            <v>10.54</v>
          </cell>
          <cell r="CP43">
            <v>6.46</v>
          </cell>
          <cell r="CQ43">
            <v>8.81</v>
          </cell>
          <cell r="CT43">
            <v>15.27</v>
          </cell>
          <cell r="CU43">
            <v>7.27</v>
          </cell>
          <cell r="CV43">
            <v>8.18</v>
          </cell>
          <cell r="CY43">
            <v>15.45</v>
          </cell>
          <cell r="CZ43">
            <v>7.03</v>
          </cell>
          <cell r="DA43">
            <v>8.39</v>
          </cell>
          <cell r="DD43">
            <v>15.420000000000002</v>
          </cell>
          <cell r="DE43">
            <v>13.77</v>
          </cell>
          <cell r="DI43">
            <v>13.77</v>
          </cell>
          <cell r="DJ43">
            <v>18.03</v>
          </cell>
          <cell r="DN43">
            <v>18.03</v>
          </cell>
          <cell r="DO43">
            <v>12.02</v>
          </cell>
          <cell r="DP43">
            <v>2.08</v>
          </cell>
          <cell r="DS43">
            <v>14.1</v>
          </cell>
          <cell r="DT43">
            <v>16.010000000000002</v>
          </cell>
          <cell r="DU43">
            <v>7.27</v>
          </cell>
          <cell r="DX43">
            <v>23.28</v>
          </cell>
          <cell r="DY43">
            <v>6.37</v>
          </cell>
          <cell r="EC43">
            <v>6.37</v>
          </cell>
          <cell r="ED43">
            <v>8.07</v>
          </cell>
          <cell r="EH43">
            <v>8.07</v>
          </cell>
          <cell r="EI43">
            <v>11.76</v>
          </cell>
          <cell r="EM43">
            <v>11.76</v>
          </cell>
          <cell r="EN43">
            <v>10.65</v>
          </cell>
          <cell r="ER43">
            <v>10.65</v>
          </cell>
          <cell r="ES43">
            <v>10.37</v>
          </cell>
          <cell r="ET43">
            <v>6.61</v>
          </cell>
          <cell r="EW43">
            <v>16.98</v>
          </cell>
          <cell r="EX43">
            <v>6.85</v>
          </cell>
          <cell r="EY43">
            <v>3.78</v>
          </cell>
          <cell r="FB43">
            <v>10.629999999999999</v>
          </cell>
          <cell r="FC43">
            <v>4.72</v>
          </cell>
          <cell r="FD43">
            <v>8.06</v>
          </cell>
          <cell r="FG43">
            <v>12.780000000000001</v>
          </cell>
          <cell r="FH43">
            <v>9.11</v>
          </cell>
          <cell r="FI43">
            <v>6.78</v>
          </cell>
          <cell r="FL43">
            <v>15.89</v>
          </cell>
          <cell r="FM43">
            <v>11.23</v>
          </cell>
          <cell r="FN43">
            <v>10.17</v>
          </cell>
          <cell r="FQ43">
            <v>21.4</v>
          </cell>
          <cell r="FR43">
            <v>10.55</v>
          </cell>
          <cell r="FS43">
            <v>12.33</v>
          </cell>
          <cell r="FV43">
            <v>22.880000000000003</v>
          </cell>
          <cell r="FW43">
            <v>17.14</v>
          </cell>
          <cell r="GA43">
            <v>17.14</v>
          </cell>
          <cell r="GB43">
            <v>7.48</v>
          </cell>
          <cell r="GC43">
            <v>8.67</v>
          </cell>
          <cell r="GF43">
            <v>16.149999999999999</v>
          </cell>
          <cell r="GG43">
            <v>11.54</v>
          </cell>
          <cell r="GH43">
            <v>6.35</v>
          </cell>
          <cell r="GK43">
            <v>17.89</v>
          </cell>
          <cell r="GL43">
            <v>7.38</v>
          </cell>
          <cell r="GM43">
            <v>8.43</v>
          </cell>
          <cell r="GP43">
            <v>15.809999999999999</v>
          </cell>
          <cell r="GQ43">
            <v>10.14</v>
          </cell>
          <cell r="GR43">
            <v>8.74</v>
          </cell>
          <cell r="GU43">
            <v>18.880000000000003</v>
          </cell>
          <cell r="GV43">
            <v>6.83</v>
          </cell>
          <cell r="GW43">
            <v>13.91</v>
          </cell>
          <cell r="GZ43">
            <v>20.740000000000002</v>
          </cell>
          <cell r="HA43">
            <v>10.68</v>
          </cell>
          <cell r="HB43">
            <v>9.7899999999999991</v>
          </cell>
          <cell r="HE43">
            <v>20.47</v>
          </cell>
          <cell r="HF43">
            <v>9.1999999999999993</v>
          </cell>
          <cell r="HG43">
            <v>14.41</v>
          </cell>
          <cell r="HJ43">
            <v>23.61</v>
          </cell>
          <cell r="HK43">
            <v>8.6</v>
          </cell>
          <cell r="HL43">
            <v>8.6199999999999992</v>
          </cell>
          <cell r="HO43">
            <v>17.22</v>
          </cell>
          <cell r="HP43">
            <v>10.84</v>
          </cell>
          <cell r="HQ43">
            <v>13.11</v>
          </cell>
          <cell r="HT43">
            <v>23.95</v>
          </cell>
          <cell r="HU43">
            <v>11.38</v>
          </cell>
          <cell r="HV43">
            <v>12.32</v>
          </cell>
          <cell r="HY43">
            <v>23.700000000000003</v>
          </cell>
          <cell r="HZ43">
            <v>16.940000000000001</v>
          </cell>
          <cell r="IA43">
            <v>7.76</v>
          </cell>
          <cell r="ID43">
            <v>24.700000000000003</v>
          </cell>
          <cell r="IE43">
            <v>22.85</v>
          </cell>
          <cell r="II43">
            <v>22.85</v>
          </cell>
          <cell r="IJ43">
            <v>8.5399999999999991</v>
          </cell>
          <cell r="IK43">
            <v>11.07</v>
          </cell>
          <cell r="IN43">
            <v>19.61</v>
          </cell>
          <cell r="IP43">
            <v>249.42999999999995</v>
          </cell>
          <cell r="IQ43">
            <v>13.12</v>
          </cell>
          <cell r="IR43">
            <v>13.67</v>
          </cell>
          <cell r="IU43">
            <v>26.79</v>
          </cell>
          <cell r="IV43">
            <v>13.81</v>
          </cell>
          <cell r="IW43">
            <v>2.56</v>
          </cell>
          <cell r="IZ43">
            <v>16.37</v>
          </cell>
          <cell r="JA43">
            <v>14.53</v>
          </cell>
          <cell r="JB43">
            <v>12.85</v>
          </cell>
          <cell r="JE43">
            <v>27.38</v>
          </cell>
          <cell r="JF43">
            <v>19</v>
          </cell>
          <cell r="JG43">
            <v>7.42</v>
          </cell>
          <cell r="JJ43">
            <v>26.42</v>
          </cell>
          <cell r="JK43">
            <v>23.19</v>
          </cell>
          <cell r="JO43">
            <v>23.19</v>
          </cell>
          <cell r="JP43">
            <v>21.95</v>
          </cell>
          <cell r="JQ43">
            <v>15.82</v>
          </cell>
          <cell r="JT43">
            <v>37.769999999999996</v>
          </cell>
          <cell r="JU43">
            <v>15.71</v>
          </cell>
          <cell r="JV43">
            <v>11.26</v>
          </cell>
          <cell r="JY43">
            <v>26.97</v>
          </cell>
          <cell r="JZ43">
            <v>17.920000000000002</v>
          </cell>
          <cell r="KA43">
            <v>4.12</v>
          </cell>
          <cell r="KD43">
            <v>22.040000000000003</v>
          </cell>
          <cell r="KE43">
            <v>24.71</v>
          </cell>
          <cell r="KF43">
            <v>5.59</v>
          </cell>
          <cell r="KG43">
            <v>0</v>
          </cell>
          <cell r="KH43">
            <v>0</v>
          </cell>
          <cell r="KI43">
            <v>30.3</v>
          </cell>
          <cell r="KJ43">
            <v>22.75</v>
          </cell>
          <cell r="KK43">
            <v>10.870000000000001</v>
          </cell>
          <cell r="KL43">
            <v>0</v>
          </cell>
          <cell r="KM43">
            <v>0</v>
          </cell>
          <cell r="KN43">
            <v>33.620000000000005</v>
          </cell>
          <cell r="KO43">
            <v>23.27</v>
          </cell>
          <cell r="KP43">
            <v>13.7</v>
          </cell>
          <cell r="KQ43">
            <v>0</v>
          </cell>
          <cell r="KR43">
            <v>0</v>
          </cell>
          <cell r="KS43">
            <v>36.97</v>
          </cell>
          <cell r="KT43">
            <v>23.75</v>
          </cell>
          <cell r="KU43">
            <v>0</v>
          </cell>
          <cell r="KV43">
            <v>0</v>
          </cell>
          <cell r="KW43">
            <v>0</v>
          </cell>
          <cell r="KX43">
            <v>23.75</v>
          </cell>
          <cell r="KZ43">
            <v>331.57000000000005</v>
          </cell>
        </row>
        <row r="44">
          <cell r="B44">
            <v>29</v>
          </cell>
          <cell r="C44">
            <v>11.38</v>
          </cell>
          <cell r="BK44">
            <v>0</v>
          </cell>
          <cell r="BP44">
            <v>0</v>
          </cell>
          <cell r="BU44">
            <v>0</v>
          </cell>
          <cell r="BZ44">
            <v>0</v>
          </cell>
          <cell r="CE44">
            <v>0</v>
          </cell>
          <cell r="CJ44">
            <v>0</v>
          </cell>
          <cell r="CO44">
            <v>0</v>
          </cell>
          <cell r="CT44">
            <v>0</v>
          </cell>
          <cell r="CY44">
            <v>0</v>
          </cell>
          <cell r="DD44">
            <v>0</v>
          </cell>
          <cell r="DI44">
            <v>0</v>
          </cell>
          <cell r="DN44">
            <v>0</v>
          </cell>
          <cell r="DS44">
            <v>0</v>
          </cell>
          <cell r="DX44">
            <v>0</v>
          </cell>
          <cell r="EC44">
            <v>0</v>
          </cell>
          <cell r="EH44">
            <v>0</v>
          </cell>
          <cell r="EM44">
            <v>0</v>
          </cell>
          <cell r="ER44">
            <v>0</v>
          </cell>
          <cell r="EW44">
            <v>0</v>
          </cell>
          <cell r="FB44">
            <v>0</v>
          </cell>
          <cell r="FG44">
            <v>0</v>
          </cell>
          <cell r="FL44">
            <v>0</v>
          </cell>
          <cell r="FQ44">
            <v>0</v>
          </cell>
          <cell r="FV44">
            <v>0</v>
          </cell>
          <cell r="GA44">
            <v>0</v>
          </cell>
          <cell r="GF44">
            <v>0</v>
          </cell>
          <cell r="GK44">
            <v>0</v>
          </cell>
          <cell r="GP44">
            <v>0</v>
          </cell>
          <cell r="GU44">
            <v>0</v>
          </cell>
          <cell r="GZ44">
            <v>0</v>
          </cell>
          <cell r="HE44">
            <v>0</v>
          </cell>
          <cell r="HF44">
            <v>1.99</v>
          </cell>
          <cell r="HG44">
            <v>0.54</v>
          </cell>
          <cell r="HJ44">
            <v>2.5300000000000002</v>
          </cell>
          <cell r="HK44">
            <v>0.52</v>
          </cell>
          <cell r="HL44">
            <v>1.32</v>
          </cell>
          <cell r="HO44">
            <v>1.84</v>
          </cell>
          <cell r="HP44">
            <v>0.94</v>
          </cell>
          <cell r="HQ44">
            <v>1.57</v>
          </cell>
          <cell r="HT44">
            <v>2.5099999999999998</v>
          </cell>
          <cell r="HU44">
            <v>0.9</v>
          </cell>
          <cell r="HY44">
            <v>0.9</v>
          </cell>
          <cell r="HZ44">
            <v>0.83</v>
          </cell>
          <cell r="IA44">
            <v>1</v>
          </cell>
          <cell r="ID44">
            <v>1.83</v>
          </cell>
          <cell r="IE44">
            <v>1.04</v>
          </cell>
          <cell r="IF44">
            <v>3.27</v>
          </cell>
          <cell r="II44">
            <v>4.3100000000000005</v>
          </cell>
          <cell r="IJ44">
            <v>1.3</v>
          </cell>
          <cell r="IK44">
            <v>1.4</v>
          </cell>
          <cell r="IN44">
            <v>2.7</v>
          </cell>
          <cell r="IP44">
            <v>16.62</v>
          </cell>
          <cell r="IQ44">
            <v>1.81</v>
          </cell>
          <cell r="IU44">
            <v>1.81</v>
          </cell>
          <cell r="IV44">
            <v>1.02</v>
          </cell>
          <cell r="IW44">
            <v>0.5</v>
          </cell>
          <cell r="IZ44">
            <v>1.52</v>
          </cell>
          <cell r="JA44">
            <v>0.65</v>
          </cell>
          <cell r="JB44">
            <v>0.99</v>
          </cell>
          <cell r="JC44">
            <v>1</v>
          </cell>
          <cell r="JE44">
            <v>2.64</v>
          </cell>
          <cell r="JF44">
            <v>1.41</v>
          </cell>
          <cell r="JG44">
            <v>2.23</v>
          </cell>
          <cell r="JJ44">
            <v>3.6399999999999997</v>
          </cell>
          <cell r="JK44">
            <v>5.3</v>
          </cell>
          <cell r="JO44">
            <v>5.3</v>
          </cell>
          <cell r="JP44">
            <v>3.5</v>
          </cell>
          <cell r="JQ44">
            <v>5.73</v>
          </cell>
          <cell r="JT44">
            <v>9.23</v>
          </cell>
          <cell r="JU44">
            <v>2.19</v>
          </cell>
          <cell r="JV44">
            <v>3.53</v>
          </cell>
          <cell r="JY44">
            <v>5.72</v>
          </cell>
          <cell r="JZ44">
            <v>8.4700000000000006</v>
          </cell>
          <cell r="KA44">
            <v>4.1900000000000004</v>
          </cell>
          <cell r="KD44">
            <v>12.66</v>
          </cell>
          <cell r="KE44">
            <v>5.51</v>
          </cell>
          <cell r="KF44">
            <v>6.58</v>
          </cell>
          <cell r="KG44">
            <v>0</v>
          </cell>
          <cell r="KH44">
            <v>0</v>
          </cell>
          <cell r="KI44">
            <v>12.09</v>
          </cell>
          <cell r="KJ44">
            <v>8.0299999999999994</v>
          </cell>
          <cell r="KK44">
            <v>7.78</v>
          </cell>
          <cell r="KL44">
            <v>0</v>
          </cell>
          <cell r="KM44">
            <v>0</v>
          </cell>
          <cell r="KN44">
            <v>15.809999999999999</v>
          </cell>
          <cell r="KO44">
            <v>12</v>
          </cell>
          <cell r="KP44">
            <v>0</v>
          </cell>
          <cell r="KQ44">
            <v>0</v>
          </cell>
          <cell r="KR44">
            <v>0</v>
          </cell>
          <cell r="KS44">
            <v>12</v>
          </cell>
          <cell r="KT44">
            <v>4.74</v>
          </cell>
          <cell r="KU44">
            <v>10.379999999999999</v>
          </cell>
          <cell r="KV44">
            <v>0</v>
          </cell>
          <cell r="KW44">
            <v>0</v>
          </cell>
          <cell r="KX44">
            <v>15.12</v>
          </cell>
          <cell r="KZ44">
            <v>97.54</v>
          </cell>
        </row>
        <row r="45">
          <cell r="B45">
            <v>30</v>
          </cell>
          <cell r="C45">
            <v>24.35</v>
          </cell>
          <cell r="BK45">
            <v>0</v>
          </cell>
          <cell r="BP45">
            <v>0</v>
          </cell>
          <cell r="BU45">
            <v>0</v>
          </cell>
          <cell r="BZ45">
            <v>0</v>
          </cell>
          <cell r="CE45">
            <v>0</v>
          </cell>
          <cell r="CJ45">
            <v>0</v>
          </cell>
          <cell r="CO45">
            <v>0</v>
          </cell>
          <cell r="CT45">
            <v>0</v>
          </cell>
          <cell r="CY45">
            <v>0</v>
          </cell>
          <cell r="DD45">
            <v>0</v>
          </cell>
          <cell r="DI45">
            <v>0</v>
          </cell>
          <cell r="DN45">
            <v>0</v>
          </cell>
          <cell r="DS45">
            <v>0</v>
          </cell>
          <cell r="DX45">
            <v>0</v>
          </cell>
          <cell r="EC45">
            <v>0</v>
          </cell>
          <cell r="EH45">
            <v>0</v>
          </cell>
          <cell r="EM45">
            <v>0</v>
          </cell>
          <cell r="ER45">
            <v>0</v>
          </cell>
          <cell r="EW45">
            <v>0</v>
          </cell>
          <cell r="FB45">
            <v>0</v>
          </cell>
          <cell r="FG45">
            <v>0</v>
          </cell>
          <cell r="FL45">
            <v>0</v>
          </cell>
          <cell r="FQ45">
            <v>0</v>
          </cell>
          <cell r="FV45">
            <v>0</v>
          </cell>
          <cell r="GA45">
            <v>0</v>
          </cell>
          <cell r="GF45">
            <v>0</v>
          </cell>
          <cell r="GK45">
            <v>0</v>
          </cell>
          <cell r="GL45">
            <v>1.6</v>
          </cell>
          <cell r="GM45">
            <v>0.84</v>
          </cell>
          <cell r="GP45">
            <v>2.44</v>
          </cell>
          <cell r="GQ45">
            <v>0.87</v>
          </cell>
          <cell r="GR45">
            <v>0.95</v>
          </cell>
          <cell r="GU45">
            <v>1.8199999999999998</v>
          </cell>
          <cell r="GV45">
            <v>1.02</v>
          </cell>
          <cell r="GZ45">
            <v>1.02</v>
          </cell>
          <cell r="HA45">
            <v>1.26</v>
          </cell>
          <cell r="HB45">
            <v>1.33</v>
          </cell>
          <cell r="HE45">
            <v>2.59</v>
          </cell>
          <cell r="HF45">
            <v>1.67</v>
          </cell>
          <cell r="HG45">
            <v>1.23</v>
          </cell>
          <cell r="HJ45">
            <v>2.9</v>
          </cell>
          <cell r="HK45">
            <v>0.94</v>
          </cell>
          <cell r="HL45">
            <v>0.67</v>
          </cell>
          <cell r="HO45">
            <v>1.6099999999999999</v>
          </cell>
          <cell r="HP45">
            <v>2.96</v>
          </cell>
          <cell r="HQ45">
            <v>2.4900000000000002</v>
          </cell>
          <cell r="HT45">
            <v>5.45</v>
          </cell>
          <cell r="HU45">
            <v>1.97</v>
          </cell>
          <cell r="HV45">
            <v>2.2000000000000002</v>
          </cell>
          <cell r="HY45">
            <v>4.17</v>
          </cell>
          <cell r="HZ45">
            <v>4.0999999999999996</v>
          </cell>
          <cell r="ID45">
            <v>4.0999999999999996</v>
          </cell>
          <cell r="IE45">
            <v>12.16</v>
          </cell>
          <cell r="IF45">
            <v>3.38</v>
          </cell>
          <cell r="II45">
            <v>15.54</v>
          </cell>
          <cell r="IJ45">
            <v>2.2400000000000002</v>
          </cell>
          <cell r="IN45">
            <v>2.2400000000000002</v>
          </cell>
          <cell r="IP45">
            <v>43.88</v>
          </cell>
          <cell r="IQ45">
            <v>9.26</v>
          </cell>
          <cell r="IR45">
            <v>11.92</v>
          </cell>
          <cell r="IU45">
            <v>21.18</v>
          </cell>
          <cell r="IV45">
            <v>9.9</v>
          </cell>
          <cell r="IW45">
            <v>1.97</v>
          </cell>
          <cell r="IZ45">
            <v>11.870000000000001</v>
          </cell>
          <cell r="JA45">
            <v>10.64</v>
          </cell>
          <cell r="JB45">
            <v>3.38</v>
          </cell>
          <cell r="JE45">
            <v>14.02</v>
          </cell>
          <cell r="JF45">
            <v>17.32</v>
          </cell>
          <cell r="JG45">
            <v>4.7</v>
          </cell>
          <cell r="JJ45">
            <v>22.02</v>
          </cell>
          <cell r="JK45">
            <v>17.350000000000001</v>
          </cell>
          <cell r="JL45">
            <v>7.63</v>
          </cell>
          <cell r="JO45">
            <v>24.98</v>
          </cell>
          <cell r="JP45">
            <v>10.75</v>
          </cell>
          <cell r="JQ45">
            <v>9.1199999999999992</v>
          </cell>
          <cell r="JT45">
            <v>19.869999999999997</v>
          </cell>
          <cell r="JU45">
            <v>8.91</v>
          </cell>
          <cell r="JV45">
            <v>6.22</v>
          </cell>
          <cell r="JY45">
            <v>15.129999999999999</v>
          </cell>
          <cell r="JZ45">
            <v>13.22</v>
          </cell>
          <cell r="KA45">
            <v>2.65</v>
          </cell>
          <cell r="KD45">
            <v>15.870000000000001</v>
          </cell>
          <cell r="KE45">
            <v>14.44</v>
          </cell>
          <cell r="KF45">
            <v>3.64</v>
          </cell>
          <cell r="KG45">
            <v>0</v>
          </cell>
          <cell r="KH45">
            <v>0</v>
          </cell>
          <cell r="KI45">
            <v>18.079999999999998</v>
          </cell>
          <cell r="KJ45">
            <v>14.520000000000001</v>
          </cell>
          <cell r="KK45">
            <v>7.91</v>
          </cell>
          <cell r="KL45">
            <v>0</v>
          </cell>
          <cell r="KM45">
            <v>0</v>
          </cell>
          <cell r="KN45">
            <v>22.43</v>
          </cell>
          <cell r="KO45">
            <v>15.26</v>
          </cell>
          <cell r="KP45">
            <v>9.77</v>
          </cell>
          <cell r="KQ45">
            <v>0</v>
          </cell>
          <cell r="KR45">
            <v>0</v>
          </cell>
          <cell r="KS45">
            <v>25.03</v>
          </cell>
          <cell r="KT45">
            <v>12.309999999999999</v>
          </cell>
          <cell r="KU45">
            <v>0</v>
          </cell>
          <cell r="KV45">
            <v>0</v>
          </cell>
          <cell r="KW45">
            <v>0</v>
          </cell>
          <cell r="KX45">
            <v>12.309999999999999</v>
          </cell>
          <cell r="KZ45">
            <v>222.79</v>
          </cell>
        </row>
        <row r="46">
          <cell r="B46">
            <v>31</v>
          </cell>
          <cell r="C46">
            <v>34.08</v>
          </cell>
          <cell r="BK46">
            <v>0</v>
          </cell>
          <cell r="BP46">
            <v>0</v>
          </cell>
          <cell r="BU46">
            <v>0</v>
          </cell>
          <cell r="BZ46">
            <v>0</v>
          </cell>
          <cell r="CE46">
            <v>0</v>
          </cell>
          <cell r="CJ46">
            <v>0</v>
          </cell>
          <cell r="CO46">
            <v>0</v>
          </cell>
          <cell r="CT46">
            <v>0</v>
          </cell>
          <cell r="CY46">
            <v>0</v>
          </cell>
          <cell r="DD46">
            <v>0</v>
          </cell>
          <cell r="DI46">
            <v>0</v>
          </cell>
          <cell r="DN46">
            <v>0</v>
          </cell>
          <cell r="DS46">
            <v>0</v>
          </cell>
          <cell r="DX46">
            <v>0</v>
          </cell>
          <cell r="EC46">
            <v>0</v>
          </cell>
          <cell r="EH46">
            <v>0</v>
          </cell>
          <cell r="EM46">
            <v>0</v>
          </cell>
          <cell r="ER46">
            <v>0</v>
          </cell>
          <cell r="EW46">
            <v>0</v>
          </cell>
          <cell r="FB46">
            <v>0</v>
          </cell>
          <cell r="FG46">
            <v>0</v>
          </cell>
          <cell r="FL46">
            <v>0</v>
          </cell>
          <cell r="FQ46">
            <v>0</v>
          </cell>
          <cell r="FV46">
            <v>0</v>
          </cell>
          <cell r="GA46">
            <v>0</v>
          </cell>
          <cell r="GF46">
            <v>0</v>
          </cell>
          <cell r="GK46">
            <v>0</v>
          </cell>
          <cell r="GL46">
            <v>0.95</v>
          </cell>
          <cell r="GP46">
            <v>0.95</v>
          </cell>
          <cell r="GQ46">
            <v>0.81</v>
          </cell>
          <cell r="GR46">
            <v>0.81</v>
          </cell>
          <cell r="GU46">
            <v>1.62</v>
          </cell>
          <cell r="GV46">
            <v>1.5329999999999999</v>
          </cell>
          <cell r="GZ46">
            <v>1.5329999999999999</v>
          </cell>
          <cell r="HA46">
            <v>1.1499999999999999</v>
          </cell>
          <cell r="HB46">
            <v>1.56</v>
          </cell>
          <cell r="HE46">
            <v>2.71</v>
          </cell>
          <cell r="HF46">
            <v>1.04</v>
          </cell>
          <cell r="HG46">
            <v>0.84</v>
          </cell>
          <cell r="HJ46">
            <v>1.88</v>
          </cell>
          <cell r="HK46">
            <v>1.3</v>
          </cell>
          <cell r="HL46">
            <v>1.47</v>
          </cell>
          <cell r="HO46">
            <v>2.77</v>
          </cell>
          <cell r="HP46">
            <v>3.75</v>
          </cell>
          <cell r="HQ46">
            <v>4.79</v>
          </cell>
          <cell r="HT46">
            <v>8.5399999999999991</v>
          </cell>
          <cell r="HU46">
            <v>3.55</v>
          </cell>
          <cell r="HV46">
            <v>2.21</v>
          </cell>
          <cell r="HY46">
            <v>5.76</v>
          </cell>
          <cell r="HZ46">
            <v>6.39</v>
          </cell>
          <cell r="IA46">
            <v>1.33</v>
          </cell>
          <cell r="ID46">
            <v>7.72</v>
          </cell>
          <cell r="IE46">
            <v>11.64</v>
          </cell>
          <cell r="IF46">
            <v>2.88</v>
          </cell>
          <cell r="II46">
            <v>14.52</v>
          </cell>
          <cell r="IJ46">
            <v>3.33</v>
          </cell>
          <cell r="IN46">
            <v>3.33</v>
          </cell>
          <cell r="IP46">
            <v>51.332999999999998</v>
          </cell>
          <cell r="IQ46">
            <v>5.51</v>
          </cell>
          <cell r="IR46">
            <v>12.38</v>
          </cell>
          <cell r="IU46">
            <v>17.89</v>
          </cell>
          <cell r="IV46">
            <v>9.5299999999999994</v>
          </cell>
          <cell r="IW46">
            <v>3.62</v>
          </cell>
          <cell r="IZ46">
            <v>13.149999999999999</v>
          </cell>
          <cell r="JA46">
            <v>8.58</v>
          </cell>
          <cell r="JB46">
            <v>5.07</v>
          </cell>
          <cell r="JE46">
            <v>13.65</v>
          </cell>
          <cell r="JF46">
            <v>14.69</v>
          </cell>
          <cell r="JG46">
            <v>4.5999999999999996</v>
          </cell>
          <cell r="JJ46">
            <v>19.29</v>
          </cell>
          <cell r="JK46">
            <v>16.850000000000001</v>
          </cell>
          <cell r="JL46">
            <v>12.91</v>
          </cell>
          <cell r="JO46">
            <v>29.76</v>
          </cell>
          <cell r="JP46">
            <v>6.55</v>
          </cell>
          <cell r="JQ46">
            <v>10.39</v>
          </cell>
          <cell r="JT46">
            <v>16.940000000000001</v>
          </cell>
          <cell r="JU46">
            <v>9.49</v>
          </cell>
          <cell r="JV46">
            <v>6.75</v>
          </cell>
          <cell r="JY46">
            <v>16.240000000000002</v>
          </cell>
          <cell r="JZ46">
            <v>13.52</v>
          </cell>
          <cell r="KA46">
            <v>3.68</v>
          </cell>
          <cell r="KD46">
            <v>17.2</v>
          </cell>
          <cell r="KE46">
            <v>20.21</v>
          </cell>
          <cell r="KF46">
            <v>5.08</v>
          </cell>
          <cell r="KG46">
            <v>0</v>
          </cell>
          <cell r="KH46">
            <v>0</v>
          </cell>
          <cell r="KI46">
            <v>25.29</v>
          </cell>
          <cell r="KJ46">
            <v>20.309999999999999</v>
          </cell>
          <cell r="KK46">
            <v>8.25</v>
          </cell>
          <cell r="KL46">
            <v>0</v>
          </cell>
          <cell r="KM46">
            <v>0</v>
          </cell>
          <cell r="KN46">
            <v>28.56</v>
          </cell>
          <cell r="KO46">
            <v>11.84</v>
          </cell>
          <cell r="KP46">
            <v>9.36</v>
          </cell>
          <cell r="KQ46">
            <v>0</v>
          </cell>
          <cell r="KR46">
            <v>0</v>
          </cell>
          <cell r="KS46">
            <v>21.2</v>
          </cell>
          <cell r="KT46">
            <v>14.02</v>
          </cell>
          <cell r="KU46">
            <v>0</v>
          </cell>
          <cell r="KV46">
            <v>0</v>
          </cell>
          <cell r="KW46">
            <v>0</v>
          </cell>
          <cell r="KX46">
            <v>14.02</v>
          </cell>
          <cell r="KZ46">
            <v>233.18999999999997</v>
          </cell>
        </row>
        <row r="47">
          <cell r="B47">
            <v>32</v>
          </cell>
          <cell r="C47">
            <v>0</v>
          </cell>
          <cell r="BK47">
            <v>0</v>
          </cell>
          <cell r="BP47">
            <v>0</v>
          </cell>
          <cell r="BU47">
            <v>0</v>
          </cell>
          <cell r="BZ47">
            <v>0</v>
          </cell>
          <cell r="CE47">
            <v>0</v>
          </cell>
          <cell r="CJ47">
            <v>0</v>
          </cell>
          <cell r="CO47">
            <v>0</v>
          </cell>
          <cell r="CT47">
            <v>0</v>
          </cell>
          <cell r="CY47">
            <v>0</v>
          </cell>
          <cell r="DD47">
            <v>0</v>
          </cell>
          <cell r="DI47">
            <v>0</v>
          </cell>
          <cell r="DN47">
            <v>0</v>
          </cell>
          <cell r="DS47">
            <v>0</v>
          </cell>
          <cell r="DX47">
            <v>0</v>
          </cell>
          <cell r="EC47">
            <v>0</v>
          </cell>
          <cell r="EH47">
            <v>0</v>
          </cell>
          <cell r="EM47">
            <v>0</v>
          </cell>
          <cell r="ER47">
            <v>0</v>
          </cell>
          <cell r="EW47">
            <v>0</v>
          </cell>
          <cell r="FB47">
            <v>0</v>
          </cell>
          <cell r="FG47">
            <v>0</v>
          </cell>
          <cell r="FL47">
            <v>0</v>
          </cell>
          <cell r="FQ47">
            <v>0</v>
          </cell>
          <cell r="FV47">
            <v>0</v>
          </cell>
          <cell r="GA47">
            <v>0</v>
          </cell>
          <cell r="GF47">
            <v>0</v>
          </cell>
          <cell r="GK47">
            <v>0</v>
          </cell>
          <cell r="GP47">
            <v>0</v>
          </cell>
          <cell r="GU47">
            <v>0</v>
          </cell>
          <cell r="GZ47">
            <v>0</v>
          </cell>
          <cell r="HE47">
            <v>0</v>
          </cell>
          <cell r="HJ47">
            <v>0</v>
          </cell>
          <cell r="HO47">
            <v>0</v>
          </cell>
          <cell r="HT47">
            <v>0</v>
          </cell>
          <cell r="HY47">
            <v>0</v>
          </cell>
          <cell r="ID47">
            <v>0</v>
          </cell>
          <cell r="II47">
            <v>0</v>
          </cell>
          <cell r="IN47">
            <v>0</v>
          </cell>
          <cell r="IP47">
            <v>0</v>
          </cell>
          <cell r="IU47">
            <v>0</v>
          </cell>
          <cell r="IZ47">
            <v>0</v>
          </cell>
          <cell r="JE47">
            <v>0</v>
          </cell>
          <cell r="JJ47">
            <v>0</v>
          </cell>
          <cell r="JO47">
            <v>0</v>
          </cell>
          <cell r="JT47">
            <v>0</v>
          </cell>
          <cell r="JY47">
            <v>0</v>
          </cell>
          <cell r="KD47">
            <v>0</v>
          </cell>
          <cell r="KE47" t="str">
            <v/>
          </cell>
          <cell r="KF47" t="str">
            <v/>
          </cell>
          <cell r="KG47" t="str">
            <v/>
          </cell>
          <cell r="KH47" t="str">
            <v/>
          </cell>
          <cell r="KI47">
            <v>0</v>
          </cell>
          <cell r="KJ47" t="str">
            <v/>
          </cell>
          <cell r="KK47" t="str">
            <v/>
          </cell>
          <cell r="KL47" t="str">
            <v/>
          </cell>
          <cell r="KM47" t="str">
            <v/>
          </cell>
          <cell r="KN47">
            <v>0</v>
          </cell>
          <cell r="KO47" t="str">
            <v/>
          </cell>
          <cell r="KP47" t="str">
            <v/>
          </cell>
          <cell r="KQ47" t="str">
            <v/>
          </cell>
          <cell r="KR47" t="str">
            <v/>
          </cell>
          <cell r="KS47">
            <v>0</v>
          </cell>
          <cell r="KT47" t="str">
            <v/>
          </cell>
          <cell r="KU47" t="str">
            <v/>
          </cell>
          <cell r="KV47" t="str">
            <v/>
          </cell>
          <cell r="KW47" t="str">
            <v/>
          </cell>
          <cell r="KX47">
            <v>0</v>
          </cell>
          <cell r="KZ47">
            <v>0</v>
          </cell>
        </row>
        <row r="48">
          <cell r="B48">
            <v>33</v>
          </cell>
          <cell r="C48">
            <v>28.72</v>
          </cell>
          <cell r="AL48">
            <v>0</v>
          </cell>
          <cell r="AQ48">
            <v>0</v>
          </cell>
          <cell r="AR48">
            <v>3.95</v>
          </cell>
          <cell r="AS48">
            <v>5.3</v>
          </cell>
          <cell r="AV48">
            <v>9.25</v>
          </cell>
          <cell r="AW48">
            <v>4.4800000000000004</v>
          </cell>
          <cell r="AX48">
            <v>2.92</v>
          </cell>
          <cell r="BA48">
            <v>7.4</v>
          </cell>
          <cell r="BB48">
            <v>4.83</v>
          </cell>
          <cell r="BF48">
            <v>4.83</v>
          </cell>
          <cell r="BG48">
            <v>4.24</v>
          </cell>
          <cell r="BH48">
            <v>3.78</v>
          </cell>
          <cell r="BK48">
            <v>8.02</v>
          </cell>
          <cell r="BL48">
            <v>1.78</v>
          </cell>
          <cell r="BM48">
            <v>1.84</v>
          </cell>
          <cell r="BN48">
            <v>0.85</v>
          </cell>
          <cell r="BP48">
            <v>4.47</v>
          </cell>
          <cell r="BQ48">
            <v>4.18</v>
          </cell>
          <cell r="BR48">
            <v>0.22</v>
          </cell>
          <cell r="BU48">
            <v>4.3999999999999995</v>
          </cell>
          <cell r="BV48">
            <v>5.31</v>
          </cell>
          <cell r="BZ48">
            <v>5.31</v>
          </cell>
          <cell r="CA48">
            <v>7.9</v>
          </cell>
          <cell r="CE48">
            <v>7.9</v>
          </cell>
          <cell r="CF48">
            <v>3.74</v>
          </cell>
          <cell r="CJ48">
            <v>3.74</v>
          </cell>
          <cell r="CK48">
            <v>14.8</v>
          </cell>
          <cell r="CL48">
            <v>1.38</v>
          </cell>
          <cell r="CO48">
            <v>16.18</v>
          </cell>
          <cell r="CP48">
            <v>21.09</v>
          </cell>
          <cell r="CQ48">
            <v>1.61</v>
          </cell>
          <cell r="CT48">
            <v>22.7</v>
          </cell>
          <cell r="CU48">
            <v>13.99</v>
          </cell>
          <cell r="CV48">
            <v>4.5</v>
          </cell>
          <cell r="CY48">
            <v>18.490000000000002</v>
          </cell>
          <cell r="CZ48">
            <v>17.68</v>
          </cell>
          <cell r="DD48">
            <v>17.68</v>
          </cell>
          <cell r="DE48">
            <v>13.52</v>
          </cell>
          <cell r="DF48">
            <v>8.17</v>
          </cell>
          <cell r="DI48">
            <v>21.689999999999998</v>
          </cell>
          <cell r="DJ48">
            <v>11.3</v>
          </cell>
          <cell r="DK48">
            <v>21.89</v>
          </cell>
          <cell r="DN48">
            <v>33.19</v>
          </cell>
          <cell r="DO48">
            <v>20.69</v>
          </cell>
          <cell r="DS48">
            <v>20.69</v>
          </cell>
          <cell r="DT48">
            <v>20.84</v>
          </cell>
          <cell r="DX48">
            <v>20.84</v>
          </cell>
          <cell r="DY48">
            <v>15.65</v>
          </cell>
          <cell r="DZ48">
            <v>3.9</v>
          </cell>
          <cell r="EC48">
            <v>19.55</v>
          </cell>
          <cell r="ED48">
            <v>7.99</v>
          </cell>
          <cell r="EE48">
            <v>11.48</v>
          </cell>
          <cell r="EH48">
            <v>19.47</v>
          </cell>
          <cell r="EI48">
            <v>3.09</v>
          </cell>
          <cell r="EJ48">
            <v>8.85</v>
          </cell>
          <cell r="EM48">
            <v>11.94</v>
          </cell>
          <cell r="EN48">
            <v>14.39</v>
          </cell>
          <cell r="EO48">
            <v>17.36</v>
          </cell>
          <cell r="ER48">
            <v>31.75</v>
          </cell>
          <cell r="ES48">
            <v>19.45</v>
          </cell>
          <cell r="EW48">
            <v>19.45</v>
          </cell>
          <cell r="EX48">
            <v>16.739999999999998</v>
          </cell>
          <cell r="EY48">
            <v>17.72</v>
          </cell>
          <cell r="FB48">
            <v>34.459999999999994</v>
          </cell>
          <cell r="FC48">
            <v>4.2300000000000004</v>
          </cell>
          <cell r="FD48">
            <v>17.59</v>
          </cell>
          <cell r="FG48">
            <v>21.82</v>
          </cell>
          <cell r="FH48">
            <v>19.89</v>
          </cell>
          <cell r="FI48">
            <v>16.329999999999998</v>
          </cell>
          <cell r="FL48">
            <v>36.22</v>
          </cell>
          <cell r="FM48">
            <v>12.46</v>
          </cell>
          <cell r="FN48">
            <v>14.33</v>
          </cell>
          <cell r="FQ48">
            <v>26.79</v>
          </cell>
          <cell r="FR48">
            <v>15.27</v>
          </cell>
          <cell r="FS48">
            <v>18.04</v>
          </cell>
          <cell r="FV48">
            <v>33.31</v>
          </cell>
          <cell r="FW48">
            <v>21.06</v>
          </cell>
          <cell r="FX48">
            <v>14.28</v>
          </cell>
          <cell r="GA48">
            <v>35.339999999999996</v>
          </cell>
          <cell r="GB48">
            <v>14.06</v>
          </cell>
          <cell r="GC48">
            <v>11.13</v>
          </cell>
          <cell r="GF48">
            <v>25.19</v>
          </cell>
          <cell r="GG48">
            <v>11.13</v>
          </cell>
          <cell r="GH48">
            <v>9.5299999999999994</v>
          </cell>
          <cell r="GK48">
            <v>20.66</v>
          </cell>
          <cell r="GL48">
            <v>8.89</v>
          </cell>
          <cell r="GM48">
            <v>6.29</v>
          </cell>
          <cell r="GP48">
            <v>15.18</v>
          </cell>
          <cell r="GQ48">
            <v>9.2100000000000009</v>
          </cell>
          <cell r="GR48">
            <v>4.18</v>
          </cell>
          <cell r="GU48">
            <v>13.39</v>
          </cell>
          <cell r="GV48">
            <v>12.96</v>
          </cell>
          <cell r="GW48">
            <v>10.77</v>
          </cell>
          <cell r="GZ48">
            <v>23.73</v>
          </cell>
          <cell r="HA48">
            <v>16.489999999999998</v>
          </cell>
          <cell r="HB48">
            <v>9.48</v>
          </cell>
          <cell r="HE48">
            <v>25.97</v>
          </cell>
          <cell r="HF48">
            <v>21.71</v>
          </cell>
          <cell r="HG48">
            <v>8.4600000000000009</v>
          </cell>
          <cell r="HJ48">
            <v>30.17</v>
          </cell>
          <cell r="HK48">
            <v>4.7300000000000004</v>
          </cell>
          <cell r="HL48">
            <v>14.86</v>
          </cell>
          <cell r="HM48">
            <v>4.1900000000000004</v>
          </cell>
          <cell r="HO48">
            <v>23.78</v>
          </cell>
          <cell r="HP48">
            <v>14.31</v>
          </cell>
          <cell r="HQ48">
            <v>23.55</v>
          </cell>
          <cell r="HT48">
            <v>37.86</v>
          </cell>
          <cell r="HU48">
            <v>21.87</v>
          </cell>
          <cell r="HV48">
            <v>23.98</v>
          </cell>
          <cell r="HY48">
            <v>45.85</v>
          </cell>
          <cell r="HZ48">
            <v>29.02</v>
          </cell>
          <cell r="IA48">
            <v>18.73</v>
          </cell>
          <cell r="ID48">
            <v>47.75</v>
          </cell>
          <cell r="IE48">
            <v>26.46</v>
          </cell>
          <cell r="IF48">
            <v>17.61</v>
          </cell>
          <cell r="II48">
            <v>44.07</v>
          </cell>
          <cell r="IJ48">
            <v>20.59</v>
          </cell>
          <cell r="IK48">
            <v>10.199999999999999</v>
          </cell>
          <cell r="IN48">
            <v>30.79</v>
          </cell>
          <cell r="IP48">
            <v>359.20000000000005</v>
          </cell>
          <cell r="IQ48">
            <v>9.4600000000000009</v>
          </cell>
          <cell r="IR48">
            <v>21.96</v>
          </cell>
          <cell r="IU48">
            <v>31.42</v>
          </cell>
          <cell r="IV48">
            <v>23.3</v>
          </cell>
          <cell r="IW48">
            <v>5.86</v>
          </cell>
          <cell r="IZ48">
            <v>29.16</v>
          </cell>
          <cell r="JA48">
            <v>20.6</v>
          </cell>
          <cell r="JB48">
            <v>16.95</v>
          </cell>
          <cell r="JE48">
            <v>37.549999999999997</v>
          </cell>
          <cell r="JF48">
            <v>19.89</v>
          </cell>
          <cell r="JG48">
            <v>13.65</v>
          </cell>
          <cell r="JJ48">
            <v>33.54</v>
          </cell>
          <cell r="JK48">
            <v>23.47</v>
          </cell>
          <cell r="JL48">
            <v>26.73</v>
          </cell>
          <cell r="JO48">
            <v>50.2</v>
          </cell>
          <cell r="JP48">
            <v>4.6399999999999997</v>
          </cell>
          <cell r="JQ48">
            <v>22.49</v>
          </cell>
          <cell r="JT48">
            <v>27.13</v>
          </cell>
          <cell r="JU48">
            <v>17.079999999999998</v>
          </cell>
          <cell r="JV48">
            <v>17.260000000000002</v>
          </cell>
          <cell r="JY48">
            <v>34.340000000000003</v>
          </cell>
          <cell r="JZ48">
            <v>23.57</v>
          </cell>
          <cell r="KA48">
            <v>9.56</v>
          </cell>
          <cell r="KD48">
            <v>33.130000000000003</v>
          </cell>
          <cell r="KE48">
            <v>27.339999999999996</v>
          </cell>
          <cell r="KF48">
            <v>13.600000000000001</v>
          </cell>
          <cell r="KG48">
            <v>0</v>
          </cell>
          <cell r="KH48">
            <v>0</v>
          </cell>
          <cell r="KI48">
            <v>40.94</v>
          </cell>
          <cell r="KJ48">
            <v>30.77</v>
          </cell>
          <cell r="KK48">
            <v>23.62</v>
          </cell>
          <cell r="KL48">
            <v>0</v>
          </cell>
          <cell r="KM48">
            <v>0</v>
          </cell>
          <cell r="KN48">
            <v>54.39</v>
          </cell>
          <cell r="KO48">
            <v>27.73</v>
          </cell>
          <cell r="KP48">
            <v>28.55</v>
          </cell>
          <cell r="KQ48">
            <v>0</v>
          </cell>
          <cell r="KR48">
            <v>0</v>
          </cell>
          <cell r="KS48">
            <v>56.28</v>
          </cell>
          <cell r="KT48">
            <v>24.580000000000002</v>
          </cell>
          <cell r="KU48">
            <v>25.439999999999998</v>
          </cell>
          <cell r="KV48">
            <v>0</v>
          </cell>
          <cell r="KW48">
            <v>0</v>
          </cell>
          <cell r="KX48">
            <v>50.019999999999996</v>
          </cell>
          <cell r="KZ48">
            <v>478.1</v>
          </cell>
        </row>
        <row r="49">
          <cell r="B49">
            <v>39</v>
          </cell>
          <cell r="C49">
            <v>4.5</v>
          </cell>
          <cell r="AL49">
            <v>0</v>
          </cell>
          <cell r="AQ49">
            <v>0</v>
          </cell>
          <cell r="AR49">
            <v>1.71</v>
          </cell>
          <cell r="AV49">
            <v>1.71</v>
          </cell>
          <cell r="AW49">
            <v>1.37</v>
          </cell>
          <cell r="BA49">
            <v>1.37</v>
          </cell>
          <cell r="BB49">
            <v>1.29</v>
          </cell>
          <cell r="BF49">
            <v>1.29</v>
          </cell>
          <cell r="BG49">
            <v>1.67</v>
          </cell>
          <cell r="BK49">
            <v>1.67</v>
          </cell>
          <cell r="BL49">
            <v>1.2</v>
          </cell>
          <cell r="BP49">
            <v>1.2</v>
          </cell>
          <cell r="BQ49">
            <v>1.17</v>
          </cell>
          <cell r="BR49">
            <v>1.02</v>
          </cell>
          <cell r="BU49">
            <v>2.19</v>
          </cell>
          <cell r="BV49">
            <v>0.74</v>
          </cell>
          <cell r="BZ49">
            <v>0.74</v>
          </cell>
          <cell r="CE49">
            <v>0</v>
          </cell>
          <cell r="CJ49">
            <v>0</v>
          </cell>
          <cell r="CK49">
            <v>1.65</v>
          </cell>
          <cell r="CL49">
            <v>0.6</v>
          </cell>
          <cell r="CO49">
            <v>2.25</v>
          </cell>
          <cell r="CP49">
            <v>0.7</v>
          </cell>
          <cell r="CQ49">
            <v>0.7</v>
          </cell>
          <cell r="CT49">
            <v>1.4</v>
          </cell>
          <cell r="CU49">
            <v>0.62</v>
          </cell>
          <cell r="CV49">
            <v>0.87</v>
          </cell>
          <cell r="CY49">
            <v>1.49</v>
          </cell>
          <cell r="CZ49">
            <v>0.45</v>
          </cell>
          <cell r="DA49">
            <v>1.34</v>
          </cell>
          <cell r="DD49">
            <v>1.79</v>
          </cell>
          <cell r="DI49">
            <v>0</v>
          </cell>
          <cell r="DJ49">
            <v>1.5</v>
          </cell>
          <cell r="DN49">
            <v>1.5</v>
          </cell>
          <cell r="DO49">
            <v>1.6</v>
          </cell>
          <cell r="DP49">
            <v>0.96</v>
          </cell>
          <cell r="DS49">
            <v>2.56</v>
          </cell>
          <cell r="DX49">
            <v>0</v>
          </cell>
          <cell r="DY49">
            <v>2.0499999999999998</v>
          </cell>
          <cell r="EC49">
            <v>2.0499999999999998</v>
          </cell>
          <cell r="EH49">
            <v>0</v>
          </cell>
          <cell r="EM49">
            <v>0</v>
          </cell>
          <cell r="EN49">
            <v>0.98</v>
          </cell>
          <cell r="ER49">
            <v>0.98</v>
          </cell>
          <cell r="ES49">
            <v>0.6</v>
          </cell>
          <cell r="ET49">
            <v>0.6</v>
          </cell>
          <cell r="EW49">
            <v>1.2</v>
          </cell>
          <cell r="EX49">
            <v>0.7</v>
          </cell>
          <cell r="FB49">
            <v>0.7</v>
          </cell>
          <cell r="FC49">
            <v>0.8</v>
          </cell>
          <cell r="FD49">
            <v>0.7</v>
          </cell>
          <cell r="FG49">
            <v>1.5</v>
          </cell>
          <cell r="FH49">
            <v>0.8</v>
          </cell>
          <cell r="FI49">
            <v>0.9</v>
          </cell>
          <cell r="FL49">
            <v>1.7000000000000002</v>
          </cell>
          <cell r="FM49">
            <v>0.92</v>
          </cell>
          <cell r="FN49">
            <v>1</v>
          </cell>
          <cell r="FQ49">
            <v>1.92</v>
          </cell>
          <cell r="FR49">
            <v>1.32</v>
          </cell>
          <cell r="FV49">
            <v>1.32</v>
          </cell>
          <cell r="FW49">
            <v>1.69</v>
          </cell>
          <cell r="FX49">
            <v>1.22</v>
          </cell>
          <cell r="GA49">
            <v>2.91</v>
          </cell>
          <cell r="GB49">
            <v>0.53</v>
          </cell>
          <cell r="GC49">
            <v>2.5</v>
          </cell>
          <cell r="GF49">
            <v>3.0300000000000002</v>
          </cell>
          <cell r="GG49">
            <v>1.79</v>
          </cell>
          <cell r="GH49">
            <v>1.18</v>
          </cell>
          <cell r="GK49">
            <v>2.9699999999999998</v>
          </cell>
          <cell r="GP49">
            <v>0</v>
          </cell>
          <cell r="GQ49">
            <v>1.79</v>
          </cell>
          <cell r="GR49">
            <v>0.42</v>
          </cell>
          <cell r="GU49">
            <v>2.21</v>
          </cell>
          <cell r="GV49">
            <v>1.5</v>
          </cell>
          <cell r="GZ49">
            <v>1.5</v>
          </cell>
          <cell r="HA49">
            <v>1.0900000000000001</v>
          </cell>
          <cell r="HB49">
            <v>0.99</v>
          </cell>
          <cell r="HE49">
            <v>2.08</v>
          </cell>
          <cell r="HF49">
            <v>1.02</v>
          </cell>
          <cell r="HG49">
            <v>1.02</v>
          </cell>
          <cell r="HJ49">
            <v>2.04</v>
          </cell>
          <cell r="HK49">
            <v>1</v>
          </cell>
          <cell r="HL49">
            <v>0.9</v>
          </cell>
          <cell r="HO49">
            <v>1.9</v>
          </cell>
          <cell r="HP49">
            <v>1.19</v>
          </cell>
          <cell r="HQ49">
            <v>2.21</v>
          </cell>
          <cell r="HT49">
            <v>3.4</v>
          </cell>
          <cell r="HU49">
            <v>2.21</v>
          </cell>
          <cell r="HV49">
            <v>2.48</v>
          </cell>
          <cell r="HY49">
            <v>4.6899999999999995</v>
          </cell>
          <cell r="HZ49">
            <v>1.93</v>
          </cell>
          <cell r="ID49">
            <v>1.93</v>
          </cell>
          <cell r="IE49">
            <v>2.4700000000000002</v>
          </cell>
          <cell r="IF49">
            <v>1.84</v>
          </cell>
          <cell r="II49">
            <v>4.3100000000000005</v>
          </cell>
          <cell r="IJ49">
            <v>1.19</v>
          </cell>
          <cell r="IK49">
            <v>2.02</v>
          </cell>
          <cell r="IN49">
            <v>3.21</v>
          </cell>
          <cell r="IP49">
            <v>30.240000000000002</v>
          </cell>
          <cell r="IQ49">
            <v>2.2599999999999998</v>
          </cell>
          <cell r="IU49">
            <v>2.2599999999999998</v>
          </cell>
          <cell r="IV49">
            <v>3.29</v>
          </cell>
          <cell r="IZ49">
            <v>3.29</v>
          </cell>
          <cell r="JA49">
            <v>1.2</v>
          </cell>
          <cell r="JB49">
            <v>1.05</v>
          </cell>
          <cell r="JE49">
            <v>2.25</v>
          </cell>
          <cell r="JF49">
            <v>1.1399999999999999</v>
          </cell>
          <cell r="JG49">
            <v>1.58</v>
          </cell>
          <cell r="JJ49">
            <v>2.7199999999999998</v>
          </cell>
          <cell r="JK49">
            <v>1.46</v>
          </cell>
          <cell r="JL49">
            <v>0.56999999999999995</v>
          </cell>
          <cell r="JO49">
            <v>2.0299999999999998</v>
          </cell>
          <cell r="JP49">
            <v>1.56</v>
          </cell>
          <cell r="JT49">
            <v>1.56</v>
          </cell>
          <cell r="JU49">
            <v>1.47</v>
          </cell>
          <cell r="JV49">
            <v>1.91</v>
          </cell>
          <cell r="JY49">
            <v>3.38</v>
          </cell>
          <cell r="JZ49">
            <v>1.21</v>
          </cell>
          <cell r="KA49">
            <v>3.25</v>
          </cell>
          <cell r="KD49">
            <v>4.46</v>
          </cell>
          <cell r="KE49">
            <v>0.96</v>
          </cell>
          <cell r="KF49">
            <v>3.54</v>
          </cell>
          <cell r="KG49">
            <v>0</v>
          </cell>
          <cell r="KH49">
            <v>0</v>
          </cell>
          <cell r="KI49">
            <v>4.5</v>
          </cell>
          <cell r="KJ49">
            <v>4.07</v>
          </cell>
          <cell r="KK49">
            <v>2.3199999999999998</v>
          </cell>
          <cell r="KL49">
            <v>0</v>
          </cell>
          <cell r="KM49">
            <v>0</v>
          </cell>
          <cell r="KN49">
            <v>6.3900000000000006</v>
          </cell>
          <cell r="KO49">
            <v>2.19</v>
          </cell>
          <cell r="KP49">
            <v>2.21</v>
          </cell>
          <cell r="KQ49">
            <v>0</v>
          </cell>
          <cell r="KR49">
            <v>0</v>
          </cell>
          <cell r="KS49">
            <v>4.4000000000000004</v>
          </cell>
          <cell r="KT49">
            <v>2.39</v>
          </cell>
          <cell r="KU49">
            <v>0</v>
          </cell>
          <cell r="KV49">
            <v>0</v>
          </cell>
          <cell r="KW49">
            <v>0</v>
          </cell>
          <cell r="KX49">
            <v>2.39</v>
          </cell>
          <cell r="KZ49">
            <v>39.630000000000003</v>
          </cell>
        </row>
        <row r="50">
          <cell r="C50">
            <v>1416.5100000000002</v>
          </cell>
          <cell r="D50">
            <v>998.31000000000017</v>
          </cell>
          <cell r="E50">
            <v>499.36</v>
          </cell>
          <cell r="H50">
            <v>1497.67</v>
          </cell>
          <cell r="I50">
            <v>1067.48</v>
          </cell>
          <cell r="J50">
            <v>215.59</v>
          </cell>
          <cell r="K50">
            <v>0</v>
          </cell>
          <cell r="L50">
            <v>0</v>
          </cell>
          <cell r="M50">
            <v>1283.0700000000002</v>
          </cell>
          <cell r="N50">
            <v>1104.0899999999999</v>
          </cell>
          <cell r="O50">
            <v>222.39</v>
          </cell>
          <cell r="P50">
            <v>0</v>
          </cell>
          <cell r="Q50">
            <v>0</v>
          </cell>
          <cell r="R50">
            <v>1326.48</v>
          </cell>
          <cell r="S50">
            <v>884.66000000000008</v>
          </cell>
          <cell r="T50">
            <v>550.76999999999987</v>
          </cell>
          <cell r="U50">
            <v>53.400000000000006</v>
          </cell>
          <cell r="V50">
            <v>0</v>
          </cell>
          <cell r="W50">
            <v>1488.83</v>
          </cell>
          <cell r="X50">
            <v>926.23999999999978</v>
          </cell>
          <cell r="Y50">
            <v>433.43000000000006</v>
          </cell>
          <cell r="Z50">
            <v>132</v>
          </cell>
          <cell r="AA50">
            <v>0</v>
          </cell>
          <cell r="AB50">
            <v>1491.67</v>
          </cell>
          <cell r="AC50">
            <v>1047.8700000000001</v>
          </cell>
          <cell r="AD50">
            <v>525.16999999999996</v>
          </cell>
          <cell r="AE50">
            <v>18.46</v>
          </cell>
          <cell r="AF50">
            <v>0</v>
          </cell>
          <cell r="AG50">
            <v>1591.4999999999995</v>
          </cell>
          <cell r="AH50">
            <v>858.05000000000018</v>
          </cell>
          <cell r="AI50">
            <v>448.69</v>
          </cell>
          <cell r="AJ50">
            <v>177.25</v>
          </cell>
          <cell r="AK50">
            <v>0</v>
          </cell>
          <cell r="AL50">
            <v>1483.99</v>
          </cell>
          <cell r="AM50">
            <v>920.44</v>
          </cell>
          <cell r="AN50">
            <v>700.93999999999994</v>
          </cell>
          <cell r="AO50">
            <v>75.75</v>
          </cell>
          <cell r="AP50">
            <v>0</v>
          </cell>
          <cell r="AQ50">
            <v>1697.1299999999999</v>
          </cell>
          <cell r="AR50">
            <v>1183.0900000000001</v>
          </cell>
          <cell r="AS50">
            <v>828.74</v>
          </cell>
          <cell r="AT50">
            <v>60.04</v>
          </cell>
          <cell r="AU50">
            <v>0</v>
          </cell>
          <cell r="AV50">
            <v>2071.8700000000003</v>
          </cell>
          <cell r="AW50">
            <v>1186.7700000000002</v>
          </cell>
          <cell r="AX50">
            <v>694.88000000000011</v>
          </cell>
          <cell r="AY50">
            <v>0</v>
          </cell>
          <cell r="AZ50">
            <v>0</v>
          </cell>
          <cell r="BA50">
            <v>1881.65</v>
          </cell>
          <cell r="BB50">
            <v>1483.9500000000003</v>
          </cell>
          <cell r="BC50">
            <v>764.7600000000001</v>
          </cell>
          <cell r="BD50">
            <v>24.97</v>
          </cell>
          <cell r="BE50">
            <v>0</v>
          </cell>
          <cell r="BF50">
            <v>2273.6800000000003</v>
          </cell>
          <cell r="BG50">
            <v>1401.1700000000003</v>
          </cell>
          <cell r="BH50">
            <v>726.61000000000013</v>
          </cell>
          <cell r="BI50">
            <v>0</v>
          </cell>
          <cell r="BJ50">
            <v>0</v>
          </cell>
          <cell r="BK50">
            <v>2127.7800000000002</v>
          </cell>
          <cell r="BL50">
            <v>1213.94</v>
          </cell>
          <cell r="BM50">
            <v>578.34999999999991</v>
          </cell>
          <cell r="BN50">
            <v>44.07</v>
          </cell>
          <cell r="BO50">
            <v>0</v>
          </cell>
          <cell r="BP50">
            <v>1836.3600000000006</v>
          </cell>
          <cell r="BQ50">
            <v>704.45999999999992</v>
          </cell>
          <cell r="BR50">
            <v>473.97</v>
          </cell>
          <cell r="BS50">
            <v>98.320000000000007</v>
          </cell>
          <cell r="BT50">
            <v>0</v>
          </cell>
          <cell r="BU50">
            <v>1276.75</v>
          </cell>
          <cell r="BV50">
            <v>399.82999999999987</v>
          </cell>
          <cell r="BW50">
            <v>348.04</v>
          </cell>
          <cell r="BX50">
            <v>74.959999999999994</v>
          </cell>
          <cell r="BY50">
            <v>0</v>
          </cell>
          <cell r="BZ50">
            <v>822.8299999999997</v>
          </cell>
          <cell r="CA50">
            <v>494.32999999999987</v>
          </cell>
          <cell r="CB50">
            <v>452.21</v>
          </cell>
          <cell r="CC50">
            <v>114.91</v>
          </cell>
          <cell r="CD50">
            <v>0</v>
          </cell>
          <cell r="CE50">
            <v>1061.4500000000003</v>
          </cell>
          <cell r="CF50">
            <v>664.18999999999983</v>
          </cell>
          <cell r="CG50">
            <v>528.41999999999996</v>
          </cell>
          <cell r="CH50">
            <v>81.929999999999978</v>
          </cell>
          <cell r="CI50">
            <v>0</v>
          </cell>
          <cell r="CJ50">
            <v>1274.5399999999995</v>
          </cell>
          <cell r="CK50">
            <v>775.86999999999978</v>
          </cell>
          <cell r="CL50">
            <v>601.27</v>
          </cell>
          <cell r="CM50">
            <v>118.99999999999999</v>
          </cell>
          <cell r="CN50">
            <v>0</v>
          </cell>
          <cell r="CO50">
            <v>1496.1400000000003</v>
          </cell>
          <cell r="CP50">
            <v>522.84000000000015</v>
          </cell>
          <cell r="CQ50">
            <v>569.61</v>
          </cell>
          <cell r="CR50">
            <v>270.89</v>
          </cell>
          <cell r="CS50">
            <v>0</v>
          </cell>
          <cell r="CT50">
            <v>1363.34</v>
          </cell>
          <cell r="CU50">
            <v>719.7800000000002</v>
          </cell>
          <cell r="CV50">
            <v>637.85</v>
          </cell>
          <cell r="CW50">
            <v>126.19</v>
          </cell>
          <cell r="CX50">
            <v>0</v>
          </cell>
          <cell r="CY50">
            <v>1483.8200000000002</v>
          </cell>
          <cell r="CZ50">
            <v>1046.2900000000002</v>
          </cell>
          <cell r="DA50">
            <v>720.73</v>
          </cell>
          <cell r="DB50">
            <v>129.36000000000001</v>
          </cell>
          <cell r="DC50">
            <v>0</v>
          </cell>
          <cell r="DD50">
            <v>1896.38</v>
          </cell>
          <cell r="DE50">
            <v>1209.3400000000001</v>
          </cell>
          <cell r="DF50">
            <v>635.41999999999985</v>
          </cell>
          <cell r="DG50">
            <v>38.700000000000003</v>
          </cell>
          <cell r="DH50">
            <v>0</v>
          </cell>
          <cell r="DI50">
            <v>1883.4599999999998</v>
          </cell>
          <cell r="DJ50">
            <v>1628.0800000000004</v>
          </cell>
          <cell r="DK50">
            <v>702.58</v>
          </cell>
          <cell r="DL50">
            <v>15.84</v>
          </cell>
          <cell r="DM50">
            <v>0</v>
          </cell>
          <cell r="DN50">
            <v>2346.5000000000009</v>
          </cell>
          <cell r="DO50">
            <v>1574.9700000000003</v>
          </cell>
          <cell r="DP50">
            <v>361.20999999999992</v>
          </cell>
          <cell r="DQ50">
            <v>0</v>
          </cell>
          <cell r="DR50">
            <v>0</v>
          </cell>
          <cell r="DS50">
            <v>1936.1800000000003</v>
          </cell>
          <cell r="DT50">
            <v>1496.3799999999999</v>
          </cell>
          <cell r="DU50">
            <v>494.65999999999997</v>
          </cell>
          <cell r="DV50">
            <v>0</v>
          </cell>
          <cell r="DW50">
            <v>0</v>
          </cell>
          <cell r="DX50">
            <v>1991.0399999999997</v>
          </cell>
          <cell r="DY50">
            <v>1115.7899999999997</v>
          </cell>
          <cell r="DZ50">
            <v>335.15999999999997</v>
          </cell>
          <cell r="EA50">
            <v>0</v>
          </cell>
          <cell r="EB50">
            <v>0</v>
          </cell>
          <cell r="EC50">
            <v>1450.9499999999996</v>
          </cell>
          <cell r="ED50">
            <v>860.12000000000012</v>
          </cell>
          <cell r="EE50">
            <v>331.60300000000001</v>
          </cell>
          <cell r="EF50">
            <v>0</v>
          </cell>
          <cell r="EG50">
            <v>0</v>
          </cell>
          <cell r="EH50">
            <v>1191.723</v>
          </cell>
          <cell r="EI50">
            <v>777.43000000000006</v>
          </cell>
          <cell r="EJ50">
            <v>557.05000000000018</v>
          </cell>
          <cell r="EK50">
            <v>0</v>
          </cell>
          <cell r="EL50">
            <v>0</v>
          </cell>
          <cell r="EM50">
            <v>1334.4799999999998</v>
          </cell>
          <cell r="EN50">
            <v>794.02999999999975</v>
          </cell>
          <cell r="EO50">
            <v>424.47</v>
          </cell>
          <cell r="EP50">
            <v>44.980000000000004</v>
          </cell>
          <cell r="EQ50">
            <v>0</v>
          </cell>
          <cell r="ER50">
            <v>1263.4800000000002</v>
          </cell>
          <cell r="ES50">
            <v>830.84000000000015</v>
          </cell>
          <cell r="ET50">
            <v>494.32</v>
          </cell>
          <cell r="EU50">
            <v>75.669999999999987</v>
          </cell>
          <cell r="EV50">
            <v>0</v>
          </cell>
          <cell r="EW50">
            <v>1400.8300000000002</v>
          </cell>
          <cell r="EX50">
            <v>788.3900000000001</v>
          </cell>
          <cell r="EY50">
            <v>625.99</v>
          </cell>
          <cell r="EZ50">
            <v>9.7199999999999989</v>
          </cell>
          <cell r="FA50">
            <v>0</v>
          </cell>
          <cell r="FB50">
            <v>1424.1000000000004</v>
          </cell>
          <cell r="FC50">
            <v>762.55000000000007</v>
          </cell>
          <cell r="FD50">
            <v>802.03000000000009</v>
          </cell>
          <cell r="FE50">
            <v>17.669999999999998</v>
          </cell>
          <cell r="FF50">
            <v>0</v>
          </cell>
          <cell r="FG50">
            <v>1582.2499999999998</v>
          </cell>
          <cell r="FH50">
            <v>852.80999999999983</v>
          </cell>
          <cell r="FI50">
            <v>805.55999999999972</v>
          </cell>
          <cell r="FJ50">
            <v>0</v>
          </cell>
          <cell r="FK50">
            <v>0</v>
          </cell>
          <cell r="FL50">
            <v>1658.3699999999997</v>
          </cell>
          <cell r="FM50">
            <v>964.15000000000009</v>
          </cell>
          <cell r="FN50">
            <v>833.87000000000012</v>
          </cell>
          <cell r="FO50">
            <v>8.9</v>
          </cell>
          <cell r="FP50">
            <v>0</v>
          </cell>
          <cell r="FQ50">
            <v>1806.9199999999998</v>
          </cell>
          <cell r="FR50">
            <v>1076.5299999999997</v>
          </cell>
          <cell r="FS50">
            <v>889.6099999999999</v>
          </cell>
          <cell r="FT50">
            <v>0</v>
          </cell>
          <cell r="FU50">
            <v>0</v>
          </cell>
          <cell r="FV50">
            <v>1966.14</v>
          </cell>
          <cell r="FW50">
            <v>1010.4399999999999</v>
          </cell>
          <cell r="FX50">
            <v>792.67</v>
          </cell>
          <cell r="FY50">
            <v>0</v>
          </cell>
          <cell r="FZ50">
            <v>0</v>
          </cell>
          <cell r="GA50">
            <v>1803.11</v>
          </cell>
          <cell r="GB50">
            <v>890.7700000000001</v>
          </cell>
          <cell r="GC50">
            <v>646.64</v>
          </cell>
          <cell r="GD50">
            <v>8.01</v>
          </cell>
          <cell r="GE50">
            <v>0</v>
          </cell>
          <cell r="GF50">
            <v>1545.4199999999998</v>
          </cell>
          <cell r="GG50">
            <v>861.71999999999991</v>
          </cell>
          <cell r="GH50">
            <v>465.78000000000003</v>
          </cell>
          <cell r="GI50">
            <v>0.71</v>
          </cell>
          <cell r="GJ50">
            <v>0</v>
          </cell>
          <cell r="GK50">
            <v>1328.2100000000003</v>
          </cell>
          <cell r="GL50">
            <v>452.50999999999993</v>
          </cell>
          <cell r="GM50">
            <v>381.16999999999996</v>
          </cell>
          <cell r="GN50">
            <v>18.36</v>
          </cell>
          <cell r="GO50">
            <v>0</v>
          </cell>
          <cell r="GP50">
            <v>852.04</v>
          </cell>
          <cell r="GQ50">
            <v>351.46</v>
          </cell>
          <cell r="GR50">
            <v>256.66000000000003</v>
          </cell>
          <cell r="GS50">
            <v>47.850000000000009</v>
          </cell>
          <cell r="GT50">
            <v>0</v>
          </cell>
          <cell r="GU50">
            <v>655.97</v>
          </cell>
          <cell r="GV50">
            <v>620.55300000000011</v>
          </cell>
          <cell r="GW50">
            <v>443.53999999999996</v>
          </cell>
          <cell r="GX50">
            <v>0</v>
          </cell>
          <cell r="GY50">
            <v>0</v>
          </cell>
          <cell r="GZ50">
            <v>1064.0929999999998</v>
          </cell>
          <cell r="HA50">
            <v>731.4699999999998</v>
          </cell>
          <cell r="HB50">
            <v>522.7399999999999</v>
          </cell>
          <cell r="HC50">
            <v>98.420000000000016</v>
          </cell>
          <cell r="HD50">
            <v>0</v>
          </cell>
          <cell r="HE50">
            <v>1352.6299999999999</v>
          </cell>
          <cell r="HF50">
            <v>611.5</v>
          </cell>
          <cell r="HG50">
            <v>575.41000000000008</v>
          </cell>
          <cell r="HH50">
            <v>99.050000000000011</v>
          </cell>
          <cell r="HI50">
            <v>0</v>
          </cell>
          <cell r="HJ50">
            <v>1285.9600000000003</v>
          </cell>
          <cell r="HK50">
            <v>796.53000000000009</v>
          </cell>
          <cell r="HL50">
            <v>619.87000000000023</v>
          </cell>
          <cell r="HM50">
            <v>121.15</v>
          </cell>
          <cell r="HN50">
            <v>0</v>
          </cell>
          <cell r="HO50">
            <v>1537.55</v>
          </cell>
          <cell r="HP50">
            <v>975.57000000000016</v>
          </cell>
          <cell r="HQ50">
            <v>1089.8399999999995</v>
          </cell>
          <cell r="HR50">
            <v>71.41</v>
          </cell>
          <cell r="HS50">
            <v>0</v>
          </cell>
          <cell r="HT50">
            <v>2136.8200000000002</v>
          </cell>
          <cell r="HU50">
            <v>1613.68</v>
          </cell>
          <cell r="HV50">
            <v>693.88000000000011</v>
          </cell>
          <cell r="HW50">
            <v>34.22</v>
          </cell>
          <cell r="HX50">
            <v>0</v>
          </cell>
          <cell r="HY50">
            <v>2341.7800000000002</v>
          </cell>
          <cell r="HZ50">
            <v>1801.9199999999998</v>
          </cell>
          <cell r="IA50">
            <v>830.00000000000034</v>
          </cell>
          <cell r="IB50">
            <v>8.81</v>
          </cell>
          <cell r="IC50">
            <v>0</v>
          </cell>
          <cell r="ID50">
            <v>2640.7299999999991</v>
          </cell>
          <cell r="IE50">
            <v>1197.78</v>
          </cell>
          <cell r="IF50">
            <v>945.81000000000006</v>
          </cell>
          <cell r="IG50">
            <v>161.35</v>
          </cell>
          <cell r="IH50">
            <v>0</v>
          </cell>
          <cell r="II50">
            <v>2304.94</v>
          </cell>
          <cell r="IJ50">
            <v>1065.6100000000001</v>
          </cell>
          <cell r="IK50">
            <v>795.41000000000008</v>
          </cell>
          <cell r="IL50">
            <v>128.41</v>
          </cell>
          <cell r="IM50">
            <v>0</v>
          </cell>
          <cell r="IN50">
            <v>1989.4299999999998</v>
          </cell>
          <cell r="IP50">
            <v>19490.153000000002</v>
          </cell>
          <cell r="IQ50">
            <v>935.78</v>
          </cell>
          <cell r="IR50">
            <v>417.46000000000004</v>
          </cell>
          <cell r="IS50">
            <v>14.31</v>
          </cell>
          <cell r="IT50">
            <v>0</v>
          </cell>
          <cell r="IU50">
            <v>1367.55</v>
          </cell>
          <cell r="IV50">
            <v>1100.2199999999998</v>
          </cell>
          <cell r="IW50">
            <v>422.92000000000013</v>
          </cell>
          <cell r="IX50">
            <v>4.78</v>
          </cell>
          <cell r="IY50">
            <v>0</v>
          </cell>
          <cell r="IZ50">
            <v>1527.92</v>
          </cell>
          <cell r="JA50">
            <v>732.11999999999989</v>
          </cell>
          <cell r="JB50">
            <v>579.50000000000023</v>
          </cell>
          <cell r="JC50">
            <v>93.18</v>
          </cell>
          <cell r="JD50">
            <v>0</v>
          </cell>
          <cell r="JE50">
            <v>1404.8000000000004</v>
          </cell>
          <cell r="JF50">
            <v>1366.4300000000003</v>
          </cell>
          <cell r="JG50">
            <v>562.80000000000007</v>
          </cell>
          <cell r="JH50">
            <v>0</v>
          </cell>
          <cell r="JI50">
            <v>0</v>
          </cell>
          <cell r="JJ50">
            <v>1929.2300000000002</v>
          </cell>
          <cell r="JK50">
            <v>842.90000000000032</v>
          </cell>
          <cell r="JL50">
            <v>575.22000000000014</v>
          </cell>
          <cell r="JM50">
            <v>320.94</v>
          </cell>
          <cell r="JN50">
            <v>0</v>
          </cell>
          <cell r="JO50">
            <v>1739.06</v>
          </cell>
          <cell r="JP50">
            <v>852.04999999999984</v>
          </cell>
          <cell r="JQ50">
            <v>554.30999999999995</v>
          </cell>
          <cell r="JR50">
            <v>147.91999999999999</v>
          </cell>
          <cell r="JS50">
            <v>0</v>
          </cell>
          <cell r="JT50">
            <v>1554.2800000000004</v>
          </cell>
          <cell r="JU50">
            <v>781.5500000000003</v>
          </cell>
          <cell r="JV50">
            <v>658.49</v>
          </cell>
          <cell r="JW50">
            <v>131.84</v>
          </cell>
          <cell r="JX50">
            <v>0</v>
          </cell>
          <cell r="JY50">
            <v>1571.88</v>
          </cell>
          <cell r="JZ50">
            <v>910.21</v>
          </cell>
          <cell r="KA50">
            <v>693.61999999999989</v>
          </cell>
          <cell r="KB50">
            <v>147.98999999999998</v>
          </cell>
          <cell r="KC50">
            <v>0</v>
          </cell>
          <cell r="KD50">
            <v>1751.82</v>
          </cell>
          <cell r="KE50">
            <v>925.25000000000034</v>
          </cell>
          <cell r="KF50">
            <v>872.35000000000025</v>
          </cell>
          <cell r="KG50">
            <v>143.48000000000002</v>
          </cell>
          <cell r="KH50">
            <v>0</v>
          </cell>
          <cell r="KI50">
            <v>1941.08</v>
          </cell>
          <cell r="KJ50">
            <v>1297.8999999999994</v>
          </cell>
          <cell r="KK50">
            <v>1181.2299999999998</v>
          </cell>
          <cell r="KL50">
            <v>0</v>
          </cell>
          <cell r="KM50">
            <v>0</v>
          </cell>
          <cell r="KN50">
            <v>2479.1299999999992</v>
          </cell>
          <cell r="KO50">
            <v>1354.1899999999998</v>
          </cell>
          <cell r="KP50">
            <v>1065.27</v>
          </cell>
          <cell r="KQ50">
            <v>3.22</v>
          </cell>
          <cell r="KR50">
            <v>0</v>
          </cell>
          <cell r="KS50">
            <v>2422.6799999999998</v>
          </cell>
          <cell r="KT50">
            <v>1311.06</v>
          </cell>
          <cell r="KU50">
            <v>659.64999999999986</v>
          </cell>
          <cell r="KV50">
            <v>0</v>
          </cell>
          <cell r="KW50">
            <v>0</v>
          </cell>
          <cell r="KX50">
            <v>1970.7100000000003</v>
          </cell>
          <cell r="KZ50">
            <v>21660.14</v>
          </cell>
        </row>
      </sheetData>
      <sheetData sheetId="15" refreshError="1"/>
      <sheetData sheetId="16" refreshError="1"/>
      <sheetData sheetId="17"/>
      <sheetData sheetId="18">
        <row r="5">
          <cell r="C5">
            <v>1</v>
          </cell>
          <cell r="D5" t="str">
            <v>156-168</v>
          </cell>
          <cell r="E5">
            <v>11</v>
          </cell>
          <cell r="F5">
            <v>20</v>
          </cell>
          <cell r="G5">
            <v>1.67</v>
          </cell>
          <cell r="H5">
            <v>53.2</v>
          </cell>
          <cell r="I5">
            <v>53.2</v>
          </cell>
          <cell r="J5">
            <v>42.56</v>
          </cell>
          <cell r="K5">
            <v>74.48</v>
          </cell>
          <cell r="L5">
            <v>74.48</v>
          </cell>
          <cell r="M5">
            <v>74.48</v>
          </cell>
          <cell r="N5">
            <v>74.48</v>
          </cell>
          <cell r="O5">
            <v>85</v>
          </cell>
          <cell r="P5">
            <v>106</v>
          </cell>
          <cell r="Q5">
            <v>106</v>
          </cell>
          <cell r="R5">
            <v>149</v>
          </cell>
          <cell r="S5">
            <v>117</v>
          </cell>
          <cell r="T5">
            <v>106</v>
          </cell>
          <cell r="U5">
            <v>1064</v>
          </cell>
          <cell r="W5">
            <v>1</v>
          </cell>
          <cell r="Y5">
            <v>2010</v>
          </cell>
          <cell r="Z5">
            <v>1064</v>
          </cell>
        </row>
        <row r="6">
          <cell r="C6">
            <v>2</v>
          </cell>
          <cell r="D6" t="str">
            <v>156-168</v>
          </cell>
          <cell r="E6">
            <v>11</v>
          </cell>
          <cell r="F6">
            <v>20</v>
          </cell>
          <cell r="G6">
            <v>1.67</v>
          </cell>
          <cell r="H6">
            <v>60.4</v>
          </cell>
          <cell r="I6">
            <v>60.400000000000006</v>
          </cell>
          <cell r="J6">
            <v>48.32</v>
          </cell>
          <cell r="K6">
            <v>84.56</v>
          </cell>
          <cell r="L6">
            <v>84.56</v>
          </cell>
          <cell r="M6">
            <v>84.56</v>
          </cell>
          <cell r="N6">
            <v>84.56</v>
          </cell>
          <cell r="O6">
            <v>97</v>
          </cell>
          <cell r="P6">
            <v>121</v>
          </cell>
          <cell r="Q6">
            <v>121</v>
          </cell>
          <cell r="R6">
            <v>169</v>
          </cell>
          <cell r="S6">
            <v>133</v>
          </cell>
          <cell r="T6">
            <v>121</v>
          </cell>
          <cell r="U6">
            <v>1208</v>
          </cell>
          <cell r="W6">
            <v>2</v>
          </cell>
          <cell r="Y6">
            <v>2010</v>
          </cell>
          <cell r="Z6">
            <v>1208</v>
          </cell>
        </row>
        <row r="7">
          <cell r="C7">
            <v>3</v>
          </cell>
          <cell r="D7" t="str">
            <v>156-168</v>
          </cell>
          <cell r="E7">
            <v>11</v>
          </cell>
          <cell r="F7">
            <v>20</v>
          </cell>
          <cell r="G7">
            <v>1.67</v>
          </cell>
          <cell r="H7">
            <v>69.2</v>
          </cell>
          <cell r="I7">
            <v>69.2</v>
          </cell>
          <cell r="J7">
            <v>55.36</v>
          </cell>
          <cell r="K7">
            <v>96.88000000000001</v>
          </cell>
          <cell r="L7">
            <v>96.88000000000001</v>
          </cell>
          <cell r="M7">
            <v>96.88000000000001</v>
          </cell>
          <cell r="N7">
            <v>96.88000000000001</v>
          </cell>
          <cell r="O7">
            <v>111</v>
          </cell>
          <cell r="P7">
            <v>138</v>
          </cell>
          <cell r="Q7">
            <v>138</v>
          </cell>
          <cell r="R7">
            <v>194</v>
          </cell>
          <cell r="S7">
            <v>152</v>
          </cell>
          <cell r="T7">
            <v>138</v>
          </cell>
          <cell r="U7">
            <v>1384</v>
          </cell>
          <cell r="W7">
            <v>3</v>
          </cell>
          <cell r="Y7">
            <v>2010</v>
          </cell>
          <cell r="Z7">
            <v>1384</v>
          </cell>
        </row>
        <row r="8">
          <cell r="C8">
            <v>4</v>
          </cell>
          <cell r="D8" t="str">
            <v>156-168</v>
          </cell>
          <cell r="E8">
            <v>11</v>
          </cell>
          <cell r="F8">
            <v>20</v>
          </cell>
          <cell r="G8">
            <v>1.67</v>
          </cell>
          <cell r="H8">
            <v>70.599999999999994</v>
          </cell>
          <cell r="I8">
            <v>70.600000000000009</v>
          </cell>
          <cell r="J8">
            <v>56.480000000000004</v>
          </cell>
          <cell r="K8">
            <v>98.84</v>
          </cell>
          <cell r="L8">
            <v>98.84</v>
          </cell>
          <cell r="M8">
            <v>98.84</v>
          </cell>
          <cell r="N8">
            <v>98.84</v>
          </cell>
          <cell r="O8">
            <v>113</v>
          </cell>
          <cell r="P8">
            <v>141</v>
          </cell>
          <cell r="Q8">
            <v>141</v>
          </cell>
          <cell r="R8">
            <v>198</v>
          </cell>
          <cell r="S8">
            <v>155</v>
          </cell>
          <cell r="T8">
            <v>141</v>
          </cell>
          <cell r="U8">
            <v>1412</v>
          </cell>
          <cell r="W8">
            <v>4</v>
          </cell>
          <cell r="Y8">
            <v>2010</v>
          </cell>
          <cell r="Z8">
            <v>1412</v>
          </cell>
        </row>
        <row r="9">
          <cell r="C9">
            <v>5</v>
          </cell>
          <cell r="D9" t="str">
            <v>156-168</v>
          </cell>
          <cell r="E9">
            <v>11</v>
          </cell>
          <cell r="F9">
            <v>20</v>
          </cell>
          <cell r="G9">
            <v>1.67</v>
          </cell>
          <cell r="H9">
            <v>50.4</v>
          </cell>
          <cell r="I9">
            <v>50.400000000000006</v>
          </cell>
          <cell r="J9">
            <v>40.32</v>
          </cell>
          <cell r="K9">
            <v>70.56</v>
          </cell>
          <cell r="L9">
            <v>70.56</v>
          </cell>
          <cell r="M9">
            <v>70.56</v>
          </cell>
          <cell r="N9">
            <v>70.56</v>
          </cell>
          <cell r="O9">
            <v>81</v>
          </cell>
          <cell r="P9">
            <v>101</v>
          </cell>
          <cell r="Q9">
            <v>101</v>
          </cell>
          <cell r="R9">
            <v>141</v>
          </cell>
          <cell r="S9">
            <v>111</v>
          </cell>
          <cell r="T9">
            <v>101</v>
          </cell>
          <cell r="U9">
            <v>1008</v>
          </cell>
          <cell r="W9">
            <v>5</v>
          </cell>
          <cell r="Y9">
            <v>2010</v>
          </cell>
          <cell r="Z9">
            <v>1008</v>
          </cell>
        </row>
        <row r="10">
          <cell r="C10">
            <v>6</v>
          </cell>
          <cell r="D10" t="str">
            <v>156-168</v>
          </cell>
          <cell r="E10">
            <v>11</v>
          </cell>
          <cell r="F10">
            <v>20</v>
          </cell>
          <cell r="G10">
            <v>1.67</v>
          </cell>
          <cell r="H10">
            <v>58.6</v>
          </cell>
          <cell r="I10">
            <v>58.6</v>
          </cell>
          <cell r="J10">
            <v>46.88</v>
          </cell>
          <cell r="K10">
            <v>82.04</v>
          </cell>
          <cell r="L10">
            <v>82.04</v>
          </cell>
          <cell r="M10">
            <v>82.04</v>
          </cell>
          <cell r="N10">
            <v>82.04</v>
          </cell>
          <cell r="O10">
            <v>94</v>
          </cell>
          <cell r="P10">
            <v>117</v>
          </cell>
          <cell r="Q10">
            <v>117</v>
          </cell>
          <cell r="R10">
            <v>164</v>
          </cell>
          <cell r="S10">
            <v>129</v>
          </cell>
          <cell r="T10">
            <v>117</v>
          </cell>
          <cell r="U10">
            <v>1172</v>
          </cell>
          <cell r="W10">
            <v>6</v>
          </cell>
          <cell r="Y10">
            <v>2010</v>
          </cell>
          <cell r="Z10">
            <v>1172</v>
          </cell>
        </row>
        <row r="11">
          <cell r="C11">
            <v>7</v>
          </cell>
          <cell r="D11" t="str">
            <v>156-168</v>
          </cell>
          <cell r="E11">
            <v>11</v>
          </cell>
          <cell r="F11">
            <v>17</v>
          </cell>
          <cell r="G11">
            <v>1.42</v>
          </cell>
          <cell r="H11">
            <v>23.6</v>
          </cell>
          <cell r="I11">
            <v>20.05</v>
          </cell>
          <cell r="J11">
            <v>16.04</v>
          </cell>
          <cell r="K11">
            <v>28.070000000000004</v>
          </cell>
          <cell r="L11">
            <v>28.070000000000004</v>
          </cell>
          <cell r="M11">
            <v>28.070000000000004</v>
          </cell>
          <cell r="N11">
            <v>28.070000000000004</v>
          </cell>
          <cell r="O11">
            <v>32</v>
          </cell>
          <cell r="P11">
            <v>40</v>
          </cell>
          <cell r="Q11">
            <v>40</v>
          </cell>
          <cell r="R11">
            <v>56</v>
          </cell>
          <cell r="S11">
            <v>44</v>
          </cell>
          <cell r="T11">
            <v>40</v>
          </cell>
          <cell r="U11">
            <v>401</v>
          </cell>
          <cell r="W11">
            <v>7</v>
          </cell>
          <cell r="Y11">
            <v>2010</v>
          </cell>
          <cell r="Z11">
            <v>401</v>
          </cell>
        </row>
        <row r="12">
          <cell r="C12">
            <v>8</v>
          </cell>
          <cell r="D12" t="str">
            <v>156-168</v>
          </cell>
          <cell r="E12">
            <v>11</v>
          </cell>
          <cell r="F12">
            <v>20</v>
          </cell>
          <cell r="G12">
            <v>1.67</v>
          </cell>
          <cell r="H12">
            <v>61.6</v>
          </cell>
          <cell r="I12">
            <v>61.6</v>
          </cell>
          <cell r="J12">
            <v>49.28</v>
          </cell>
          <cell r="K12">
            <v>86.240000000000009</v>
          </cell>
          <cell r="L12">
            <v>86.240000000000009</v>
          </cell>
          <cell r="M12">
            <v>86.240000000000009</v>
          </cell>
          <cell r="N12">
            <v>86.240000000000009</v>
          </cell>
          <cell r="O12">
            <v>99</v>
          </cell>
          <cell r="P12">
            <v>123</v>
          </cell>
          <cell r="Q12">
            <v>123</v>
          </cell>
          <cell r="R12">
            <v>172</v>
          </cell>
          <cell r="S12">
            <v>136</v>
          </cell>
          <cell r="T12">
            <v>123</v>
          </cell>
          <cell r="U12">
            <v>1232</v>
          </cell>
          <cell r="W12">
            <v>8</v>
          </cell>
          <cell r="Y12">
            <v>2010</v>
          </cell>
          <cell r="Z12">
            <v>1232</v>
          </cell>
        </row>
        <row r="13">
          <cell r="C13">
            <v>9</v>
          </cell>
          <cell r="D13" t="str">
            <v>156-168</v>
          </cell>
          <cell r="E13">
            <v>11</v>
          </cell>
          <cell r="F13">
            <v>18</v>
          </cell>
          <cell r="G13">
            <v>1.5</v>
          </cell>
          <cell r="H13">
            <v>38.299999999999997</v>
          </cell>
          <cell r="I13">
            <v>34.450000000000003</v>
          </cell>
          <cell r="J13">
            <v>27.560000000000002</v>
          </cell>
          <cell r="K13">
            <v>48.230000000000004</v>
          </cell>
          <cell r="L13">
            <v>48.230000000000004</v>
          </cell>
          <cell r="M13">
            <v>48.230000000000004</v>
          </cell>
          <cell r="N13">
            <v>48.230000000000004</v>
          </cell>
          <cell r="O13">
            <v>55</v>
          </cell>
          <cell r="P13">
            <v>69</v>
          </cell>
          <cell r="Q13">
            <v>69</v>
          </cell>
          <cell r="R13">
            <v>97</v>
          </cell>
          <cell r="S13">
            <v>76</v>
          </cell>
          <cell r="T13">
            <v>69</v>
          </cell>
          <cell r="U13">
            <v>689</v>
          </cell>
          <cell r="W13">
            <v>9</v>
          </cell>
          <cell r="Y13">
            <v>2010</v>
          </cell>
          <cell r="Z13">
            <v>689</v>
          </cell>
        </row>
        <row r="14">
          <cell r="C14">
            <v>11</v>
          </cell>
          <cell r="D14" t="str">
            <v>150-162</v>
          </cell>
          <cell r="E14">
            <v>10.5</v>
          </cell>
          <cell r="F14">
            <v>19</v>
          </cell>
          <cell r="G14">
            <v>1.58</v>
          </cell>
          <cell r="H14">
            <v>44.5</v>
          </cell>
          <cell r="I14">
            <v>42.300000000000004</v>
          </cell>
          <cell r="J14">
            <v>33.840000000000003</v>
          </cell>
          <cell r="K14">
            <v>59.220000000000006</v>
          </cell>
          <cell r="L14">
            <v>59.220000000000006</v>
          </cell>
          <cell r="M14">
            <v>59.220000000000006</v>
          </cell>
          <cell r="N14">
            <v>59.220000000000006</v>
          </cell>
          <cell r="O14">
            <v>68</v>
          </cell>
          <cell r="P14">
            <v>85</v>
          </cell>
          <cell r="Q14">
            <v>85</v>
          </cell>
          <cell r="R14">
            <v>118</v>
          </cell>
          <cell r="S14">
            <v>93</v>
          </cell>
          <cell r="T14">
            <v>85</v>
          </cell>
          <cell r="U14">
            <v>846</v>
          </cell>
          <cell r="W14">
            <v>11</v>
          </cell>
          <cell r="Y14">
            <v>2010</v>
          </cell>
          <cell r="Z14">
            <v>846</v>
          </cell>
        </row>
        <row r="15">
          <cell r="C15">
            <v>12</v>
          </cell>
          <cell r="D15" t="str">
            <v>144-156</v>
          </cell>
          <cell r="E15">
            <v>10</v>
          </cell>
          <cell r="F15">
            <v>20</v>
          </cell>
          <cell r="G15">
            <v>1.67</v>
          </cell>
          <cell r="H15">
            <v>71</v>
          </cell>
          <cell r="I15">
            <v>71</v>
          </cell>
          <cell r="J15">
            <v>56.800000000000004</v>
          </cell>
          <cell r="K15">
            <v>99.4</v>
          </cell>
          <cell r="L15">
            <v>99.4</v>
          </cell>
          <cell r="M15">
            <v>99.4</v>
          </cell>
          <cell r="N15">
            <v>99.4</v>
          </cell>
          <cell r="O15">
            <v>114</v>
          </cell>
          <cell r="P15">
            <v>142</v>
          </cell>
          <cell r="Q15">
            <v>142</v>
          </cell>
          <cell r="R15">
            <v>199</v>
          </cell>
          <cell r="S15">
            <v>156</v>
          </cell>
          <cell r="T15">
            <v>142</v>
          </cell>
          <cell r="U15">
            <v>1420</v>
          </cell>
          <cell r="W15">
            <v>12</v>
          </cell>
          <cell r="Y15">
            <v>2010</v>
          </cell>
          <cell r="Z15">
            <v>1420</v>
          </cell>
        </row>
        <row r="16">
          <cell r="C16">
            <v>23</v>
          </cell>
          <cell r="D16" t="str">
            <v>144-156</v>
          </cell>
          <cell r="E16">
            <v>10</v>
          </cell>
          <cell r="F16">
            <v>21</v>
          </cell>
          <cell r="G16">
            <v>1.75</v>
          </cell>
          <cell r="H16">
            <v>14.6</v>
          </cell>
          <cell r="I16">
            <v>15.350000000000001</v>
          </cell>
          <cell r="J16">
            <v>12.280000000000001</v>
          </cell>
          <cell r="K16">
            <v>21.490000000000002</v>
          </cell>
          <cell r="L16">
            <v>21.490000000000002</v>
          </cell>
          <cell r="M16">
            <v>21.490000000000002</v>
          </cell>
          <cell r="N16">
            <v>21.490000000000002</v>
          </cell>
          <cell r="O16">
            <v>25</v>
          </cell>
          <cell r="P16">
            <v>31</v>
          </cell>
          <cell r="Q16">
            <v>31</v>
          </cell>
          <cell r="R16">
            <v>43</v>
          </cell>
          <cell r="S16">
            <v>34</v>
          </cell>
          <cell r="T16">
            <v>31</v>
          </cell>
          <cell r="U16">
            <v>307</v>
          </cell>
          <cell r="W16">
            <v>23</v>
          </cell>
          <cell r="Y16">
            <v>2010</v>
          </cell>
          <cell r="Z16">
            <v>307</v>
          </cell>
        </row>
        <row r="17">
          <cell r="H17">
            <v>616.00000000000011</v>
          </cell>
          <cell r="I17">
            <v>607.15000000000009</v>
          </cell>
          <cell r="J17">
            <v>485.72</v>
          </cell>
          <cell r="K17">
            <v>850.0100000000001</v>
          </cell>
          <cell r="L17">
            <v>850.0100000000001</v>
          </cell>
          <cell r="M17">
            <v>850.0100000000001</v>
          </cell>
          <cell r="N17">
            <v>850.0100000000001</v>
          </cell>
          <cell r="O17">
            <v>974</v>
          </cell>
          <cell r="P17">
            <v>1214</v>
          </cell>
          <cell r="Q17">
            <v>1214</v>
          </cell>
          <cell r="R17">
            <v>1700</v>
          </cell>
          <cell r="S17">
            <v>1336</v>
          </cell>
          <cell r="T17">
            <v>1214</v>
          </cell>
          <cell r="U17">
            <v>12143</v>
          </cell>
        </row>
        <row r="19">
          <cell r="C19" t="str">
            <v>BLK</v>
          </cell>
          <cell r="D19" t="str">
            <v>Age (mth)</v>
          </cell>
          <cell r="E19" t="str">
            <v>Harvest Yr.</v>
          </cell>
          <cell r="F19" t="str">
            <v>Mt/ha/yr</v>
          </cell>
          <cell r="G19" t="str">
            <v>Mt/ha/ mth</v>
          </cell>
          <cell r="H19" t="str">
            <v>HA</v>
          </cell>
          <cell r="I19" t="str">
            <v>Jan 
(5%)</v>
          </cell>
          <cell r="J19" t="str">
            <v>Feb 
(4%)</v>
          </cell>
          <cell r="K19" t="str">
            <v>Mar 
(7%)</v>
          </cell>
          <cell r="L19" t="str">
            <v>Apr 
(7%)</v>
          </cell>
          <cell r="M19" t="str">
            <v>May 
(7%)</v>
          </cell>
          <cell r="N19" t="str">
            <v>Jun 
(7%)</v>
          </cell>
          <cell r="O19" t="str">
            <v>Jul 
(8%)</v>
          </cell>
          <cell r="P19" t="str">
            <v>Aug (10%)</v>
          </cell>
          <cell r="Q19" t="str">
            <v>Sep (10%)</v>
          </cell>
          <cell r="R19" t="str">
            <v>Oct 
(14%)</v>
          </cell>
          <cell r="S19" t="str">
            <v>Nov (11%)</v>
          </cell>
          <cell r="T19" t="str">
            <v>Dec (10%)</v>
          </cell>
          <cell r="U19" t="str">
            <v>Total (100%)</v>
          </cell>
        </row>
        <row r="20">
          <cell r="C20">
            <v>10</v>
          </cell>
          <cell r="D20" t="str">
            <v>138-150</v>
          </cell>
          <cell r="E20">
            <v>9.5</v>
          </cell>
          <cell r="F20">
            <v>19</v>
          </cell>
          <cell r="G20">
            <v>1.58</v>
          </cell>
          <cell r="H20">
            <v>19.100000000000001</v>
          </cell>
          <cell r="I20">
            <v>18.150000000000002</v>
          </cell>
          <cell r="J20">
            <v>14.52</v>
          </cell>
          <cell r="K20">
            <v>25.410000000000004</v>
          </cell>
          <cell r="L20">
            <v>25.410000000000004</v>
          </cell>
          <cell r="M20">
            <v>25.410000000000004</v>
          </cell>
          <cell r="N20">
            <v>25.410000000000004</v>
          </cell>
          <cell r="O20">
            <v>29</v>
          </cell>
          <cell r="P20">
            <v>36</v>
          </cell>
          <cell r="Q20">
            <v>36</v>
          </cell>
          <cell r="R20">
            <v>51</v>
          </cell>
          <cell r="S20">
            <v>40</v>
          </cell>
          <cell r="T20">
            <v>36</v>
          </cell>
          <cell r="U20">
            <v>363</v>
          </cell>
          <cell r="W20">
            <v>10</v>
          </cell>
          <cell r="Y20">
            <v>2011</v>
          </cell>
          <cell r="Z20">
            <v>363</v>
          </cell>
        </row>
        <row r="21">
          <cell r="C21">
            <v>13</v>
          </cell>
          <cell r="D21" t="str">
            <v>144-156</v>
          </cell>
          <cell r="E21">
            <v>10</v>
          </cell>
          <cell r="F21">
            <v>22</v>
          </cell>
          <cell r="G21">
            <v>1.83</v>
          </cell>
          <cell r="H21">
            <v>60.8</v>
          </cell>
          <cell r="I21">
            <v>66.900000000000006</v>
          </cell>
          <cell r="J21">
            <v>53.52</v>
          </cell>
          <cell r="K21">
            <v>93.660000000000011</v>
          </cell>
          <cell r="L21">
            <v>93.660000000000011</v>
          </cell>
          <cell r="M21">
            <v>93.660000000000011</v>
          </cell>
          <cell r="N21">
            <v>93.660000000000011</v>
          </cell>
          <cell r="O21">
            <v>107</v>
          </cell>
          <cell r="P21">
            <v>134</v>
          </cell>
          <cell r="Q21">
            <v>134</v>
          </cell>
          <cell r="R21">
            <v>187</v>
          </cell>
          <cell r="S21">
            <v>147</v>
          </cell>
          <cell r="T21">
            <v>134</v>
          </cell>
          <cell r="U21">
            <v>1338</v>
          </cell>
          <cell r="W21">
            <v>13</v>
          </cell>
          <cell r="Y21">
            <v>2011</v>
          </cell>
          <cell r="Z21">
            <v>1338</v>
          </cell>
        </row>
        <row r="22">
          <cell r="C22">
            <v>14</v>
          </cell>
          <cell r="D22" t="str">
            <v>144-156</v>
          </cell>
          <cell r="E22">
            <v>10</v>
          </cell>
          <cell r="F22">
            <v>21</v>
          </cell>
          <cell r="G22">
            <v>1.75</v>
          </cell>
          <cell r="H22">
            <v>41.6</v>
          </cell>
          <cell r="I22">
            <v>43.7</v>
          </cell>
          <cell r="J22">
            <v>34.96</v>
          </cell>
          <cell r="K22">
            <v>61.180000000000007</v>
          </cell>
          <cell r="L22">
            <v>61.180000000000007</v>
          </cell>
          <cell r="M22">
            <v>61.180000000000007</v>
          </cell>
          <cell r="N22">
            <v>61.180000000000007</v>
          </cell>
          <cell r="O22">
            <v>70</v>
          </cell>
          <cell r="P22">
            <v>87</v>
          </cell>
          <cell r="Q22">
            <v>87</v>
          </cell>
          <cell r="R22">
            <v>122</v>
          </cell>
          <cell r="S22">
            <v>96</v>
          </cell>
          <cell r="T22">
            <v>87</v>
          </cell>
          <cell r="U22">
            <v>874</v>
          </cell>
          <cell r="W22">
            <v>14</v>
          </cell>
          <cell r="Y22">
            <v>2011</v>
          </cell>
          <cell r="Z22">
            <v>874</v>
          </cell>
        </row>
        <row r="23">
          <cell r="C23">
            <v>15</v>
          </cell>
          <cell r="D23" t="str">
            <v>144-156</v>
          </cell>
          <cell r="E23">
            <v>10</v>
          </cell>
          <cell r="F23">
            <v>20</v>
          </cell>
          <cell r="G23">
            <v>1.67</v>
          </cell>
          <cell r="H23">
            <v>49.3</v>
          </cell>
          <cell r="I23">
            <v>49.300000000000004</v>
          </cell>
          <cell r="J23">
            <v>39.44</v>
          </cell>
          <cell r="K23">
            <v>69.02000000000001</v>
          </cell>
          <cell r="L23">
            <v>69.02000000000001</v>
          </cell>
          <cell r="M23">
            <v>69.02000000000001</v>
          </cell>
          <cell r="N23">
            <v>69.02000000000001</v>
          </cell>
          <cell r="O23">
            <v>79</v>
          </cell>
          <cell r="P23">
            <v>99</v>
          </cell>
          <cell r="Q23">
            <v>99</v>
          </cell>
          <cell r="R23">
            <v>138</v>
          </cell>
          <cell r="S23">
            <v>108</v>
          </cell>
          <cell r="T23">
            <v>99</v>
          </cell>
          <cell r="U23">
            <v>986</v>
          </cell>
          <cell r="W23">
            <v>15</v>
          </cell>
          <cell r="Y23">
            <v>2011</v>
          </cell>
          <cell r="Z23">
            <v>986</v>
          </cell>
        </row>
        <row r="24">
          <cell r="C24">
            <v>16</v>
          </cell>
          <cell r="D24" t="str">
            <v>138-150</v>
          </cell>
          <cell r="E24">
            <v>9.5</v>
          </cell>
          <cell r="F24">
            <v>20</v>
          </cell>
          <cell r="G24">
            <v>1.67</v>
          </cell>
          <cell r="H24">
            <v>53.2</v>
          </cell>
          <cell r="I24">
            <v>53.2</v>
          </cell>
          <cell r="J24">
            <v>42.56</v>
          </cell>
          <cell r="K24">
            <v>74.48</v>
          </cell>
          <cell r="L24">
            <v>74.48</v>
          </cell>
          <cell r="M24">
            <v>74.48</v>
          </cell>
          <cell r="N24">
            <v>74.48</v>
          </cell>
          <cell r="O24">
            <v>85</v>
          </cell>
          <cell r="P24">
            <v>106</v>
          </cell>
          <cell r="Q24">
            <v>106</v>
          </cell>
          <cell r="R24">
            <v>149</v>
          </cell>
          <cell r="S24">
            <v>117</v>
          </cell>
          <cell r="T24">
            <v>106</v>
          </cell>
          <cell r="U24">
            <v>1064</v>
          </cell>
          <cell r="W24">
            <v>16</v>
          </cell>
          <cell r="Y24">
            <v>2011</v>
          </cell>
          <cell r="Z24">
            <v>1064</v>
          </cell>
        </row>
        <row r="25">
          <cell r="C25">
            <v>17</v>
          </cell>
          <cell r="D25" t="str">
            <v>138-150</v>
          </cell>
          <cell r="E25">
            <v>9.5</v>
          </cell>
          <cell r="F25">
            <v>22</v>
          </cell>
          <cell r="G25">
            <v>1.83</v>
          </cell>
          <cell r="H25">
            <v>45.7</v>
          </cell>
          <cell r="I25">
            <v>50.25</v>
          </cell>
          <cell r="J25">
            <v>40.200000000000003</v>
          </cell>
          <cell r="K25">
            <v>70.350000000000009</v>
          </cell>
          <cell r="L25">
            <v>70.350000000000009</v>
          </cell>
          <cell r="M25">
            <v>70.350000000000009</v>
          </cell>
          <cell r="N25">
            <v>70.350000000000009</v>
          </cell>
          <cell r="O25">
            <v>80</v>
          </cell>
          <cell r="P25">
            <v>101</v>
          </cell>
          <cell r="Q25">
            <v>101</v>
          </cell>
          <cell r="R25">
            <v>141</v>
          </cell>
          <cell r="S25">
            <v>111</v>
          </cell>
          <cell r="T25">
            <v>101</v>
          </cell>
          <cell r="U25">
            <v>1005</v>
          </cell>
          <cell r="W25">
            <v>17</v>
          </cell>
          <cell r="Y25">
            <v>2011</v>
          </cell>
          <cell r="Z25">
            <v>1005</v>
          </cell>
        </row>
        <row r="26">
          <cell r="C26">
            <v>18</v>
          </cell>
          <cell r="D26" t="str">
            <v>138-150</v>
          </cell>
          <cell r="E26">
            <v>9.5</v>
          </cell>
          <cell r="F26">
            <v>22</v>
          </cell>
          <cell r="G26">
            <v>1.83</v>
          </cell>
          <cell r="H26">
            <v>40.799999999999997</v>
          </cell>
          <cell r="I26">
            <v>44.900000000000006</v>
          </cell>
          <cell r="J26">
            <v>35.92</v>
          </cell>
          <cell r="K26">
            <v>62.860000000000007</v>
          </cell>
          <cell r="L26">
            <v>62.860000000000007</v>
          </cell>
          <cell r="M26">
            <v>62.860000000000007</v>
          </cell>
          <cell r="N26">
            <v>62.860000000000007</v>
          </cell>
          <cell r="O26">
            <v>72</v>
          </cell>
          <cell r="P26">
            <v>90</v>
          </cell>
          <cell r="Q26">
            <v>90</v>
          </cell>
          <cell r="R26">
            <v>126</v>
          </cell>
          <cell r="S26">
            <v>99</v>
          </cell>
          <cell r="T26">
            <v>90</v>
          </cell>
          <cell r="U26">
            <v>898</v>
          </cell>
          <cell r="W26">
            <v>18</v>
          </cell>
          <cell r="Y26">
            <v>2011</v>
          </cell>
          <cell r="Z26">
            <v>898</v>
          </cell>
        </row>
        <row r="27">
          <cell r="H27">
            <v>310.5</v>
          </cell>
          <cell r="I27">
            <v>326.39999999999998</v>
          </cell>
          <cell r="J27">
            <v>261.12</v>
          </cell>
          <cell r="K27">
            <v>456.96000000000009</v>
          </cell>
          <cell r="L27">
            <v>456.96000000000009</v>
          </cell>
          <cell r="M27">
            <v>456.96000000000009</v>
          </cell>
          <cell r="N27">
            <v>456.96000000000009</v>
          </cell>
          <cell r="O27">
            <v>522</v>
          </cell>
          <cell r="P27">
            <v>653</v>
          </cell>
          <cell r="Q27">
            <v>653</v>
          </cell>
          <cell r="R27">
            <v>914</v>
          </cell>
          <cell r="S27">
            <v>718</v>
          </cell>
          <cell r="T27">
            <v>653</v>
          </cell>
          <cell r="U27">
            <v>6528</v>
          </cell>
        </row>
        <row r="29">
          <cell r="C29" t="str">
            <v>BLK</v>
          </cell>
          <cell r="D29" t="str">
            <v>Age (mth)</v>
          </cell>
          <cell r="E29" t="str">
            <v>Harvest Yr.</v>
          </cell>
          <cell r="F29" t="str">
            <v>Mt/ha/yr</v>
          </cell>
          <cell r="G29" t="str">
            <v>Mt/ha/ mth</v>
          </cell>
          <cell r="H29" t="str">
            <v>HA</v>
          </cell>
          <cell r="I29" t="str">
            <v>Jan 
(5%)</v>
          </cell>
          <cell r="J29" t="str">
            <v>Feb 
(4%)</v>
          </cell>
          <cell r="K29" t="str">
            <v>Mar 
(7%)</v>
          </cell>
          <cell r="L29" t="str">
            <v>Apr 
(7%)</v>
          </cell>
          <cell r="M29" t="str">
            <v>May 
(7%)</v>
          </cell>
          <cell r="N29" t="str">
            <v>Jun 
(7%)</v>
          </cell>
          <cell r="O29" t="str">
            <v>Jul 
(8%)</v>
          </cell>
          <cell r="P29" t="str">
            <v>Aug (10%)</v>
          </cell>
          <cell r="Q29" t="str">
            <v>Sep (10%)</v>
          </cell>
          <cell r="R29" t="str">
            <v>Oct 
(14%)</v>
          </cell>
          <cell r="S29" t="str">
            <v>Nov (11%)</v>
          </cell>
          <cell r="T29" t="str">
            <v>Dec (10%)</v>
          </cell>
          <cell r="U29" t="str">
            <v>Total (100%)</v>
          </cell>
        </row>
        <row r="30">
          <cell r="C30">
            <v>19</v>
          </cell>
          <cell r="D30" t="str">
            <v>138-150</v>
          </cell>
          <cell r="E30">
            <v>9.5</v>
          </cell>
          <cell r="F30">
            <v>21</v>
          </cell>
          <cell r="G30">
            <v>1.75</v>
          </cell>
          <cell r="H30">
            <v>50.6</v>
          </cell>
          <cell r="I30">
            <v>53.150000000000006</v>
          </cell>
          <cell r="J30">
            <v>42.52</v>
          </cell>
          <cell r="K30">
            <v>74.410000000000011</v>
          </cell>
          <cell r="L30">
            <v>74.410000000000011</v>
          </cell>
          <cell r="M30">
            <v>74.410000000000011</v>
          </cell>
          <cell r="N30">
            <v>74.410000000000011</v>
          </cell>
          <cell r="O30">
            <v>85</v>
          </cell>
          <cell r="P30">
            <v>106</v>
          </cell>
          <cell r="Q30">
            <v>106</v>
          </cell>
          <cell r="R30">
            <v>149</v>
          </cell>
          <cell r="S30">
            <v>117</v>
          </cell>
          <cell r="T30">
            <v>106</v>
          </cell>
          <cell r="U30">
            <v>1063</v>
          </cell>
          <cell r="W30">
            <v>19</v>
          </cell>
          <cell r="Y30">
            <v>2012</v>
          </cell>
          <cell r="Z30">
            <v>1063</v>
          </cell>
        </row>
        <row r="31">
          <cell r="C31">
            <v>20</v>
          </cell>
          <cell r="D31" t="str">
            <v>132-144</v>
          </cell>
          <cell r="E31">
            <v>9</v>
          </cell>
          <cell r="F31">
            <v>21</v>
          </cell>
          <cell r="G31">
            <v>1.75</v>
          </cell>
          <cell r="H31">
            <v>62.1</v>
          </cell>
          <cell r="I31">
            <v>65.2</v>
          </cell>
          <cell r="J31">
            <v>52.160000000000004</v>
          </cell>
          <cell r="K31">
            <v>91.280000000000015</v>
          </cell>
          <cell r="L31">
            <v>91.280000000000015</v>
          </cell>
          <cell r="M31">
            <v>91.280000000000015</v>
          </cell>
          <cell r="N31">
            <v>91.280000000000015</v>
          </cell>
          <cell r="O31">
            <v>104</v>
          </cell>
          <cell r="P31">
            <v>130</v>
          </cell>
          <cell r="Q31">
            <v>130</v>
          </cell>
          <cell r="R31">
            <v>183</v>
          </cell>
          <cell r="S31">
            <v>143</v>
          </cell>
          <cell r="T31">
            <v>130</v>
          </cell>
          <cell r="U31">
            <v>1304</v>
          </cell>
          <cell r="W31">
            <v>20</v>
          </cell>
          <cell r="Y31">
            <v>2012</v>
          </cell>
          <cell r="Z31">
            <v>1304</v>
          </cell>
        </row>
        <row r="32">
          <cell r="C32">
            <v>21</v>
          </cell>
          <cell r="D32" t="str">
            <v>132-144</v>
          </cell>
          <cell r="E32">
            <v>9</v>
          </cell>
          <cell r="F32">
            <v>23</v>
          </cell>
          <cell r="G32">
            <v>1.92</v>
          </cell>
          <cell r="H32">
            <v>72.2</v>
          </cell>
          <cell r="I32">
            <v>83.050000000000011</v>
          </cell>
          <cell r="J32">
            <v>66.44</v>
          </cell>
          <cell r="K32">
            <v>116.27000000000001</v>
          </cell>
          <cell r="L32">
            <v>116.27000000000001</v>
          </cell>
          <cell r="M32">
            <v>116.27000000000001</v>
          </cell>
          <cell r="N32">
            <v>116.27000000000001</v>
          </cell>
          <cell r="O32">
            <v>133</v>
          </cell>
          <cell r="P32">
            <v>166</v>
          </cell>
          <cell r="Q32">
            <v>166</v>
          </cell>
          <cell r="R32">
            <v>232</v>
          </cell>
          <cell r="S32">
            <v>183</v>
          </cell>
          <cell r="T32">
            <v>166</v>
          </cell>
          <cell r="U32">
            <v>1661</v>
          </cell>
          <cell r="W32">
            <v>21</v>
          </cell>
          <cell r="Y32">
            <v>2012</v>
          </cell>
          <cell r="Z32">
            <v>1661</v>
          </cell>
        </row>
        <row r="33">
          <cell r="C33">
            <v>22</v>
          </cell>
          <cell r="D33" t="str">
            <v>132-144</v>
          </cell>
          <cell r="E33">
            <v>9</v>
          </cell>
          <cell r="F33">
            <v>21</v>
          </cell>
          <cell r="G33">
            <v>1.75</v>
          </cell>
          <cell r="H33">
            <v>52.3</v>
          </cell>
          <cell r="I33">
            <v>54.900000000000006</v>
          </cell>
          <cell r="J33">
            <v>43.92</v>
          </cell>
          <cell r="K33">
            <v>76.860000000000014</v>
          </cell>
          <cell r="L33">
            <v>76.860000000000014</v>
          </cell>
          <cell r="M33">
            <v>76.860000000000014</v>
          </cell>
          <cell r="N33">
            <v>76.860000000000014</v>
          </cell>
          <cell r="O33">
            <v>88</v>
          </cell>
          <cell r="P33">
            <v>110</v>
          </cell>
          <cell r="Q33">
            <v>110</v>
          </cell>
          <cell r="R33">
            <v>154</v>
          </cell>
          <cell r="S33">
            <v>121</v>
          </cell>
          <cell r="T33">
            <v>110</v>
          </cell>
          <cell r="U33">
            <v>1098</v>
          </cell>
          <cell r="W33">
            <v>22</v>
          </cell>
          <cell r="Y33">
            <v>2012</v>
          </cell>
          <cell r="Z33">
            <v>1098</v>
          </cell>
        </row>
        <row r="34">
          <cell r="C34">
            <v>24</v>
          </cell>
          <cell r="D34" t="str">
            <v>132-144</v>
          </cell>
          <cell r="E34">
            <v>9</v>
          </cell>
          <cell r="F34">
            <v>18</v>
          </cell>
          <cell r="G34">
            <v>1.5</v>
          </cell>
          <cell r="H34">
            <v>44.7</v>
          </cell>
          <cell r="I34">
            <v>40.25</v>
          </cell>
          <cell r="J34">
            <v>32.200000000000003</v>
          </cell>
          <cell r="K34">
            <v>56.350000000000009</v>
          </cell>
          <cell r="L34">
            <v>56.350000000000009</v>
          </cell>
          <cell r="M34">
            <v>56.350000000000009</v>
          </cell>
          <cell r="N34">
            <v>56.350000000000009</v>
          </cell>
          <cell r="O34">
            <v>64</v>
          </cell>
          <cell r="P34">
            <v>81</v>
          </cell>
          <cell r="Q34">
            <v>81</v>
          </cell>
          <cell r="R34">
            <v>113</v>
          </cell>
          <cell r="S34">
            <v>89</v>
          </cell>
          <cell r="T34">
            <v>81</v>
          </cell>
          <cell r="U34">
            <v>805</v>
          </cell>
          <cell r="W34">
            <v>24</v>
          </cell>
          <cell r="Y34">
            <v>2012</v>
          </cell>
          <cell r="Z34">
            <v>805</v>
          </cell>
        </row>
        <row r="35">
          <cell r="H35">
            <v>281.89999999999998</v>
          </cell>
          <cell r="I35">
            <v>296.55000000000007</v>
          </cell>
          <cell r="J35">
            <v>237.24</v>
          </cell>
          <cell r="K35">
            <v>415.17000000000007</v>
          </cell>
          <cell r="L35">
            <v>415.17000000000007</v>
          </cell>
          <cell r="M35">
            <v>415.17000000000007</v>
          </cell>
          <cell r="N35">
            <v>415.17000000000007</v>
          </cell>
          <cell r="O35">
            <v>474</v>
          </cell>
          <cell r="P35">
            <v>593</v>
          </cell>
          <cell r="Q35">
            <v>593</v>
          </cell>
          <cell r="R35">
            <v>831</v>
          </cell>
          <cell r="S35">
            <v>653</v>
          </cell>
          <cell r="T35">
            <v>593</v>
          </cell>
          <cell r="U35">
            <v>5931</v>
          </cell>
        </row>
        <row r="40">
          <cell r="C40" t="str">
            <v>BLK</v>
          </cell>
          <cell r="D40" t="str">
            <v>Age (mth)</v>
          </cell>
          <cell r="E40" t="str">
            <v>Harvest Yr.</v>
          </cell>
          <cell r="F40" t="str">
            <v>Mt/ha/yr</v>
          </cell>
          <cell r="G40" t="str">
            <v>Mt/ha/ mth</v>
          </cell>
          <cell r="H40" t="str">
            <v>HA</v>
          </cell>
          <cell r="I40" t="str">
            <v>Jan 
(5%)</v>
          </cell>
          <cell r="J40" t="str">
            <v>Feb 
(4%)</v>
          </cell>
          <cell r="K40" t="str">
            <v>Mar 
(7%)</v>
          </cell>
          <cell r="L40" t="str">
            <v>Apr 
(7%)</v>
          </cell>
          <cell r="M40" t="str">
            <v>May 
(7%)</v>
          </cell>
          <cell r="N40" t="str">
            <v>Jun 
(7%)</v>
          </cell>
          <cell r="O40" t="str">
            <v>Jul 
(8%)</v>
          </cell>
          <cell r="P40" t="str">
            <v>Aug (10%)</v>
          </cell>
          <cell r="Q40" t="str">
            <v>Sep (10%)</v>
          </cell>
          <cell r="R40" t="str">
            <v>Oct 
(14%)</v>
          </cell>
          <cell r="S40" t="str">
            <v>Nov (11%)</v>
          </cell>
          <cell r="T40" t="str">
            <v>Dec (10%)</v>
          </cell>
          <cell r="U40" t="str">
            <v>Total (100%)</v>
          </cell>
        </row>
        <row r="41">
          <cell r="C41">
            <v>25</v>
          </cell>
          <cell r="D41" t="str">
            <v>48-60</v>
          </cell>
          <cell r="E41">
            <v>2</v>
          </cell>
          <cell r="F41">
            <v>4</v>
          </cell>
          <cell r="H41">
            <v>33.51</v>
          </cell>
          <cell r="I41">
            <v>6.7</v>
          </cell>
          <cell r="J41">
            <v>5.36</v>
          </cell>
          <cell r="K41">
            <v>9.3800000000000008</v>
          </cell>
          <cell r="L41">
            <v>9.3800000000000008</v>
          </cell>
          <cell r="M41">
            <v>9.3800000000000008</v>
          </cell>
          <cell r="N41">
            <v>9.3800000000000008</v>
          </cell>
          <cell r="O41">
            <v>11</v>
          </cell>
          <cell r="P41">
            <v>13</v>
          </cell>
          <cell r="Q41">
            <v>13</v>
          </cell>
          <cell r="R41">
            <v>19</v>
          </cell>
          <cell r="S41">
            <v>15</v>
          </cell>
          <cell r="T41">
            <v>13</v>
          </cell>
          <cell r="U41">
            <v>134</v>
          </cell>
          <cell r="W41">
            <v>25</v>
          </cell>
          <cell r="Y41">
            <v>2015</v>
          </cell>
          <cell r="Z41">
            <v>134</v>
          </cell>
        </row>
        <row r="42">
          <cell r="C42" t="str">
            <v>26A</v>
          </cell>
          <cell r="D42" t="str">
            <v>48-60</v>
          </cell>
          <cell r="E42">
            <v>2</v>
          </cell>
          <cell r="F42">
            <v>6</v>
          </cell>
          <cell r="H42">
            <v>18.059999999999999</v>
          </cell>
          <cell r="I42">
            <v>5.4</v>
          </cell>
          <cell r="J42">
            <v>4.32</v>
          </cell>
          <cell r="K42">
            <v>7.5600000000000005</v>
          </cell>
          <cell r="L42">
            <v>7.5600000000000005</v>
          </cell>
          <cell r="M42">
            <v>7.5600000000000005</v>
          </cell>
          <cell r="N42">
            <v>7.5600000000000005</v>
          </cell>
          <cell r="O42">
            <v>9</v>
          </cell>
          <cell r="P42">
            <v>11</v>
          </cell>
          <cell r="Q42">
            <v>11</v>
          </cell>
          <cell r="R42">
            <v>15</v>
          </cell>
          <cell r="S42">
            <v>12</v>
          </cell>
          <cell r="T42">
            <v>11</v>
          </cell>
          <cell r="U42">
            <v>108</v>
          </cell>
          <cell r="W42" t="str">
            <v>26A</v>
          </cell>
          <cell r="Y42">
            <v>2015</v>
          </cell>
          <cell r="Z42">
            <v>108</v>
          </cell>
        </row>
        <row r="43">
          <cell r="C43" t="str">
            <v>26 B</v>
          </cell>
          <cell r="D43" t="str">
            <v>FORESTRY RESERVED</v>
          </cell>
          <cell r="W43" t="e">
            <v>#N/A</v>
          </cell>
          <cell r="Y43">
            <v>2015</v>
          </cell>
        </row>
        <row r="44">
          <cell r="C44">
            <v>27</v>
          </cell>
          <cell r="D44" t="str">
            <v>48-60</v>
          </cell>
          <cell r="E44">
            <v>2</v>
          </cell>
          <cell r="F44">
            <v>6</v>
          </cell>
          <cell r="H44">
            <v>14.3</v>
          </cell>
          <cell r="I44">
            <v>4.3</v>
          </cell>
          <cell r="J44">
            <v>3.44</v>
          </cell>
          <cell r="K44">
            <v>6.0200000000000005</v>
          </cell>
          <cell r="L44">
            <v>6.0200000000000005</v>
          </cell>
          <cell r="M44">
            <v>6.0200000000000005</v>
          </cell>
          <cell r="N44">
            <v>6.0200000000000005</v>
          </cell>
          <cell r="O44">
            <v>7</v>
          </cell>
          <cell r="P44">
            <v>9</v>
          </cell>
          <cell r="Q44">
            <v>9</v>
          </cell>
          <cell r="R44">
            <v>12</v>
          </cell>
          <cell r="S44">
            <v>9</v>
          </cell>
          <cell r="T44">
            <v>9</v>
          </cell>
          <cell r="U44">
            <v>86</v>
          </cell>
          <cell r="W44">
            <v>27</v>
          </cell>
          <cell r="Y44">
            <v>2015</v>
          </cell>
          <cell r="Z44">
            <v>86</v>
          </cell>
        </row>
        <row r="45">
          <cell r="C45">
            <v>28</v>
          </cell>
          <cell r="D45" t="str">
            <v>60-72</v>
          </cell>
          <cell r="E45">
            <v>3</v>
          </cell>
          <cell r="F45">
            <v>12</v>
          </cell>
          <cell r="H45">
            <v>21.36</v>
          </cell>
          <cell r="I45">
            <v>12.8</v>
          </cell>
          <cell r="J45">
            <v>10.24</v>
          </cell>
          <cell r="K45">
            <v>17.920000000000002</v>
          </cell>
          <cell r="L45">
            <v>17.920000000000002</v>
          </cell>
          <cell r="M45">
            <v>17.920000000000002</v>
          </cell>
          <cell r="N45">
            <v>17.920000000000002</v>
          </cell>
          <cell r="O45">
            <v>21</v>
          </cell>
          <cell r="P45">
            <v>26</v>
          </cell>
          <cell r="Q45">
            <v>26</v>
          </cell>
          <cell r="R45">
            <v>36</v>
          </cell>
          <cell r="S45">
            <v>28</v>
          </cell>
          <cell r="T45">
            <v>26</v>
          </cell>
          <cell r="U45">
            <v>256</v>
          </cell>
          <cell r="W45">
            <v>28</v>
          </cell>
          <cell r="Y45">
            <v>2015</v>
          </cell>
          <cell r="Z45">
            <v>256</v>
          </cell>
        </row>
        <row r="46">
          <cell r="C46">
            <v>29</v>
          </cell>
          <cell r="D46" t="str">
            <v>30-48</v>
          </cell>
          <cell r="E46" t="str">
            <v>SH</v>
          </cell>
          <cell r="F46">
            <v>4</v>
          </cell>
          <cell r="H46">
            <v>17.21</v>
          </cell>
          <cell r="I46">
            <v>3.45</v>
          </cell>
          <cell r="J46">
            <v>2.7600000000000002</v>
          </cell>
          <cell r="K46">
            <v>4.83</v>
          </cell>
          <cell r="L46">
            <v>4.83</v>
          </cell>
          <cell r="M46">
            <v>4.83</v>
          </cell>
          <cell r="N46">
            <v>4.83</v>
          </cell>
          <cell r="O46">
            <v>6</v>
          </cell>
          <cell r="P46">
            <v>7</v>
          </cell>
          <cell r="Q46">
            <v>7</v>
          </cell>
          <cell r="R46">
            <v>10</v>
          </cell>
          <cell r="S46">
            <v>8</v>
          </cell>
          <cell r="T46">
            <v>7</v>
          </cell>
          <cell r="U46">
            <v>69</v>
          </cell>
          <cell r="W46">
            <v>29</v>
          </cell>
          <cell r="Y46">
            <v>2015</v>
          </cell>
          <cell r="Z46">
            <v>69</v>
          </cell>
        </row>
        <row r="47">
          <cell r="C47">
            <v>30</v>
          </cell>
          <cell r="D47" t="str">
            <v>30-48</v>
          </cell>
          <cell r="E47" t="str">
            <v>SH</v>
          </cell>
          <cell r="F47">
            <v>4</v>
          </cell>
          <cell r="H47">
            <v>18.38</v>
          </cell>
          <cell r="I47">
            <v>3.7</v>
          </cell>
          <cell r="J47">
            <v>2.96</v>
          </cell>
          <cell r="K47">
            <v>5.1800000000000006</v>
          </cell>
          <cell r="L47">
            <v>5.1800000000000006</v>
          </cell>
          <cell r="M47">
            <v>5.1800000000000006</v>
          </cell>
          <cell r="N47">
            <v>5.1800000000000006</v>
          </cell>
          <cell r="O47">
            <v>6</v>
          </cell>
          <cell r="P47">
            <v>7</v>
          </cell>
          <cell r="Q47">
            <v>7</v>
          </cell>
          <cell r="R47">
            <v>10</v>
          </cell>
          <cell r="S47">
            <v>8</v>
          </cell>
          <cell r="T47">
            <v>7</v>
          </cell>
          <cell r="U47">
            <v>74</v>
          </cell>
          <cell r="W47">
            <v>30</v>
          </cell>
          <cell r="Y47">
            <v>2015</v>
          </cell>
          <cell r="Z47">
            <v>74</v>
          </cell>
        </row>
        <row r="48">
          <cell r="C48">
            <v>31</v>
          </cell>
          <cell r="D48" t="str">
            <v>30-48</v>
          </cell>
          <cell r="E48" t="str">
            <v>SH</v>
          </cell>
          <cell r="F48">
            <v>4</v>
          </cell>
          <cell r="H48">
            <v>29.08</v>
          </cell>
          <cell r="I48">
            <v>5.8000000000000007</v>
          </cell>
          <cell r="J48">
            <v>4.6399999999999997</v>
          </cell>
          <cell r="K48">
            <v>8.120000000000001</v>
          </cell>
          <cell r="L48">
            <v>8.120000000000001</v>
          </cell>
          <cell r="M48">
            <v>8.120000000000001</v>
          </cell>
          <cell r="N48">
            <v>8.120000000000001</v>
          </cell>
          <cell r="O48">
            <v>9</v>
          </cell>
          <cell r="P48">
            <v>12</v>
          </cell>
          <cell r="Q48">
            <v>12</v>
          </cell>
          <cell r="R48">
            <v>16</v>
          </cell>
          <cell r="S48">
            <v>13</v>
          </cell>
          <cell r="T48">
            <v>12</v>
          </cell>
          <cell r="U48">
            <v>116</v>
          </cell>
          <cell r="W48">
            <v>31</v>
          </cell>
          <cell r="Y48">
            <v>2015</v>
          </cell>
          <cell r="Z48">
            <v>116</v>
          </cell>
        </row>
        <row r="49">
          <cell r="C49">
            <v>32</v>
          </cell>
          <cell r="D49" t="str">
            <v>Not yet planted</v>
          </cell>
          <cell r="W49" t="e">
            <v>#N/A</v>
          </cell>
          <cell r="Y49">
            <v>2015</v>
          </cell>
        </row>
        <row r="50">
          <cell r="H50">
            <v>151.89999999999998</v>
          </cell>
          <cell r="I50">
            <v>42.150000000000006</v>
          </cell>
          <cell r="J50">
            <v>33.72</v>
          </cell>
          <cell r="K50">
            <v>59.010000000000005</v>
          </cell>
          <cell r="L50">
            <v>59.010000000000005</v>
          </cell>
          <cell r="M50">
            <v>59.010000000000005</v>
          </cell>
          <cell r="N50">
            <v>59.010000000000005</v>
          </cell>
          <cell r="O50">
            <v>69</v>
          </cell>
          <cell r="P50">
            <v>85</v>
          </cell>
          <cell r="Q50">
            <v>85</v>
          </cell>
          <cell r="R50">
            <v>118</v>
          </cell>
          <cell r="S50">
            <v>93</v>
          </cell>
          <cell r="T50">
            <v>85</v>
          </cell>
          <cell r="U50">
            <v>843</v>
          </cell>
          <cell r="W50" t="e">
            <v>#N/A</v>
          </cell>
        </row>
        <row r="53">
          <cell r="C53" t="str">
            <v>BLK</v>
          </cell>
          <cell r="D53" t="str">
            <v>Age (mth)</v>
          </cell>
          <cell r="E53" t="str">
            <v>Harvest Yr.</v>
          </cell>
          <cell r="F53" t="str">
            <v>Mt/ha/yr</v>
          </cell>
          <cell r="G53" t="str">
            <v>Mt/ha/ mth</v>
          </cell>
          <cell r="H53" t="str">
            <v>HA</v>
          </cell>
          <cell r="I53" t="str">
            <v>Jan 
(5%)</v>
          </cell>
          <cell r="J53" t="str">
            <v>Feb 
(4%)</v>
          </cell>
          <cell r="K53" t="str">
            <v>Mar 
(7%)</v>
          </cell>
          <cell r="L53" t="str">
            <v>Apr 
(7%)</v>
          </cell>
          <cell r="M53" t="str">
            <v>May 
(7%)</v>
          </cell>
          <cell r="N53" t="str">
            <v>Jun 
(7%)</v>
          </cell>
          <cell r="O53" t="str">
            <v>Jul 
(8%)</v>
          </cell>
          <cell r="P53" t="str">
            <v>Aug (10%)</v>
          </cell>
          <cell r="Q53" t="str">
            <v>Sep (10%)</v>
          </cell>
          <cell r="R53" t="str">
            <v>Oct 
(14%)</v>
          </cell>
          <cell r="S53" t="str">
            <v>Nov (11%)</v>
          </cell>
          <cell r="T53" t="str">
            <v>Dec (10%)</v>
          </cell>
          <cell r="U53" t="str">
            <v>Total (100%)</v>
          </cell>
        </row>
        <row r="54">
          <cell r="C54">
            <v>33</v>
          </cell>
          <cell r="D54" t="str">
            <v>60-72</v>
          </cell>
          <cell r="E54">
            <v>3</v>
          </cell>
          <cell r="F54">
            <v>15</v>
          </cell>
          <cell r="G54">
            <v>1.25</v>
          </cell>
          <cell r="H54">
            <v>28.72</v>
          </cell>
          <cell r="I54">
            <v>21.55</v>
          </cell>
          <cell r="J54">
            <v>17.240000000000002</v>
          </cell>
          <cell r="K54">
            <v>30.17</v>
          </cell>
          <cell r="L54">
            <v>30.17</v>
          </cell>
          <cell r="M54">
            <v>30.17</v>
          </cell>
          <cell r="N54">
            <v>30.17</v>
          </cell>
          <cell r="O54">
            <v>34</v>
          </cell>
          <cell r="P54">
            <v>43</v>
          </cell>
          <cell r="Q54">
            <v>43</v>
          </cell>
          <cell r="R54">
            <v>60</v>
          </cell>
          <cell r="S54">
            <v>47</v>
          </cell>
          <cell r="T54">
            <v>43</v>
          </cell>
          <cell r="U54">
            <v>431</v>
          </cell>
          <cell r="W54">
            <v>33</v>
          </cell>
          <cell r="Y54">
            <v>2016</v>
          </cell>
          <cell r="Z54">
            <v>431</v>
          </cell>
        </row>
        <row r="55">
          <cell r="C55">
            <v>39</v>
          </cell>
          <cell r="D55" t="str">
            <v>84-96</v>
          </cell>
          <cell r="E55">
            <v>8</v>
          </cell>
          <cell r="F55">
            <v>6</v>
          </cell>
          <cell r="G55">
            <v>0.5</v>
          </cell>
          <cell r="H55">
            <v>4.5999999999999996</v>
          </cell>
          <cell r="I55">
            <v>0.35000000000000009</v>
          </cell>
          <cell r="J55">
            <v>8.0000000000000071E-2</v>
          </cell>
          <cell r="K55">
            <v>1.8900000000000001</v>
          </cell>
          <cell r="L55">
            <v>1.8900000000000001</v>
          </cell>
          <cell r="M55">
            <v>1.8900000000000001</v>
          </cell>
          <cell r="N55">
            <v>1.8900000000000001</v>
          </cell>
          <cell r="O55">
            <v>2</v>
          </cell>
          <cell r="P55">
            <v>3</v>
          </cell>
          <cell r="Q55">
            <v>3</v>
          </cell>
          <cell r="R55">
            <v>4</v>
          </cell>
          <cell r="S55">
            <v>3</v>
          </cell>
          <cell r="T55">
            <v>3</v>
          </cell>
          <cell r="U55">
            <v>27</v>
          </cell>
          <cell r="W55">
            <v>39</v>
          </cell>
          <cell r="Y55">
            <v>2016</v>
          </cell>
          <cell r="Z55">
            <v>27</v>
          </cell>
        </row>
        <row r="56">
          <cell r="H56">
            <v>33.32</v>
          </cell>
          <cell r="I56">
            <v>21.900000000000002</v>
          </cell>
          <cell r="J56">
            <v>17.32</v>
          </cell>
          <cell r="K56">
            <v>32.06</v>
          </cell>
          <cell r="L56">
            <v>32.06</v>
          </cell>
          <cell r="M56">
            <v>32.06</v>
          </cell>
          <cell r="N56">
            <v>32.06</v>
          </cell>
          <cell r="O56">
            <v>36</v>
          </cell>
          <cell r="P56">
            <v>46</v>
          </cell>
          <cell r="Q56">
            <v>46</v>
          </cell>
          <cell r="R56">
            <v>64</v>
          </cell>
          <cell r="S56">
            <v>50</v>
          </cell>
          <cell r="T56">
            <v>46</v>
          </cell>
          <cell r="U56">
            <v>458</v>
          </cell>
        </row>
        <row r="59">
          <cell r="H59">
            <v>1393.6200000000001</v>
          </cell>
          <cell r="I59">
            <v>1294.1500000000003</v>
          </cell>
          <cell r="J59">
            <v>1035.1200000000001</v>
          </cell>
          <cell r="K59">
            <v>1813.2100000000003</v>
          </cell>
          <cell r="L59">
            <v>1813.2100000000003</v>
          </cell>
          <cell r="M59">
            <v>1813.2100000000003</v>
          </cell>
          <cell r="N59">
            <v>1813.2100000000003</v>
          </cell>
          <cell r="O59">
            <v>2075</v>
          </cell>
          <cell r="P59">
            <v>2591</v>
          </cell>
          <cell r="Q59">
            <v>2591</v>
          </cell>
          <cell r="R59">
            <v>3627</v>
          </cell>
          <cell r="S59">
            <v>2850</v>
          </cell>
          <cell r="T59">
            <v>2591</v>
          </cell>
          <cell r="U59">
            <v>25903</v>
          </cell>
        </row>
      </sheetData>
      <sheetData sheetId="19" refreshError="1"/>
      <sheetData sheetId="20" refreshError="1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TOWED BY QAF 2292"/>
      <sheetName val="MACHINE-CONDEM"/>
      <sheetName val="MACHINE-SOLD"/>
      <sheetName val="IRON HORSE - SENT BACK TO SIBU"/>
      <sheetName val="1. Total Cost in Harvesting"/>
      <sheetName val="2. Blocks and Wages "/>
      <sheetName val="3. Iron Horse Details &amp; Status"/>
      <sheetName val="4. Findings"/>
      <sheetName val="REPORT DIESEL"/>
      <sheetName val="DAILY MACHINE REPORT"/>
      <sheetName val="MACHINE - KOTA MURUDU"/>
      <sheetName val="Sheet4"/>
      <sheetName val="WORKERS MOVEMENT ( NOVEMBER )"/>
      <sheetName val="Sheet3"/>
      <sheetName val="PERMIT-NON PERMIT"/>
      <sheetName val="workers time card &amp; movement"/>
      <sheetName val="worker's without document"/>
      <sheetName val="SECURITY DUTY ROSTER(JUNE)"/>
      <sheetName val="DAILY EMPLOYEE STATISTIC"/>
      <sheetName val="RAINFALL (JUNE)"/>
      <sheetName val="PHASE 1,2,3"/>
      <sheetName val="Muster CHIT (END OF MONTH)"/>
      <sheetName val="Muster CHIT (JUNE)"/>
      <sheetName val="FFB TICKET(DAY BY DAY)"/>
      <sheetName val="FFB TICKET(DAY BY DAY) (2)"/>
      <sheetName val="TRANBILITY JUNE 25 (2)"/>
      <sheetName val="HARVESTING INTERVAL- JUNE"/>
      <sheetName val="TRANBILITY MAR 25"/>
      <sheetName val="TRANBILITY JUNE 25"/>
      <sheetName val="Sheet5"/>
      <sheetName val="Sheet1"/>
      <sheetName val="LOOSE FRUIT SUMMARY"/>
      <sheetName val="CHECK BY BLOCK VS PH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7">
          <cell r="B97" t="str">
            <v>GT01</v>
          </cell>
          <cell r="C97" t="str">
            <v>WORKSHOP</v>
          </cell>
          <cell r="D97" t="str">
            <v xml:space="preserve">Iron Horse </v>
          </cell>
          <cell r="K97">
            <v>0</v>
          </cell>
          <cell r="S97">
            <v>0</v>
          </cell>
          <cell r="AA97">
            <v>0</v>
          </cell>
          <cell r="AI97">
            <v>0</v>
          </cell>
          <cell r="AN97">
            <v>0</v>
          </cell>
          <cell r="AO97">
            <v>0</v>
          </cell>
        </row>
        <row r="98">
          <cell r="B98" t="str">
            <v>GT02</v>
          </cell>
          <cell r="C98" t="str">
            <v>SERAN GANG</v>
          </cell>
          <cell r="D98" t="str">
            <v xml:space="preserve">Iron Horse </v>
          </cell>
          <cell r="K98">
            <v>0</v>
          </cell>
          <cell r="S98">
            <v>0</v>
          </cell>
          <cell r="AA98">
            <v>0</v>
          </cell>
          <cell r="AI98">
            <v>0</v>
          </cell>
          <cell r="AN98">
            <v>0</v>
          </cell>
          <cell r="AO98">
            <v>0</v>
          </cell>
        </row>
        <row r="99">
          <cell r="B99" t="str">
            <v>GT03</v>
          </cell>
          <cell r="C99" t="str">
            <v>WORKSHOP</v>
          </cell>
          <cell r="D99" t="str">
            <v>Iron Horse</v>
          </cell>
          <cell r="K99">
            <v>0</v>
          </cell>
          <cell r="S99">
            <v>0</v>
          </cell>
          <cell r="AA99">
            <v>0</v>
          </cell>
          <cell r="AI99">
            <v>0</v>
          </cell>
          <cell r="AN99">
            <v>0</v>
          </cell>
          <cell r="AO99">
            <v>0</v>
          </cell>
        </row>
        <row r="100">
          <cell r="B100" t="str">
            <v>GT04</v>
          </cell>
          <cell r="C100" t="str">
            <v>MIKHAEL GANG</v>
          </cell>
          <cell r="D100" t="str">
            <v xml:space="preserve">Iron Horse </v>
          </cell>
          <cell r="K100">
            <v>0</v>
          </cell>
          <cell r="O100">
            <v>20</v>
          </cell>
          <cell r="S100">
            <v>20</v>
          </cell>
          <cell r="Z100">
            <v>20</v>
          </cell>
          <cell r="AA100">
            <v>20</v>
          </cell>
          <cell r="AG100">
            <v>20</v>
          </cell>
          <cell r="AI100">
            <v>20</v>
          </cell>
          <cell r="AN100">
            <v>0</v>
          </cell>
          <cell r="AO100">
            <v>60</v>
          </cell>
        </row>
        <row r="101">
          <cell r="B101" t="str">
            <v>GT05</v>
          </cell>
          <cell r="C101" t="str">
            <v>SERAN GANG</v>
          </cell>
          <cell r="D101" t="str">
            <v xml:space="preserve">Iron Horse </v>
          </cell>
          <cell r="E101">
            <v>20</v>
          </cell>
          <cell r="K101">
            <v>20</v>
          </cell>
          <cell r="N101">
            <v>25</v>
          </cell>
          <cell r="S101">
            <v>25</v>
          </cell>
          <cell r="X101">
            <v>20</v>
          </cell>
          <cell r="AA101">
            <v>20</v>
          </cell>
          <cell r="AI101">
            <v>0</v>
          </cell>
          <cell r="AN101">
            <v>0</v>
          </cell>
          <cell r="AO101">
            <v>65</v>
          </cell>
        </row>
        <row r="102">
          <cell r="B102" t="str">
            <v>GT06</v>
          </cell>
          <cell r="C102" t="str">
            <v>SERAN GANG</v>
          </cell>
          <cell r="D102" t="str">
            <v xml:space="preserve">Iron Horse </v>
          </cell>
          <cell r="E102">
            <v>20</v>
          </cell>
          <cell r="K102">
            <v>20</v>
          </cell>
          <cell r="N102">
            <v>25</v>
          </cell>
          <cell r="S102">
            <v>25</v>
          </cell>
          <cell r="X102">
            <v>20</v>
          </cell>
          <cell r="AA102">
            <v>20</v>
          </cell>
          <cell r="AI102">
            <v>0</v>
          </cell>
          <cell r="AN102">
            <v>0</v>
          </cell>
          <cell r="AO102">
            <v>65</v>
          </cell>
        </row>
        <row r="103">
          <cell r="B103" t="str">
            <v>GT07</v>
          </cell>
          <cell r="C103" t="str">
            <v>KARTONO GANG</v>
          </cell>
          <cell r="D103" t="str">
            <v xml:space="preserve">Iron Horse </v>
          </cell>
          <cell r="K103">
            <v>0</v>
          </cell>
          <cell r="S103">
            <v>0</v>
          </cell>
          <cell r="AA103">
            <v>0</v>
          </cell>
          <cell r="AI103">
            <v>0</v>
          </cell>
          <cell r="AN103">
            <v>0</v>
          </cell>
          <cell r="AO103">
            <v>0</v>
          </cell>
        </row>
        <row r="104">
          <cell r="B104" t="str">
            <v>GT08</v>
          </cell>
          <cell r="C104" t="str">
            <v>DARSO GANG</v>
          </cell>
          <cell r="D104" t="str">
            <v xml:space="preserve">Iron Horse </v>
          </cell>
          <cell r="K104">
            <v>0</v>
          </cell>
          <cell r="O104">
            <v>25</v>
          </cell>
          <cell r="S104">
            <v>25</v>
          </cell>
          <cell r="AA104">
            <v>0</v>
          </cell>
          <cell r="AI104">
            <v>0</v>
          </cell>
          <cell r="AJ104">
            <v>20</v>
          </cell>
          <cell r="AN104">
            <v>20</v>
          </cell>
          <cell r="AO104">
            <v>45</v>
          </cell>
        </row>
        <row r="105">
          <cell r="B105" t="str">
            <v>GT09</v>
          </cell>
          <cell r="C105" t="str">
            <v>NU AZANI GANG</v>
          </cell>
          <cell r="D105" t="str">
            <v xml:space="preserve">Iron Horse </v>
          </cell>
          <cell r="F105">
            <v>35</v>
          </cell>
          <cell r="K105">
            <v>35</v>
          </cell>
          <cell r="S105">
            <v>0</v>
          </cell>
          <cell r="X105">
            <v>45</v>
          </cell>
          <cell r="AA105">
            <v>45</v>
          </cell>
          <cell r="AI105">
            <v>0</v>
          </cell>
          <cell r="AN105">
            <v>0</v>
          </cell>
          <cell r="AO105">
            <v>80</v>
          </cell>
        </row>
        <row r="106">
          <cell r="B106" t="str">
            <v>GT10</v>
          </cell>
          <cell r="C106" t="str">
            <v xml:space="preserve">WENDERLINUS GANG </v>
          </cell>
          <cell r="D106" t="str">
            <v xml:space="preserve">Iron Horse </v>
          </cell>
          <cell r="K106">
            <v>0</v>
          </cell>
          <cell r="L106">
            <v>25</v>
          </cell>
          <cell r="O106">
            <v>20</v>
          </cell>
          <cell r="S106">
            <v>45</v>
          </cell>
          <cell r="Z106">
            <v>20</v>
          </cell>
          <cell r="AA106">
            <v>20</v>
          </cell>
          <cell r="AG106">
            <v>20</v>
          </cell>
          <cell r="AI106">
            <v>20</v>
          </cell>
          <cell r="AN106">
            <v>0</v>
          </cell>
          <cell r="AO106">
            <v>85</v>
          </cell>
        </row>
        <row r="107">
          <cell r="B107" t="str">
            <v>GT11</v>
          </cell>
          <cell r="C107" t="str">
            <v>MIKHAEL GANG</v>
          </cell>
          <cell r="D107" t="str">
            <v xml:space="preserve">Iron Horse </v>
          </cell>
          <cell r="K107">
            <v>0</v>
          </cell>
          <cell r="S107">
            <v>0</v>
          </cell>
          <cell r="AA107">
            <v>0</v>
          </cell>
          <cell r="AI107">
            <v>0</v>
          </cell>
          <cell r="AN107">
            <v>0</v>
          </cell>
          <cell r="AO107">
            <v>0</v>
          </cell>
        </row>
        <row r="108">
          <cell r="B108" t="str">
            <v>GT12</v>
          </cell>
          <cell r="C108" t="str">
            <v>DARSO GANG</v>
          </cell>
          <cell r="D108" t="str">
            <v xml:space="preserve">Iron Horse </v>
          </cell>
          <cell r="K108">
            <v>0</v>
          </cell>
          <cell r="O108">
            <v>25</v>
          </cell>
          <cell r="S108">
            <v>25</v>
          </cell>
          <cell r="Y108">
            <v>20</v>
          </cell>
          <cell r="AA108">
            <v>20</v>
          </cell>
          <cell r="AI108">
            <v>0</v>
          </cell>
          <cell r="AJ108">
            <v>20</v>
          </cell>
          <cell r="AN108">
            <v>20</v>
          </cell>
          <cell r="AO108">
            <v>65</v>
          </cell>
        </row>
        <row r="109">
          <cell r="B109" t="str">
            <v>GT13</v>
          </cell>
          <cell r="C109" t="str">
            <v>DARSO GANG</v>
          </cell>
          <cell r="D109" t="str">
            <v xml:space="preserve">Iron Horse </v>
          </cell>
          <cell r="K109">
            <v>0</v>
          </cell>
          <cell r="S109">
            <v>0</v>
          </cell>
          <cell r="Y109">
            <v>20</v>
          </cell>
          <cell r="AA109">
            <v>20</v>
          </cell>
          <cell r="AI109">
            <v>0</v>
          </cell>
          <cell r="AJ109">
            <v>20</v>
          </cell>
          <cell r="AN109">
            <v>20</v>
          </cell>
          <cell r="AO109">
            <v>40</v>
          </cell>
        </row>
        <row r="110">
          <cell r="B110" t="str">
            <v>GT14</v>
          </cell>
          <cell r="C110" t="str">
            <v>NU AZANI GANG</v>
          </cell>
          <cell r="D110" t="str">
            <v xml:space="preserve">Iron Horse </v>
          </cell>
          <cell r="K110">
            <v>0</v>
          </cell>
          <cell r="S110">
            <v>0</v>
          </cell>
          <cell r="AA110">
            <v>0</v>
          </cell>
          <cell r="AI110">
            <v>0</v>
          </cell>
          <cell r="AN110">
            <v>0</v>
          </cell>
          <cell r="AO110">
            <v>0</v>
          </cell>
        </row>
        <row r="111">
          <cell r="B111" t="str">
            <v>GT15</v>
          </cell>
          <cell r="C111" t="str">
            <v>DARSO GANG</v>
          </cell>
          <cell r="D111" t="str">
            <v xml:space="preserve">Iron Horse </v>
          </cell>
          <cell r="K111">
            <v>0</v>
          </cell>
          <cell r="S111">
            <v>0</v>
          </cell>
          <cell r="AA111">
            <v>0</v>
          </cell>
          <cell r="AI111">
            <v>0</v>
          </cell>
          <cell r="AN111">
            <v>0</v>
          </cell>
          <cell r="AO111">
            <v>0</v>
          </cell>
        </row>
        <row r="112">
          <cell r="B112" t="str">
            <v>GT16</v>
          </cell>
          <cell r="C112" t="str">
            <v xml:space="preserve">WENDERLINUS GANG </v>
          </cell>
          <cell r="D112" t="str">
            <v xml:space="preserve">Iron Horse </v>
          </cell>
          <cell r="K112">
            <v>0</v>
          </cell>
          <cell r="L112">
            <v>25</v>
          </cell>
          <cell r="O112">
            <v>20</v>
          </cell>
          <cell r="S112">
            <v>45</v>
          </cell>
          <cell r="Z112">
            <v>20</v>
          </cell>
          <cell r="AA112">
            <v>20</v>
          </cell>
          <cell r="AG112">
            <v>20</v>
          </cell>
          <cell r="AI112">
            <v>20</v>
          </cell>
          <cell r="AN112">
            <v>0</v>
          </cell>
          <cell r="AO112">
            <v>85</v>
          </cell>
        </row>
        <row r="113">
          <cell r="B113" t="str">
            <v>GT17</v>
          </cell>
          <cell r="C113" t="str">
            <v>NU AZANI GANG</v>
          </cell>
          <cell r="D113" t="str">
            <v xml:space="preserve">Iron Horse </v>
          </cell>
          <cell r="F113">
            <v>35</v>
          </cell>
          <cell r="K113">
            <v>35</v>
          </cell>
          <cell r="S113">
            <v>0</v>
          </cell>
          <cell r="X113">
            <v>45</v>
          </cell>
          <cell r="AA113">
            <v>45</v>
          </cell>
          <cell r="AI113">
            <v>0</v>
          </cell>
          <cell r="AN113">
            <v>0</v>
          </cell>
          <cell r="AO113">
            <v>80</v>
          </cell>
        </row>
        <row r="114">
          <cell r="B114" t="str">
            <v>GT18</v>
          </cell>
          <cell r="C114" t="str">
            <v>ERDI GANG</v>
          </cell>
          <cell r="D114" t="str">
            <v xml:space="preserve">Iron Horse </v>
          </cell>
          <cell r="K114">
            <v>0</v>
          </cell>
          <cell r="N114">
            <v>20</v>
          </cell>
          <cell r="O114">
            <v>25</v>
          </cell>
          <cell r="S114">
            <v>45</v>
          </cell>
          <cell r="Y114">
            <v>20</v>
          </cell>
          <cell r="AA114">
            <v>20</v>
          </cell>
          <cell r="AI114">
            <v>0</v>
          </cell>
          <cell r="AJ114">
            <v>20</v>
          </cell>
          <cell r="AN114">
            <v>20</v>
          </cell>
          <cell r="AO114">
            <v>85</v>
          </cell>
        </row>
        <row r="115">
          <cell r="B115" t="str">
            <v>GT19</v>
          </cell>
          <cell r="C115" t="str">
            <v>WORKSHOP</v>
          </cell>
          <cell r="D115" t="str">
            <v xml:space="preserve">Iron Horse </v>
          </cell>
          <cell r="K115">
            <v>0</v>
          </cell>
          <cell r="S115">
            <v>0</v>
          </cell>
          <cell r="AA115">
            <v>0</v>
          </cell>
          <cell r="AI115">
            <v>0</v>
          </cell>
          <cell r="AN115">
            <v>0</v>
          </cell>
          <cell r="AO115">
            <v>0</v>
          </cell>
        </row>
        <row r="116">
          <cell r="B116" t="str">
            <v>GT20</v>
          </cell>
          <cell r="C116" t="str">
            <v>DARSO GANG</v>
          </cell>
          <cell r="D116" t="str">
            <v xml:space="preserve">Iron Horse </v>
          </cell>
          <cell r="K116">
            <v>0</v>
          </cell>
          <cell r="O116">
            <v>25</v>
          </cell>
          <cell r="S116">
            <v>25</v>
          </cell>
          <cell r="Y116">
            <v>20</v>
          </cell>
          <cell r="AA116">
            <v>20</v>
          </cell>
          <cell r="AI116">
            <v>0</v>
          </cell>
          <cell r="AJ116">
            <v>20</v>
          </cell>
          <cell r="AN116">
            <v>20</v>
          </cell>
          <cell r="AO116">
            <v>65</v>
          </cell>
        </row>
        <row r="117">
          <cell r="B117" t="str">
            <v>GT21</v>
          </cell>
          <cell r="C117" t="str">
            <v>WORKSHOP</v>
          </cell>
          <cell r="D117" t="str">
            <v>Iron Horse</v>
          </cell>
          <cell r="K117">
            <v>0</v>
          </cell>
          <cell r="S117">
            <v>0</v>
          </cell>
          <cell r="AA117">
            <v>0</v>
          </cell>
          <cell r="AI117">
            <v>0</v>
          </cell>
          <cell r="AN117">
            <v>0</v>
          </cell>
          <cell r="AO117">
            <v>0</v>
          </cell>
        </row>
        <row r="118">
          <cell r="B118" t="str">
            <v>GT22</v>
          </cell>
          <cell r="C118" t="str">
            <v>MIKHAEL GANG</v>
          </cell>
          <cell r="D118" t="str">
            <v xml:space="preserve">Iron Horse </v>
          </cell>
          <cell r="K118">
            <v>0</v>
          </cell>
          <cell r="S118">
            <v>0</v>
          </cell>
          <cell r="Z118">
            <v>20</v>
          </cell>
          <cell r="AA118">
            <v>20</v>
          </cell>
          <cell r="AG118">
            <v>20</v>
          </cell>
          <cell r="AI118">
            <v>20</v>
          </cell>
          <cell r="AN118">
            <v>0</v>
          </cell>
          <cell r="AO118">
            <v>40</v>
          </cell>
        </row>
        <row r="119">
          <cell r="D119" t="str">
            <v>SUB TOTAL (L):</v>
          </cell>
          <cell r="E119">
            <v>40</v>
          </cell>
          <cell r="F119">
            <v>70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110</v>
          </cell>
          <cell r="L119">
            <v>50</v>
          </cell>
          <cell r="M119">
            <v>0</v>
          </cell>
          <cell r="N119">
            <v>70</v>
          </cell>
          <cell r="O119">
            <v>160</v>
          </cell>
          <cell r="P119">
            <v>0</v>
          </cell>
          <cell r="Q119">
            <v>0</v>
          </cell>
          <cell r="R119">
            <v>0</v>
          </cell>
          <cell r="S119">
            <v>280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130</v>
          </cell>
          <cell r="Y119">
            <v>80</v>
          </cell>
          <cell r="Z119">
            <v>80</v>
          </cell>
          <cell r="AA119">
            <v>290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80</v>
          </cell>
          <cell r="AH119">
            <v>0</v>
          </cell>
          <cell r="AI119">
            <v>80</v>
          </cell>
          <cell r="AJ119">
            <v>100</v>
          </cell>
          <cell r="AK119">
            <v>0</v>
          </cell>
          <cell r="AL119">
            <v>0</v>
          </cell>
          <cell r="AM119">
            <v>0</v>
          </cell>
          <cell r="AN119">
            <v>100</v>
          </cell>
          <cell r="AO119">
            <v>860</v>
          </cell>
        </row>
      </sheetData>
      <sheetData sheetId="10">
        <row r="76">
          <cell r="B76" t="str">
            <v>GT01</v>
          </cell>
          <cell r="C76" t="str">
            <v>WORKSHOP</v>
          </cell>
          <cell r="D76" t="str">
            <v xml:space="preserve">Iron Horse </v>
          </cell>
          <cell r="E76" t="str">
            <v>-</v>
          </cell>
          <cell r="L76" t="str">
            <v>OB</v>
          </cell>
          <cell r="M76" t="str">
            <v>OB</v>
          </cell>
          <cell r="N76" t="str">
            <v>OB</v>
          </cell>
          <cell r="O76" t="str">
            <v>OB</v>
          </cell>
          <cell r="P76" t="str">
            <v>OB</v>
          </cell>
          <cell r="Q76" t="str">
            <v>OB</v>
          </cell>
          <cell r="R76" t="str">
            <v>OB</v>
          </cell>
          <cell r="S76" t="str">
            <v>OB</v>
          </cell>
          <cell r="T76" t="str">
            <v>OB</v>
          </cell>
          <cell r="U76" t="str">
            <v>OB</v>
          </cell>
          <cell r="V76" t="str">
            <v>OB</v>
          </cell>
          <cell r="W76" t="str">
            <v>OB</v>
          </cell>
          <cell r="X76" t="str">
            <v>OB</v>
          </cell>
          <cell r="Y76" t="str">
            <v>OB</v>
          </cell>
          <cell r="Z76" t="str">
            <v>OB</v>
          </cell>
          <cell r="AA76" t="str">
            <v>OB</v>
          </cell>
          <cell r="AB76" t="str">
            <v>OB</v>
          </cell>
          <cell r="AC76" t="str">
            <v>OB</v>
          </cell>
          <cell r="AD76" t="str">
            <v>OB</v>
          </cell>
          <cell r="AE76" t="str">
            <v>OB</v>
          </cell>
          <cell r="AF76" t="str">
            <v>OB</v>
          </cell>
          <cell r="AG76" t="str">
            <v>OB</v>
          </cell>
          <cell r="AH76" t="str">
            <v>OB</v>
          </cell>
          <cell r="AI76" t="str">
            <v>OB</v>
          </cell>
          <cell r="AJ76" t="str">
            <v>OB</v>
          </cell>
          <cell r="AK76" t="str">
            <v>OB</v>
          </cell>
          <cell r="AL76" t="str">
            <v>OB</v>
          </cell>
          <cell r="AM76" t="str">
            <v>OB</v>
          </cell>
          <cell r="AN76" t="str">
            <v>OB</v>
          </cell>
          <cell r="AO76" t="str">
            <v>OB</v>
          </cell>
        </row>
        <row r="77">
          <cell r="B77" t="str">
            <v>GT02</v>
          </cell>
          <cell r="C77" t="str">
            <v>SERAN GANG</v>
          </cell>
          <cell r="D77" t="str">
            <v xml:space="preserve">Iron Horse </v>
          </cell>
          <cell r="E77" t="str">
            <v>-</v>
          </cell>
          <cell r="L77" t="str">
            <v>S/B</v>
          </cell>
          <cell r="M77" t="str">
            <v>S/B</v>
          </cell>
          <cell r="N77" t="str">
            <v>S/B</v>
          </cell>
          <cell r="O77" t="str">
            <v>S/B</v>
          </cell>
          <cell r="P77" t="str">
            <v>S/B</v>
          </cell>
          <cell r="Q77" t="str">
            <v>S/B</v>
          </cell>
          <cell r="R77" t="str">
            <v>S/B</v>
          </cell>
          <cell r="S77" t="str">
            <v>S/B</v>
          </cell>
          <cell r="T77" t="str">
            <v>S/B</v>
          </cell>
          <cell r="U77" t="str">
            <v>S/B</v>
          </cell>
          <cell r="V77" t="str">
            <v>S/B</v>
          </cell>
          <cell r="W77" t="str">
            <v>S/B</v>
          </cell>
          <cell r="X77" t="str">
            <v>S/B</v>
          </cell>
          <cell r="Y77" t="str">
            <v>S/B</v>
          </cell>
          <cell r="Z77" t="str">
            <v>S/B</v>
          </cell>
          <cell r="AA77" t="str">
            <v>S/B</v>
          </cell>
          <cell r="AB77" t="str">
            <v>S/B</v>
          </cell>
          <cell r="AC77" t="str">
            <v>S/B</v>
          </cell>
          <cell r="AD77" t="str">
            <v>S/B</v>
          </cell>
          <cell r="AE77" t="str">
            <v>S/B</v>
          </cell>
          <cell r="AF77" t="str">
            <v>S/B</v>
          </cell>
          <cell r="AG77" t="str">
            <v>S/B</v>
          </cell>
          <cell r="AH77" t="str">
            <v>S/B</v>
          </cell>
          <cell r="AI77" t="str">
            <v>S/B</v>
          </cell>
          <cell r="AJ77" t="str">
            <v>S/B</v>
          </cell>
          <cell r="AK77" t="str">
            <v>S/B</v>
          </cell>
          <cell r="AL77" t="str">
            <v>S/B</v>
          </cell>
          <cell r="AM77" t="str">
            <v>S/B</v>
          </cell>
          <cell r="AN77" t="str">
            <v>S/B</v>
          </cell>
          <cell r="AO77" t="str">
            <v>S/B</v>
          </cell>
        </row>
        <row r="78">
          <cell r="B78" t="str">
            <v>GT03</v>
          </cell>
          <cell r="C78" t="str">
            <v>WORKSHOP</v>
          </cell>
          <cell r="D78" t="str">
            <v>Iron Horse (PETROL)</v>
          </cell>
          <cell r="L78" t="str">
            <v>OB</v>
          </cell>
          <cell r="M78" t="str">
            <v>OB</v>
          </cell>
          <cell r="N78" t="str">
            <v>OB</v>
          </cell>
          <cell r="O78" t="str">
            <v>OB</v>
          </cell>
          <cell r="P78" t="str">
            <v>OB</v>
          </cell>
          <cell r="Q78" t="str">
            <v>OB</v>
          </cell>
          <cell r="R78" t="str">
            <v>OB</v>
          </cell>
          <cell r="S78" t="str">
            <v>OB</v>
          </cell>
          <cell r="T78" t="str">
            <v>OB</v>
          </cell>
          <cell r="U78" t="str">
            <v>OB</v>
          </cell>
          <cell r="V78" t="str">
            <v>OB</v>
          </cell>
          <cell r="W78" t="str">
            <v>OB</v>
          </cell>
          <cell r="X78" t="str">
            <v>OB</v>
          </cell>
          <cell r="Y78" t="str">
            <v>OB</v>
          </cell>
          <cell r="Z78" t="str">
            <v>OB</v>
          </cell>
          <cell r="AA78" t="str">
            <v>OB</v>
          </cell>
          <cell r="AB78" t="str">
            <v>OB</v>
          </cell>
          <cell r="AC78" t="str">
            <v>OB</v>
          </cell>
          <cell r="AD78" t="str">
            <v>OB</v>
          </cell>
          <cell r="AE78" t="str">
            <v>OB</v>
          </cell>
          <cell r="AF78" t="str">
            <v>OB</v>
          </cell>
          <cell r="AG78" t="str">
            <v>OB</v>
          </cell>
          <cell r="AH78" t="str">
            <v>OB</v>
          </cell>
          <cell r="AI78" t="str">
            <v>OB</v>
          </cell>
          <cell r="AJ78" t="str">
            <v>OB</v>
          </cell>
          <cell r="AK78" t="str">
            <v>OB</v>
          </cell>
          <cell r="AL78" t="str">
            <v>OB</v>
          </cell>
          <cell r="AM78" t="str">
            <v>OB</v>
          </cell>
          <cell r="AN78" t="str">
            <v>OB</v>
          </cell>
          <cell r="AO78" t="str">
            <v>OB</v>
          </cell>
        </row>
        <row r="79">
          <cell r="B79" t="str">
            <v>GT04</v>
          </cell>
          <cell r="C79" t="str">
            <v>MIKHAEL GANG</v>
          </cell>
          <cell r="D79" t="str">
            <v xml:space="preserve">Iron Horse </v>
          </cell>
          <cell r="L79" t="str">
            <v>O</v>
          </cell>
          <cell r="M79" t="str">
            <v>O</v>
          </cell>
          <cell r="N79" t="str">
            <v>O</v>
          </cell>
          <cell r="O79" t="str">
            <v>O</v>
          </cell>
          <cell r="P79" t="str">
            <v>O</v>
          </cell>
          <cell r="Q79" t="str">
            <v>O</v>
          </cell>
          <cell r="R79" t="str">
            <v>O</v>
          </cell>
          <cell r="S79" t="str">
            <v>O</v>
          </cell>
          <cell r="T79" t="str">
            <v>O</v>
          </cell>
          <cell r="U79" t="str">
            <v>O</v>
          </cell>
          <cell r="V79" t="str">
            <v>O</v>
          </cell>
          <cell r="W79" t="str">
            <v>O</v>
          </cell>
          <cell r="X79" t="str">
            <v>O</v>
          </cell>
          <cell r="Y79" t="str">
            <v>O</v>
          </cell>
          <cell r="Z79" t="str">
            <v>O</v>
          </cell>
          <cell r="AA79" t="str">
            <v>O</v>
          </cell>
          <cell r="AB79" t="str">
            <v>O</v>
          </cell>
          <cell r="AC79" t="str">
            <v>O</v>
          </cell>
          <cell r="AD79" t="str">
            <v>O</v>
          </cell>
          <cell r="AE79" t="str">
            <v>O</v>
          </cell>
          <cell r="AF79" t="str">
            <v>O</v>
          </cell>
          <cell r="AG79" t="str">
            <v>O</v>
          </cell>
          <cell r="AH79" t="str">
            <v>O</v>
          </cell>
          <cell r="AI79" t="str">
            <v>O</v>
          </cell>
          <cell r="AJ79" t="str">
            <v>O</v>
          </cell>
          <cell r="AK79" t="str">
            <v>O</v>
          </cell>
          <cell r="AL79" t="str">
            <v>O</v>
          </cell>
          <cell r="AM79" t="str">
            <v>O</v>
          </cell>
          <cell r="AN79" t="str">
            <v>O</v>
          </cell>
          <cell r="AO79" t="str">
            <v>O</v>
          </cell>
        </row>
        <row r="80">
          <cell r="B80" t="str">
            <v>GT05</v>
          </cell>
          <cell r="C80" t="str">
            <v>SERAN GANG</v>
          </cell>
          <cell r="D80" t="str">
            <v xml:space="preserve">Iron Horse </v>
          </cell>
          <cell r="L80" t="str">
            <v>O</v>
          </cell>
          <cell r="M80" t="str">
            <v>O</v>
          </cell>
          <cell r="N80" t="str">
            <v>O</v>
          </cell>
          <cell r="O80" t="str">
            <v>O</v>
          </cell>
          <cell r="P80" t="str">
            <v>O</v>
          </cell>
          <cell r="Q80" t="str">
            <v>O</v>
          </cell>
          <cell r="R80" t="str">
            <v>O</v>
          </cell>
          <cell r="S80" t="str">
            <v>O</v>
          </cell>
          <cell r="T80" t="str">
            <v>O</v>
          </cell>
          <cell r="U80" t="str">
            <v>O</v>
          </cell>
          <cell r="V80" t="str">
            <v>O</v>
          </cell>
          <cell r="W80" t="str">
            <v>O</v>
          </cell>
          <cell r="X80" t="str">
            <v>O</v>
          </cell>
          <cell r="Y80" t="str">
            <v>O</v>
          </cell>
          <cell r="Z80" t="str">
            <v>O</v>
          </cell>
          <cell r="AA80" t="str">
            <v>O</v>
          </cell>
          <cell r="AB80" t="str">
            <v>O</v>
          </cell>
          <cell r="AC80" t="str">
            <v>O</v>
          </cell>
          <cell r="AD80" t="str">
            <v>O</v>
          </cell>
          <cell r="AE80" t="str">
            <v>O</v>
          </cell>
          <cell r="AF80" t="str">
            <v>O</v>
          </cell>
          <cell r="AG80" t="str">
            <v>O</v>
          </cell>
          <cell r="AH80" t="str">
            <v>O</v>
          </cell>
          <cell r="AI80" t="str">
            <v>O</v>
          </cell>
          <cell r="AJ80" t="str">
            <v>O</v>
          </cell>
          <cell r="AK80" t="str">
            <v>O</v>
          </cell>
          <cell r="AL80" t="str">
            <v>O</v>
          </cell>
          <cell r="AM80" t="str">
            <v>O</v>
          </cell>
          <cell r="AN80" t="str">
            <v>O</v>
          </cell>
          <cell r="AO80" t="str">
            <v>O</v>
          </cell>
        </row>
        <row r="81">
          <cell r="B81" t="str">
            <v>GT06</v>
          </cell>
          <cell r="C81" t="str">
            <v>SERAN GANG</v>
          </cell>
          <cell r="D81" t="str">
            <v xml:space="preserve">Iron Horse </v>
          </cell>
          <cell r="L81" t="str">
            <v>O</v>
          </cell>
          <cell r="M81" t="str">
            <v>O</v>
          </cell>
          <cell r="N81" t="str">
            <v>O</v>
          </cell>
          <cell r="O81" t="str">
            <v>O</v>
          </cell>
          <cell r="P81" t="str">
            <v>O</v>
          </cell>
          <cell r="Q81" t="str">
            <v>O</v>
          </cell>
          <cell r="R81" t="str">
            <v>O</v>
          </cell>
          <cell r="S81" t="str">
            <v>O</v>
          </cell>
          <cell r="T81" t="str">
            <v>O</v>
          </cell>
          <cell r="U81" t="str">
            <v>O</v>
          </cell>
          <cell r="V81" t="str">
            <v>O</v>
          </cell>
          <cell r="W81" t="str">
            <v>O</v>
          </cell>
          <cell r="X81" t="str">
            <v>O</v>
          </cell>
          <cell r="Y81" t="str">
            <v>O</v>
          </cell>
          <cell r="Z81" t="str">
            <v>O</v>
          </cell>
          <cell r="AA81" t="str">
            <v>O</v>
          </cell>
          <cell r="AB81" t="str">
            <v>O</v>
          </cell>
          <cell r="AC81" t="str">
            <v>O</v>
          </cell>
          <cell r="AD81" t="str">
            <v>O</v>
          </cell>
          <cell r="AE81" t="str">
            <v>O</v>
          </cell>
          <cell r="AF81" t="str">
            <v>O</v>
          </cell>
          <cell r="AG81" t="str">
            <v>O</v>
          </cell>
          <cell r="AH81" t="str">
            <v>O</v>
          </cell>
          <cell r="AI81" t="str">
            <v>O</v>
          </cell>
          <cell r="AJ81" t="str">
            <v>O</v>
          </cell>
          <cell r="AK81" t="str">
            <v>O</v>
          </cell>
          <cell r="AL81" t="str">
            <v>O</v>
          </cell>
          <cell r="AM81" t="str">
            <v>O</v>
          </cell>
          <cell r="AN81" t="str">
            <v>O</v>
          </cell>
          <cell r="AO81" t="str">
            <v>O</v>
          </cell>
        </row>
        <row r="82">
          <cell r="B82" t="str">
            <v>GT07</v>
          </cell>
          <cell r="C82" t="str">
            <v>NU AZANI GANG</v>
          </cell>
          <cell r="D82" t="str">
            <v xml:space="preserve">Iron Horse </v>
          </cell>
          <cell r="L82" t="str">
            <v>OB</v>
          </cell>
          <cell r="M82" t="str">
            <v>OB</v>
          </cell>
          <cell r="N82" t="str">
            <v>OB</v>
          </cell>
          <cell r="O82" t="str">
            <v>OB</v>
          </cell>
          <cell r="P82" t="str">
            <v>OB</v>
          </cell>
          <cell r="Q82" t="str">
            <v>OB</v>
          </cell>
          <cell r="R82" t="str">
            <v>OB</v>
          </cell>
          <cell r="S82" t="str">
            <v>OB</v>
          </cell>
          <cell r="T82" t="str">
            <v>OB</v>
          </cell>
          <cell r="U82" t="str">
            <v>OB</v>
          </cell>
          <cell r="V82" t="str">
            <v>OB</v>
          </cell>
          <cell r="W82" t="str">
            <v>OB</v>
          </cell>
          <cell r="X82" t="str">
            <v>OB</v>
          </cell>
          <cell r="Y82" t="str">
            <v>OB</v>
          </cell>
          <cell r="Z82" t="str">
            <v>OB</v>
          </cell>
          <cell r="AA82" t="str">
            <v>OB</v>
          </cell>
          <cell r="AB82" t="str">
            <v>OB</v>
          </cell>
          <cell r="AC82" t="str">
            <v>OB</v>
          </cell>
          <cell r="AD82" t="str">
            <v>OB</v>
          </cell>
          <cell r="AE82" t="str">
            <v>OB</v>
          </cell>
          <cell r="AF82" t="str">
            <v>OB</v>
          </cell>
          <cell r="AG82" t="str">
            <v>OB</v>
          </cell>
          <cell r="AH82" t="str">
            <v>OB</v>
          </cell>
          <cell r="AI82" t="str">
            <v>OB</v>
          </cell>
          <cell r="AJ82" t="str">
            <v>OB</v>
          </cell>
          <cell r="AK82" t="str">
            <v>OB</v>
          </cell>
          <cell r="AL82" t="str">
            <v>OB</v>
          </cell>
          <cell r="AM82" t="str">
            <v>OB</v>
          </cell>
          <cell r="AN82" t="str">
            <v>OB</v>
          </cell>
          <cell r="AO82" t="str">
            <v>OB</v>
          </cell>
        </row>
        <row r="83">
          <cell r="B83" t="str">
            <v>GT08</v>
          </cell>
          <cell r="C83" t="str">
            <v>DARSO GANG</v>
          </cell>
          <cell r="D83" t="str">
            <v xml:space="preserve">Iron Horse </v>
          </cell>
          <cell r="L83" t="str">
            <v>O</v>
          </cell>
          <cell r="M83" t="str">
            <v>O</v>
          </cell>
          <cell r="N83" t="str">
            <v>O</v>
          </cell>
          <cell r="O83" t="str">
            <v>O</v>
          </cell>
          <cell r="P83" t="str">
            <v>O</v>
          </cell>
          <cell r="Q83" t="str">
            <v>O</v>
          </cell>
          <cell r="R83" t="str">
            <v>O</v>
          </cell>
          <cell r="S83" t="str">
            <v>O</v>
          </cell>
          <cell r="T83" t="str">
            <v>O</v>
          </cell>
          <cell r="U83" t="str">
            <v>O</v>
          </cell>
          <cell r="V83" t="str">
            <v>O</v>
          </cell>
          <cell r="W83" t="str">
            <v>O</v>
          </cell>
          <cell r="X83" t="str">
            <v>O</v>
          </cell>
          <cell r="Y83" t="str">
            <v>O</v>
          </cell>
          <cell r="Z83" t="str">
            <v>O</v>
          </cell>
          <cell r="AA83" t="str">
            <v>O</v>
          </cell>
          <cell r="AB83" t="str">
            <v>O</v>
          </cell>
          <cell r="AC83" t="str">
            <v>O</v>
          </cell>
          <cell r="AD83" t="str">
            <v>O</v>
          </cell>
          <cell r="AE83" t="str">
            <v>O</v>
          </cell>
          <cell r="AF83" t="str">
            <v>O</v>
          </cell>
          <cell r="AG83" t="str">
            <v>O</v>
          </cell>
          <cell r="AH83" t="str">
            <v>O</v>
          </cell>
          <cell r="AI83" t="str">
            <v>O</v>
          </cell>
          <cell r="AJ83" t="str">
            <v>O</v>
          </cell>
          <cell r="AK83" t="str">
            <v>O</v>
          </cell>
          <cell r="AL83" t="str">
            <v>O</v>
          </cell>
          <cell r="AM83" t="str">
            <v>O</v>
          </cell>
          <cell r="AN83" t="str">
            <v>O</v>
          </cell>
          <cell r="AO83" t="str">
            <v>O</v>
          </cell>
        </row>
        <row r="84">
          <cell r="B84" t="str">
            <v>GT09</v>
          </cell>
          <cell r="C84" t="str">
            <v>NU AZANI GANG</v>
          </cell>
          <cell r="D84" t="str">
            <v xml:space="preserve">Iron Horse </v>
          </cell>
          <cell r="L84" t="str">
            <v>O</v>
          </cell>
          <cell r="M84" t="str">
            <v>O</v>
          </cell>
          <cell r="N84" t="str">
            <v>O</v>
          </cell>
          <cell r="O84" t="str">
            <v>O</v>
          </cell>
          <cell r="P84" t="str">
            <v>O</v>
          </cell>
          <cell r="Q84" t="str">
            <v>O</v>
          </cell>
          <cell r="R84" t="str">
            <v>O</v>
          </cell>
          <cell r="S84" t="str">
            <v>O</v>
          </cell>
          <cell r="T84" t="str">
            <v>O</v>
          </cell>
          <cell r="U84" t="str">
            <v>O</v>
          </cell>
          <cell r="V84" t="str">
            <v>O</v>
          </cell>
          <cell r="W84" t="str">
            <v>O</v>
          </cell>
          <cell r="X84" t="str">
            <v>O</v>
          </cell>
          <cell r="Y84" t="str">
            <v>O</v>
          </cell>
          <cell r="Z84" t="str">
            <v>O</v>
          </cell>
          <cell r="AA84" t="str">
            <v>O</v>
          </cell>
          <cell r="AB84" t="str">
            <v>O</v>
          </cell>
          <cell r="AC84" t="str">
            <v>O</v>
          </cell>
          <cell r="AD84" t="str">
            <v>O</v>
          </cell>
          <cell r="AE84" t="str">
            <v>O</v>
          </cell>
          <cell r="AF84" t="str">
            <v>O</v>
          </cell>
          <cell r="AG84" t="str">
            <v>O</v>
          </cell>
          <cell r="AH84" t="str">
            <v>O</v>
          </cell>
          <cell r="AI84" t="str">
            <v>O</v>
          </cell>
          <cell r="AJ84" t="str">
            <v>O</v>
          </cell>
          <cell r="AK84" t="str">
            <v>O</v>
          </cell>
          <cell r="AL84" t="str">
            <v>O</v>
          </cell>
          <cell r="AM84" t="str">
            <v>O</v>
          </cell>
          <cell r="AN84" t="str">
            <v>O</v>
          </cell>
          <cell r="AO84" t="str">
            <v>O</v>
          </cell>
        </row>
        <row r="85">
          <cell r="B85" t="str">
            <v>GT10</v>
          </cell>
          <cell r="C85" t="str">
            <v xml:space="preserve">WENDERLINUS GANG </v>
          </cell>
          <cell r="D85" t="str">
            <v xml:space="preserve">Iron Horse </v>
          </cell>
          <cell r="L85" t="str">
            <v>O</v>
          </cell>
          <cell r="M85" t="str">
            <v>O</v>
          </cell>
          <cell r="N85" t="str">
            <v>O</v>
          </cell>
          <cell r="O85" t="str">
            <v>O</v>
          </cell>
          <cell r="P85" t="str">
            <v>O</v>
          </cell>
          <cell r="Q85" t="str">
            <v>O</v>
          </cell>
          <cell r="R85" t="str">
            <v>O</v>
          </cell>
          <cell r="S85" t="str">
            <v>O</v>
          </cell>
          <cell r="T85" t="str">
            <v>O</v>
          </cell>
          <cell r="U85" t="str">
            <v>O</v>
          </cell>
          <cell r="V85" t="str">
            <v>O</v>
          </cell>
          <cell r="W85" t="str">
            <v>O</v>
          </cell>
          <cell r="X85" t="str">
            <v>O</v>
          </cell>
          <cell r="Y85" t="str">
            <v>O</v>
          </cell>
          <cell r="Z85" t="str">
            <v>O</v>
          </cell>
          <cell r="AA85" t="str">
            <v>O</v>
          </cell>
          <cell r="AB85" t="str">
            <v>O</v>
          </cell>
          <cell r="AC85" t="str">
            <v>O</v>
          </cell>
          <cell r="AD85" t="str">
            <v>O</v>
          </cell>
          <cell r="AE85" t="str">
            <v>O</v>
          </cell>
          <cell r="AF85" t="str">
            <v>O</v>
          </cell>
          <cell r="AG85" t="str">
            <v>O</v>
          </cell>
          <cell r="AH85" t="str">
            <v>O</v>
          </cell>
          <cell r="AI85" t="str">
            <v>O</v>
          </cell>
          <cell r="AJ85" t="str">
            <v>O</v>
          </cell>
          <cell r="AK85" t="str">
            <v>O</v>
          </cell>
          <cell r="AL85" t="str">
            <v>O</v>
          </cell>
          <cell r="AM85" t="str">
            <v>O</v>
          </cell>
          <cell r="AN85" t="str">
            <v>O</v>
          </cell>
          <cell r="AO85" t="str">
            <v>O</v>
          </cell>
        </row>
        <row r="86">
          <cell r="B86" t="str">
            <v>GT11</v>
          </cell>
          <cell r="C86" t="str">
            <v>MIKHAEL GANG</v>
          </cell>
          <cell r="D86" t="str">
            <v xml:space="preserve">Iron Horse </v>
          </cell>
          <cell r="E86" t="str">
            <v>-</v>
          </cell>
          <cell r="L86" t="str">
            <v>OB</v>
          </cell>
          <cell r="M86" t="str">
            <v>OB</v>
          </cell>
          <cell r="N86" t="str">
            <v>OB</v>
          </cell>
          <cell r="O86" t="str">
            <v>OB</v>
          </cell>
          <cell r="P86" t="str">
            <v>OB</v>
          </cell>
          <cell r="Q86" t="str">
            <v>OB</v>
          </cell>
          <cell r="R86" t="str">
            <v>OB</v>
          </cell>
          <cell r="S86" t="str">
            <v>OB</v>
          </cell>
          <cell r="T86" t="str">
            <v>OB</v>
          </cell>
          <cell r="U86" t="str">
            <v>OB</v>
          </cell>
          <cell r="V86" t="str">
            <v>OB</v>
          </cell>
          <cell r="W86" t="str">
            <v>OB</v>
          </cell>
          <cell r="X86" t="str">
            <v>OB</v>
          </cell>
          <cell r="Y86" t="str">
            <v>OB</v>
          </cell>
          <cell r="Z86" t="str">
            <v>OB</v>
          </cell>
          <cell r="AA86" t="str">
            <v>OB</v>
          </cell>
          <cell r="AB86" t="str">
            <v>OB</v>
          </cell>
          <cell r="AC86" t="str">
            <v>OB</v>
          </cell>
          <cell r="AD86" t="str">
            <v>OB</v>
          </cell>
          <cell r="AE86" t="str">
            <v>OB</v>
          </cell>
          <cell r="AF86" t="str">
            <v>OB</v>
          </cell>
          <cell r="AG86" t="str">
            <v>OB</v>
          </cell>
          <cell r="AH86" t="str">
            <v>OB</v>
          </cell>
          <cell r="AI86" t="str">
            <v>OB</v>
          </cell>
          <cell r="AJ86" t="str">
            <v>OB</v>
          </cell>
          <cell r="AK86" t="str">
            <v>OB</v>
          </cell>
          <cell r="AL86" t="str">
            <v>OB</v>
          </cell>
          <cell r="AM86" t="str">
            <v>OB</v>
          </cell>
          <cell r="AN86" t="str">
            <v>OB</v>
          </cell>
          <cell r="AO86" t="str">
            <v>OB</v>
          </cell>
        </row>
        <row r="87">
          <cell r="B87" t="str">
            <v>GT12</v>
          </cell>
          <cell r="C87" t="str">
            <v>DARSO GANG</v>
          </cell>
          <cell r="D87" t="str">
            <v xml:space="preserve">Iron Horse </v>
          </cell>
          <cell r="E87" t="str">
            <v>-</v>
          </cell>
          <cell r="L87" t="str">
            <v>O</v>
          </cell>
          <cell r="M87" t="str">
            <v>O</v>
          </cell>
          <cell r="N87" t="str">
            <v>O</v>
          </cell>
          <cell r="O87" t="str">
            <v>O</v>
          </cell>
          <cell r="P87" t="str">
            <v>O</v>
          </cell>
          <cell r="Q87" t="str">
            <v>O</v>
          </cell>
          <cell r="R87" t="str">
            <v>O</v>
          </cell>
          <cell r="S87" t="str">
            <v>O</v>
          </cell>
          <cell r="T87" t="str">
            <v>O</v>
          </cell>
          <cell r="U87" t="str">
            <v>O</v>
          </cell>
          <cell r="V87" t="str">
            <v>O</v>
          </cell>
          <cell r="W87" t="str">
            <v>O</v>
          </cell>
          <cell r="X87" t="str">
            <v>O</v>
          </cell>
          <cell r="Y87" t="str">
            <v>O</v>
          </cell>
          <cell r="Z87" t="str">
            <v>O</v>
          </cell>
          <cell r="AA87" t="str">
            <v>O</v>
          </cell>
          <cell r="AB87" t="str">
            <v>O</v>
          </cell>
          <cell r="AC87" t="str">
            <v>O</v>
          </cell>
          <cell r="AD87" t="str">
            <v>O</v>
          </cell>
          <cell r="AE87" t="str">
            <v>O</v>
          </cell>
          <cell r="AF87" t="str">
            <v>O</v>
          </cell>
          <cell r="AG87" t="str">
            <v>O</v>
          </cell>
          <cell r="AH87" t="str">
            <v>O</v>
          </cell>
          <cell r="AI87" t="str">
            <v>O</v>
          </cell>
          <cell r="AJ87" t="str">
            <v>O</v>
          </cell>
          <cell r="AK87" t="str">
            <v>O</v>
          </cell>
          <cell r="AL87" t="str">
            <v>O</v>
          </cell>
          <cell r="AM87" t="str">
            <v>O</v>
          </cell>
          <cell r="AN87" t="str">
            <v>O</v>
          </cell>
          <cell r="AO87" t="str">
            <v>O</v>
          </cell>
        </row>
        <row r="88">
          <cell r="B88" t="str">
            <v>GT13</v>
          </cell>
          <cell r="C88" t="str">
            <v>DARSO GANG</v>
          </cell>
          <cell r="D88" t="str">
            <v xml:space="preserve">Iron Horse </v>
          </cell>
          <cell r="L88" t="str">
            <v>O</v>
          </cell>
          <cell r="M88" t="str">
            <v>O</v>
          </cell>
          <cell r="N88" t="str">
            <v>O</v>
          </cell>
          <cell r="O88" t="str">
            <v>O</v>
          </cell>
          <cell r="P88" t="str">
            <v>O</v>
          </cell>
          <cell r="Q88" t="str">
            <v>O</v>
          </cell>
          <cell r="R88" t="str">
            <v>O</v>
          </cell>
          <cell r="S88" t="str">
            <v>O</v>
          </cell>
          <cell r="T88" t="str">
            <v>O</v>
          </cell>
          <cell r="U88" t="str">
            <v>O</v>
          </cell>
          <cell r="V88" t="str">
            <v>O</v>
          </cell>
          <cell r="W88" t="str">
            <v>O</v>
          </cell>
          <cell r="X88" t="str">
            <v>O</v>
          </cell>
          <cell r="Y88" t="str">
            <v>O</v>
          </cell>
          <cell r="Z88" t="str">
            <v>O</v>
          </cell>
          <cell r="AA88" t="str">
            <v>O</v>
          </cell>
          <cell r="AB88" t="str">
            <v>O</v>
          </cell>
          <cell r="AC88" t="str">
            <v>O</v>
          </cell>
          <cell r="AD88" t="str">
            <v>O</v>
          </cell>
          <cell r="AE88" t="str">
            <v>O</v>
          </cell>
          <cell r="AF88" t="str">
            <v>O</v>
          </cell>
          <cell r="AG88" t="str">
            <v>O</v>
          </cell>
          <cell r="AH88" t="str">
            <v>O</v>
          </cell>
          <cell r="AI88" t="str">
            <v>O</v>
          </cell>
          <cell r="AJ88" t="str">
            <v>O</v>
          </cell>
          <cell r="AK88" t="str">
            <v>O</v>
          </cell>
          <cell r="AL88" t="str">
            <v>O</v>
          </cell>
          <cell r="AM88" t="str">
            <v>O</v>
          </cell>
          <cell r="AN88" t="str">
            <v>O</v>
          </cell>
          <cell r="AO88" t="str">
            <v>O</v>
          </cell>
        </row>
        <row r="89">
          <cell r="B89" t="str">
            <v>GT14</v>
          </cell>
          <cell r="C89" t="str">
            <v>NU AZANI GANG</v>
          </cell>
          <cell r="D89" t="str">
            <v xml:space="preserve">Iron Horse </v>
          </cell>
          <cell r="E89" t="str">
            <v>-</v>
          </cell>
          <cell r="L89" t="str">
            <v>S/B</v>
          </cell>
          <cell r="M89" t="str">
            <v>S/B</v>
          </cell>
          <cell r="N89" t="str">
            <v>S/B</v>
          </cell>
          <cell r="O89" t="str">
            <v>S/B</v>
          </cell>
          <cell r="P89" t="str">
            <v>S/B</v>
          </cell>
          <cell r="Q89" t="str">
            <v>S/B</v>
          </cell>
          <cell r="R89" t="str">
            <v>S/B</v>
          </cell>
          <cell r="S89" t="str">
            <v>S/B</v>
          </cell>
          <cell r="T89" t="str">
            <v>S/B</v>
          </cell>
          <cell r="U89" t="str">
            <v>S/B</v>
          </cell>
          <cell r="V89" t="str">
            <v>S/B</v>
          </cell>
          <cell r="W89" t="str">
            <v>S/B</v>
          </cell>
          <cell r="X89" t="str">
            <v>S/B</v>
          </cell>
          <cell r="Y89" t="str">
            <v>S/B</v>
          </cell>
          <cell r="Z89" t="str">
            <v>S/B</v>
          </cell>
          <cell r="AA89" t="str">
            <v>S/B</v>
          </cell>
          <cell r="AB89" t="str">
            <v>S/B</v>
          </cell>
          <cell r="AC89" t="str">
            <v>S/B</v>
          </cell>
          <cell r="AD89" t="str">
            <v>S/B</v>
          </cell>
          <cell r="AE89" t="str">
            <v>S/B</v>
          </cell>
          <cell r="AF89" t="str">
            <v>S/B</v>
          </cell>
          <cell r="AG89" t="str">
            <v>S/B</v>
          </cell>
          <cell r="AH89" t="str">
            <v>S/B</v>
          </cell>
          <cell r="AI89" t="str">
            <v>S/B</v>
          </cell>
          <cell r="AJ89" t="str">
            <v>S/B</v>
          </cell>
          <cell r="AK89" t="str">
            <v>S/B</v>
          </cell>
          <cell r="AL89" t="str">
            <v>S/B</v>
          </cell>
          <cell r="AM89" t="str">
            <v>S/B</v>
          </cell>
          <cell r="AN89" t="str">
            <v>S/B</v>
          </cell>
          <cell r="AO89" t="str">
            <v>S/B</v>
          </cell>
        </row>
        <row r="90">
          <cell r="B90" t="str">
            <v>GT15</v>
          </cell>
          <cell r="C90" t="str">
            <v>DARSO GANG</v>
          </cell>
          <cell r="D90" t="str">
            <v xml:space="preserve">Iron Horse </v>
          </cell>
          <cell r="L90" t="str">
            <v>S/B</v>
          </cell>
          <cell r="M90" t="str">
            <v>S/B</v>
          </cell>
          <cell r="N90" t="str">
            <v>S/B</v>
          </cell>
          <cell r="O90" t="str">
            <v>S/B</v>
          </cell>
          <cell r="P90" t="str">
            <v>S/B</v>
          </cell>
          <cell r="Q90" t="str">
            <v>S/B</v>
          </cell>
          <cell r="R90" t="str">
            <v>S/B</v>
          </cell>
          <cell r="S90" t="str">
            <v>S/B</v>
          </cell>
          <cell r="T90" t="str">
            <v>S/B</v>
          </cell>
          <cell r="U90" t="str">
            <v>S/B</v>
          </cell>
          <cell r="V90" t="str">
            <v>S/B</v>
          </cell>
          <cell r="W90" t="str">
            <v>S/B</v>
          </cell>
          <cell r="X90" t="str">
            <v>S/B</v>
          </cell>
          <cell r="Y90" t="str">
            <v>S/B</v>
          </cell>
          <cell r="Z90" t="str">
            <v>S/B</v>
          </cell>
          <cell r="AA90" t="str">
            <v>S/B</v>
          </cell>
          <cell r="AB90" t="str">
            <v>S/B</v>
          </cell>
          <cell r="AC90" t="str">
            <v>S/B</v>
          </cell>
          <cell r="AD90" t="str">
            <v>S/B</v>
          </cell>
          <cell r="AE90" t="str">
            <v>S/B</v>
          </cell>
          <cell r="AF90" t="str">
            <v>S/B</v>
          </cell>
          <cell r="AG90" t="str">
            <v>S/B</v>
          </cell>
          <cell r="AH90" t="str">
            <v>S/B</v>
          </cell>
          <cell r="AI90" t="str">
            <v>S/B</v>
          </cell>
          <cell r="AJ90" t="str">
            <v>S/B</v>
          </cell>
          <cell r="AK90" t="str">
            <v>S/B</v>
          </cell>
          <cell r="AL90" t="str">
            <v>S/B</v>
          </cell>
          <cell r="AM90" t="str">
            <v>S/B</v>
          </cell>
          <cell r="AN90" t="str">
            <v>S/B</v>
          </cell>
          <cell r="AO90" t="str">
            <v>S/B</v>
          </cell>
        </row>
        <row r="91">
          <cell r="B91" t="str">
            <v>GT16</v>
          </cell>
          <cell r="C91" t="str">
            <v xml:space="preserve">WENDERLINUS GANG </v>
          </cell>
          <cell r="D91" t="str">
            <v xml:space="preserve">Iron Horse </v>
          </cell>
          <cell r="L91" t="str">
            <v>O</v>
          </cell>
          <cell r="M91" t="str">
            <v>O</v>
          </cell>
          <cell r="N91" t="str">
            <v>O</v>
          </cell>
          <cell r="O91" t="str">
            <v>O</v>
          </cell>
          <cell r="P91" t="str">
            <v>O</v>
          </cell>
          <cell r="Q91" t="str">
            <v>O</v>
          </cell>
          <cell r="R91" t="str">
            <v>O</v>
          </cell>
          <cell r="S91" t="str">
            <v>O</v>
          </cell>
          <cell r="T91" t="str">
            <v>O</v>
          </cell>
          <cell r="U91" t="str">
            <v>O</v>
          </cell>
          <cell r="V91" t="str">
            <v>O</v>
          </cell>
          <cell r="W91" t="str">
            <v>O</v>
          </cell>
          <cell r="X91" t="str">
            <v>O</v>
          </cell>
          <cell r="Y91" t="str">
            <v>O</v>
          </cell>
          <cell r="Z91" t="str">
            <v>O</v>
          </cell>
          <cell r="AA91" t="str">
            <v>O</v>
          </cell>
          <cell r="AB91" t="str">
            <v>O</v>
          </cell>
          <cell r="AC91" t="str">
            <v>O</v>
          </cell>
          <cell r="AD91" t="str">
            <v>O</v>
          </cell>
          <cell r="AE91" t="str">
            <v>O</v>
          </cell>
          <cell r="AF91" t="str">
            <v>O</v>
          </cell>
          <cell r="AG91" t="str">
            <v>O</v>
          </cell>
          <cell r="AH91" t="str">
            <v>O</v>
          </cell>
          <cell r="AI91" t="str">
            <v>O</v>
          </cell>
          <cell r="AJ91" t="str">
            <v>O</v>
          </cell>
          <cell r="AK91" t="str">
            <v>O</v>
          </cell>
          <cell r="AL91" t="str">
            <v>O</v>
          </cell>
          <cell r="AM91" t="str">
            <v>O</v>
          </cell>
          <cell r="AN91" t="str">
            <v>O</v>
          </cell>
          <cell r="AO91" t="str">
            <v>O</v>
          </cell>
        </row>
        <row r="92">
          <cell r="B92" t="str">
            <v>GT17</v>
          </cell>
          <cell r="C92" t="str">
            <v>NU AZANI GANG</v>
          </cell>
          <cell r="D92" t="str">
            <v xml:space="preserve">Iron Horse </v>
          </cell>
          <cell r="L92" t="str">
            <v>O</v>
          </cell>
          <cell r="M92" t="str">
            <v>O</v>
          </cell>
          <cell r="N92" t="str">
            <v>O</v>
          </cell>
          <cell r="O92" t="str">
            <v>O</v>
          </cell>
          <cell r="P92" t="str">
            <v>O</v>
          </cell>
          <cell r="Q92" t="str">
            <v>O</v>
          </cell>
          <cell r="R92" t="str">
            <v>O</v>
          </cell>
          <cell r="S92" t="str">
            <v>O</v>
          </cell>
          <cell r="T92" t="str">
            <v>O</v>
          </cell>
          <cell r="U92" t="str">
            <v>O</v>
          </cell>
          <cell r="V92" t="str">
            <v>O</v>
          </cell>
          <cell r="W92" t="str">
            <v>O</v>
          </cell>
          <cell r="X92" t="str">
            <v>O</v>
          </cell>
          <cell r="Y92" t="str">
            <v>O</v>
          </cell>
          <cell r="Z92" t="str">
            <v>O</v>
          </cell>
          <cell r="AA92" t="str">
            <v>O</v>
          </cell>
          <cell r="AB92" t="str">
            <v>O</v>
          </cell>
          <cell r="AC92" t="str">
            <v>O</v>
          </cell>
          <cell r="AD92" t="str">
            <v>O</v>
          </cell>
          <cell r="AE92" t="str">
            <v>O</v>
          </cell>
          <cell r="AF92" t="str">
            <v>O</v>
          </cell>
          <cell r="AG92" t="str">
            <v>O</v>
          </cell>
          <cell r="AH92" t="str">
            <v>O</v>
          </cell>
          <cell r="AI92" t="str">
            <v>O</v>
          </cell>
          <cell r="AJ92" t="str">
            <v>O</v>
          </cell>
          <cell r="AK92" t="str">
            <v>O</v>
          </cell>
          <cell r="AL92" t="str">
            <v>O</v>
          </cell>
          <cell r="AM92" t="str">
            <v>O</v>
          </cell>
          <cell r="AN92" t="str">
            <v>O</v>
          </cell>
          <cell r="AO92" t="str">
            <v>O</v>
          </cell>
        </row>
        <row r="93">
          <cell r="B93" t="str">
            <v>GT18</v>
          </cell>
          <cell r="C93" t="str">
            <v>ERDI GANG</v>
          </cell>
          <cell r="D93" t="str">
            <v xml:space="preserve">Iron Horse </v>
          </cell>
          <cell r="L93" t="str">
            <v>O</v>
          </cell>
          <cell r="M93" t="str">
            <v>O</v>
          </cell>
          <cell r="N93" t="str">
            <v>O</v>
          </cell>
          <cell r="O93" t="str">
            <v>O</v>
          </cell>
          <cell r="P93" t="str">
            <v>O</v>
          </cell>
          <cell r="Q93" t="str">
            <v>O</v>
          </cell>
          <cell r="R93" t="str">
            <v>O</v>
          </cell>
          <cell r="S93" t="str">
            <v>O</v>
          </cell>
          <cell r="T93" t="str">
            <v>O</v>
          </cell>
          <cell r="U93" t="str">
            <v>O</v>
          </cell>
          <cell r="V93" t="str">
            <v>O</v>
          </cell>
          <cell r="W93" t="str">
            <v>O</v>
          </cell>
          <cell r="X93" t="str">
            <v>O</v>
          </cell>
          <cell r="Y93" t="str">
            <v>O</v>
          </cell>
          <cell r="Z93" t="str">
            <v>O</v>
          </cell>
          <cell r="AA93" t="str">
            <v>O</v>
          </cell>
          <cell r="AB93" t="str">
            <v>O</v>
          </cell>
          <cell r="AC93" t="str">
            <v>O</v>
          </cell>
          <cell r="AD93" t="str">
            <v>O</v>
          </cell>
          <cell r="AE93" t="str">
            <v>O</v>
          </cell>
          <cell r="AF93" t="str">
            <v>O</v>
          </cell>
          <cell r="AG93" t="str">
            <v>O</v>
          </cell>
          <cell r="AH93" t="str">
            <v>O</v>
          </cell>
          <cell r="AI93" t="str">
            <v>O</v>
          </cell>
          <cell r="AJ93" t="str">
            <v>O</v>
          </cell>
          <cell r="AK93" t="str">
            <v>O</v>
          </cell>
          <cell r="AL93" t="str">
            <v>O</v>
          </cell>
          <cell r="AM93" t="str">
            <v>O</v>
          </cell>
          <cell r="AN93" t="str">
            <v>O</v>
          </cell>
          <cell r="AO93" t="str">
            <v>O</v>
          </cell>
        </row>
        <row r="94">
          <cell r="B94" t="str">
            <v>GT19</v>
          </cell>
          <cell r="C94" t="str">
            <v>WORKSHOP</v>
          </cell>
          <cell r="D94" t="str">
            <v xml:space="preserve">Iron Horse </v>
          </cell>
          <cell r="L94" t="str">
            <v>OB</v>
          </cell>
          <cell r="M94" t="str">
            <v>OB</v>
          </cell>
          <cell r="N94" t="str">
            <v>OB</v>
          </cell>
          <cell r="O94" t="str">
            <v>OB</v>
          </cell>
          <cell r="P94" t="str">
            <v>OB</v>
          </cell>
          <cell r="Q94" t="str">
            <v>OB</v>
          </cell>
          <cell r="R94" t="str">
            <v>OB</v>
          </cell>
          <cell r="S94" t="str">
            <v>OB</v>
          </cell>
          <cell r="T94" t="str">
            <v>OB</v>
          </cell>
          <cell r="U94" t="str">
            <v>OB</v>
          </cell>
          <cell r="V94" t="str">
            <v>OB</v>
          </cell>
          <cell r="W94" t="str">
            <v>OB</v>
          </cell>
          <cell r="X94" t="str">
            <v>OB</v>
          </cell>
          <cell r="Y94" t="str">
            <v>OB</v>
          </cell>
          <cell r="Z94" t="str">
            <v>OB</v>
          </cell>
          <cell r="AA94" t="str">
            <v>OB</v>
          </cell>
          <cell r="AB94" t="str">
            <v>OB</v>
          </cell>
          <cell r="AC94" t="str">
            <v>OB</v>
          </cell>
          <cell r="AD94" t="str">
            <v>OB</v>
          </cell>
          <cell r="AE94" t="str">
            <v>OB</v>
          </cell>
          <cell r="AF94" t="str">
            <v>OB</v>
          </cell>
          <cell r="AG94" t="str">
            <v>OB</v>
          </cell>
          <cell r="AH94" t="str">
            <v>OB</v>
          </cell>
          <cell r="AI94" t="str">
            <v>OB</v>
          </cell>
          <cell r="AJ94" t="str">
            <v>OB</v>
          </cell>
          <cell r="AK94" t="str">
            <v>OB</v>
          </cell>
          <cell r="AL94" t="str">
            <v>OB</v>
          </cell>
          <cell r="AM94" t="str">
            <v>OB</v>
          </cell>
          <cell r="AN94" t="str">
            <v>OB</v>
          </cell>
          <cell r="AO94" t="str">
            <v>OB</v>
          </cell>
        </row>
        <row r="95">
          <cell r="B95" t="str">
            <v>GT20</v>
          </cell>
          <cell r="C95" t="str">
            <v>DARSO GANG</v>
          </cell>
          <cell r="D95" t="str">
            <v xml:space="preserve">Iron Horse </v>
          </cell>
          <cell r="L95" t="str">
            <v>O</v>
          </cell>
          <cell r="M95" t="str">
            <v>O</v>
          </cell>
          <cell r="N95" t="str">
            <v>O</v>
          </cell>
          <cell r="O95" t="str">
            <v>O</v>
          </cell>
          <cell r="P95" t="str">
            <v>O</v>
          </cell>
          <cell r="Q95" t="str">
            <v>O</v>
          </cell>
          <cell r="R95" t="str">
            <v>O</v>
          </cell>
          <cell r="S95" t="str">
            <v>O</v>
          </cell>
          <cell r="T95" t="str">
            <v>O</v>
          </cell>
          <cell r="U95" t="str">
            <v>O</v>
          </cell>
          <cell r="V95" t="str">
            <v>O</v>
          </cell>
          <cell r="W95" t="str">
            <v>O</v>
          </cell>
          <cell r="X95" t="str">
            <v>O</v>
          </cell>
          <cell r="Y95" t="str">
            <v>O</v>
          </cell>
          <cell r="Z95" t="str">
            <v>O</v>
          </cell>
          <cell r="AA95" t="str">
            <v>O</v>
          </cell>
          <cell r="AB95" t="str">
            <v>O</v>
          </cell>
          <cell r="AC95" t="str">
            <v>O</v>
          </cell>
          <cell r="AD95" t="str">
            <v>O</v>
          </cell>
          <cell r="AE95" t="str">
            <v>O</v>
          </cell>
          <cell r="AF95" t="str">
            <v>O</v>
          </cell>
          <cell r="AG95" t="str">
            <v>O</v>
          </cell>
          <cell r="AH95" t="str">
            <v>O</v>
          </cell>
          <cell r="AI95" t="str">
            <v>O</v>
          </cell>
          <cell r="AJ95" t="str">
            <v>O</v>
          </cell>
          <cell r="AK95" t="str">
            <v>O</v>
          </cell>
          <cell r="AL95" t="str">
            <v>O</v>
          </cell>
          <cell r="AM95" t="str">
            <v>O</v>
          </cell>
          <cell r="AN95" t="str">
            <v>O</v>
          </cell>
          <cell r="AO95" t="str">
            <v>O</v>
          </cell>
        </row>
        <row r="96">
          <cell r="B96" t="str">
            <v>GT21</v>
          </cell>
          <cell r="C96" t="str">
            <v>WORKSHOP</v>
          </cell>
          <cell r="D96" t="str">
            <v>IRON HORSE(DATO)</v>
          </cell>
          <cell r="L96" t="str">
            <v>OB</v>
          </cell>
          <cell r="M96" t="str">
            <v>OB</v>
          </cell>
          <cell r="N96" t="str">
            <v>OB</v>
          </cell>
          <cell r="O96" t="str">
            <v>OB</v>
          </cell>
          <cell r="P96" t="str">
            <v>OB</v>
          </cell>
          <cell r="Q96" t="str">
            <v>OB</v>
          </cell>
          <cell r="R96" t="str">
            <v>OB</v>
          </cell>
          <cell r="S96" t="str">
            <v>OB</v>
          </cell>
          <cell r="T96" t="str">
            <v>OB</v>
          </cell>
          <cell r="U96" t="str">
            <v>OB</v>
          </cell>
          <cell r="V96" t="str">
            <v>OB</v>
          </cell>
          <cell r="W96" t="str">
            <v>OB</v>
          </cell>
          <cell r="X96" t="str">
            <v>OB</v>
          </cell>
          <cell r="Y96" t="str">
            <v>OB</v>
          </cell>
          <cell r="Z96" t="str">
            <v>OB</v>
          </cell>
          <cell r="AA96" t="str">
            <v>OB</v>
          </cell>
          <cell r="AB96" t="str">
            <v>OB</v>
          </cell>
          <cell r="AC96" t="str">
            <v>OB</v>
          </cell>
          <cell r="AD96" t="str">
            <v>OB</v>
          </cell>
          <cell r="AE96" t="str">
            <v>OB</v>
          </cell>
          <cell r="AF96" t="str">
            <v>OB</v>
          </cell>
          <cell r="AG96" t="str">
            <v>OB</v>
          </cell>
          <cell r="AH96" t="str">
            <v>OB</v>
          </cell>
          <cell r="AI96" t="str">
            <v>OB</v>
          </cell>
          <cell r="AJ96" t="str">
            <v>OB</v>
          </cell>
          <cell r="AK96" t="str">
            <v>OB</v>
          </cell>
          <cell r="AL96" t="str">
            <v>OB</v>
          </cell>
          <cell r="AM96" t="str">
            <v>OB</v>
          </cell>
          <cell r="AN96" t="str">
            <v>OB</v>
          </cell>
          <cell r="AO96" t="str">
            <v>OB</v>
          </cell>
        </row>
        <row r="97">
          <cell r="B97" t="str">
            <v>GT22</v>
          </cell>
          <cell r="C97" t="str">
            <v>MIKHAEL GANG</v>
          </cell>
          <cell r="D97" t="str">
            <v xml:space="preserve">Iron Horse </v>
          </cell>
          <cell r="E97" t="str">
            <v>-</v>
          </cell>
          <cell r="L97" t="str">
            <v>S/B</v>
          </cell>
          <cell r="M97" t="str">
            <v>S/B</v>
          </cell>
          <cell r="N97" t="str">
            <v>S/B</v>
          </cell>
          <cell r="O97" t="str">
            <v>S/B</v>
          </cell>
          <cell r="P97" t="str">
            <v>S/B</v>
          </cell>
          <cell r="Q97" t="str">
            <v>S/B</v>
          </cell>
          <cell r="R97" t="str">
            <v>S/B</v>
          </cell>
          <cell r="S97" t="str">
            <v>S/B</v>
          </cell>
          <cell r="T97" t="str">
            <v>S/B</v>
          </cell>
          <cell r="U97" t="str">
            <v>S/B</v>
          </cell>
          <cell r="V97" t="str">
            <v>S/B</v>
          </cell>
          <cell r="W97" t="str">
            <v>S/B</v>
          </cell>
          <cell r="X97" t="str">
            <v>S/B</v>
          </cell>
          <cell r="Y97" t="str">
            <v>S/B</v>
          </cell>
          <cell r="Z97" t="str">
            <v>S/B</v>
          </cell>
          <cell r="AA97" t="str">
            <v>S/B</v>
          </cell>
          <cell r="AB97" t="str">
            <v>S/B</v>
          </cell>
          <cell r="AC97" t="str">
            <v>S/B</v>
          </cell>
          <cell r="AD97" t="str">
            <v>S/B</v>
          </cell>
          <cell r="AE97" t="str">
            <v>S/B</v>
          </cell>
          <cell r="AF97" t="str">
            <v>S/B</v>
          </cell>
          <cell r="AG97" t="str">
            <v>S/B</v>
          </cell>
          <cell r="AH97" t="str">
            <v>S/B</v>
          </cell>
          <cell r="AI97" t="str">
            <v>S/B</v>
          </cell>
          <cell r="AJ97" t="str">
            <v>S/B</v>
          </cell>
          <cell r="AK97" t="str">
            <v>S/B</v>
          </cell>
          <cell r="AL97" t="str">
            <v>S/B</v>
          </cell>
          <cell r="AM97" t="str">
            <v>S/B</v>
          </cell>
          <cell r="AN97" t="str">
            <v>S/B</v>
          </cell>
          <cell r="AO97" t="str">
            <v>S/B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G6" t="str">
            <v>GT-2610</v>
          </cell>
          <cell r="H6" t="str">
            <v>QSR5028</v>
          </cell>
          <cell r="I6" t="str">
            <v>DARSO</v>
          </cell>
          <cell r="J6">
            <v>22</v>
          </cell>
          <cell r="K6">
            <v>36860</v>
          </cell>
          <cell r="L6">
            <v>21400</v>
          </cell>
          <cell r="M6">
            <v>0</v>
          </cell>
          <cell r="N6">
            <v>11.74</v>
          </cell>
          <cell r="O6">
            <v>859</v>
          </cell>
          <cell r="Q6">
            <v>15.46</v>
          </cell>
          <cell r="R6">
            <v>44.86</v>
          </cell>
        </row>
        <row r="7">
          <cell r="I7" t="str">
            <v>NUAZANI</v>
          </cell>
          <cell r="J7">
            <v>8</v>
          </cell>
          <cell r="N7">
            <v>3.72</v>
          </cell>
          <cell r="O7">
            <v>268</v>
          </cell>
        </row>
        <row r="8">
          <cell r="G8" t="str">
            <v>GT-2605</v>
          </cell>
          <cell r="H8" t="str">
            <v>QSR5028</v>
          </cell>
          <cell r="I8" t="str">
            <v>FERDINADUS</v>
          </cell>
          <cell r="J8">
            <v>14</v>
          </cell>
          <cell r="K8">
            <v>37260</v>
          </cell>
          <cell r="L8">
            <v>21420</v>
          </cell>
          <cell r="M8">
            <v>0</v>
          </cell>
          <cell r="N8">
            <v>7.88</v>
          </cell>
          <cell r="O8">
            <v>545</v>
          </cell>
          <cell r="Q8">
            <v>15.84</v>
          </cell>
        </row>
        <row r="9">
          <cell r="I9" t="str">
            <v>WENDELINUS</v>
          </cell>
          <cell r="J9">
            <v>28</v>
          </cell>
          <cell r="N9">
            <v>7.96</v>
          </cell>
          <cell r="O9">
            <v>940</v>
          </cell>
        </row>
        <row r="10">
          <cell r="G10" t="str">
            <v>GT-2617</v>
          </cell>
          <cell r="H10" t="str">
            <v>QSR5028</v>
          </cell>
          <cell r="I10" t="str">
            <v>NUAZANI</v>
          </cell>
          <cell r="J10">
            <v>8</v>
          </cell>
          <cell r="K10">
            <v>35000</v>
          </cell>
          <cell r="L10">
            <v>21440</v>
          </cell>
          <cell r="M10">
            <v>0</v>
          </cell>
          <cell r="N10">
            <v>3.54</v>
          </cell>
          <cell r="O10">
            <v>243</v>
          </cell>
          <cell r="Q10">
            <v>13.559999999999999</v>
          </cell>
        </row>
        <row r="11">
          <cell r="I11" t="str">
            <v>WENDELINUS</v>
          </cell>
          <cell r="J11">
            <v>26</v>
          </cell>
          <cell r="N11">
            <v>5.55</v>
          </cell>
          <cell r="O11">
            <v>393</v>
          </cell>
        </row>
        <row r="12">
          <cell r="I12" t="str">
            <v>DARSO</v>
          </cell>
          <cell r="J12">
            <v>22</v>
          </cell>
          <cell r="N12">
            <v>4.47</v>
          </cell>
          <cell r="O12">
            <v>307</v>
          </cell>
        </row>
        <row r="13">
          <cell r="G13" t="str">
            <v>GT-2620</v>
          </cell>
          <cell r="H13" t="str">
            <v>QSR5028</v>
          </cell>
          <cell r="I13" t="str">
            <v>NUAZANI</v>
          </cell>
          <cell r="J13">
            <v>8</v>
          </cell>
          <cell r="K13">
            <v>35720</v>
          </cell>
          <cell r="L13">
            <v>21340</v>
          </cell>
          <cell r="M13">
            <v>0</v>
          </cell>
          <cell r="N13">
            <v>7.39</v>
          </cell>
          <cell r="O13">
            <v>531</v>
          </cell>
          <cell r="Q13">
            <v>14.379999999999999</v>
          </cell>
          <cell r="R13">
            <v>46.099999999999994</v>
          </cell>
        </row>
        <row r="14">
          <cell r="I14" t="str">
            <v>DARSO</v>
          </cell>
          <cell r="J14">
            <v>22</v>
          </cell>
          <cell r="N14">
            <v>2.78</v>
          </cell>
          <cell r="O14">
            <v>208</v>
          </cell>
        </row>
        <row r="15">
          <cell r="I15" t="str">
            <v>ERDI</v>
          </cell>
          <cell r="J15">
            <v>11</v>
          </cell>
          <cell r="N15">
            <v>4.21</v>
          </cell>
          <cell r="O15">
            <v>307</v>
          </cell>
        </row>
        <row r="16">
          <cell r="G16" t="str">
            <v>GT-2633</v>
          </cell>
          <cell r="H16" t="str">
            <v>QSR5028</v>
          </cell>
          <cell r="I16" t="str">
            <v>NUAZANI</v>
          </cell>
          <cell r="J16">
            <v>9</v>
          </cell>
          <cell r="K16">
            <v>37800</v>
          </cell>
          <cell r="L16">
            <v>21300</v>
          </cell>
          <cell r="M16">
            <v>0</v>
          </cell>
          <cell r="N16">
            <v>2.66</v>
          </cell>
          <cell r="O16">
            <v>189</v>
          </cell>
          <cell r="Q16">
            <v>16.5</v>
          </cell>
        </row>
        <row r="17">
          <cell r="I17" t="str">
            <v>FERDINADUS</v>
          </cell>
          <cell r="J17">
            <v>14</v>
          </cell>
          <cell r="N17">
            <v>10.01</v>
          </cell>
          <cell r="O17">
            <v>660</v>
          </cell>
        </row>
        <row r="18">
          <cell r="I18" t="str">
            <v>DARSO</v>
          </cell>
          <cell r="J18">
            <v>17</v>
          </cell>
          <cell r="N18">
            <v>3.83</v>
          </cell>
          <cell r="O18">
            <v>284</v>
          </cell>
        </row>
        <row r="19">
          <cell r="G19" t="str">
            <v>GT-2625</v>
          </cell>
          <cell r="H19" t="str">
            <v>QSR5028</v>
          </cell>
          <cell r="I19" t="str">
            <v>MIKHAEL</v>
          </cell>
          <cell r="J19">
            <v>3</v>
          </cell>
          <cell r="K19">
            <v>36540</v>
          </cell>
          <cell r="L19">
            <v>21320</v>
          </cell>
          <cell r="M19">
            <v>0</v>
          </cell>
          <cell r="N19">
            <v>4.47</v>
          </cell>
          <cell r="O19">
            <v>338</v>
          </cell>
          <cell r="Q19">
            <v>15.219999999999999</v>
          </cell>
        </row>
        <row r="20">
          <cell r="I20" t="str">
            <v>DARSO</v>
          </cell>
          <cell r="J20">
            <v>22</v>
          </cell>
          <cell r="N20">
            <v>4.45</v>
          </cell>
          <cell r="O20">
            <v>318</v>
          </cell>
        </row>
        <row r="21">
          <cell r="I21" t="str">
            <v>DARSO</v>
          </cell>
          <cell r="J21">
            <v>17</v>
          </cell>
          <cell r="N21">
            <v>3.68</v>
          </cell>
          <cell r="O21">
            <v>263</v>
          </cell>
        </row>
        <row r="22">
          <cell r="I22" t="str">
            <v>NUAZANI</v>
          </cell>
          <cell r="J22">
            <v>9</v>
          </cell>
          <cell r="N22">
            <v>2.62</v>
          </cell>
          <cell r="O22">
            <v>177</v>
          </cell>
        </row>
        <row r="23">
          <cell r="G23" t="str">
            <v>GT-2638</v>
          </cell>
          <cell r="H23" t="str">
            <v>QSR5028</v>
          </cell>
          <cell r="I23" t="str">
            <v>FERDINADUS</v>
          </cell>
          <cell r="J23">
            <v>14</v>
          </cell>
          <cell r="K23">
            <v>37100</v>
          </cell>
          <cell r="L23">
            <v>21280</v>
          </cell>
          <cell r="M23">
            <v>0</v>
          </cell>
          <cell r="N23">
            <v>8.26</v>
          </cell>
          <cell r="O23">
            <v>578</v>
          </cell>
          <cell r="Q23">
            <v>15.82</v>
          </cell>
          <cell r="R23">
            <v>65.12</v>
          </cell>
        </row>
        <row r="24">
          <cell r="I24" t="str">
            <v>DARSO</v>
          </cell>
          <cell r="J24">
            <v>17</v>
          </cell>
          <cell r="N24">
            <v>7.56</v>
          </cell>
          <cell r="O24">
            <v>558</v>
          </cell>
        </row>
        <row r="25">
          <cell r="G25" t="str">
            <v>GT-2647</v>
          </cell>
          <cell r="H25" t="str">
            <v>QSR5028</v>
          </cell>
          <cell r="I25" t="str">
            <v>MIKHAEL</v>
          </cell>
          <cell r="J25">
            <v>3</v>
          </cell>
          <cell r="K25">
            <v>37700</v>
          </cell>
          <cell r="L25">
            <v>21260</v>
          </cell>
          <cell r="M25">
            <v>0</v>
          </cell>
          <cell r="N25">
            <v>4.79</v>
          </cell>
          <cell r="O25">
            <v>371</v>
          </cell>
          <cell r="Q25">
            <v>16.440000000000001</v>
          </cell>
        </row>
        <row r="26">
          <cell r="I26" t="str">
            <v>DARSO</v>
          </cell>
          <cell r="J26">
            <v>17</v>
          </cell>
          <cell r="N26">
            <v>7.72</v>
          </cell>
          <cell r="O26">
            <v>568</v>
          </cell>
        </row>
        <row r="27">
          <cell r="I27" t="str">
            <v>WENDELINUS</v>
          </cell>
          <cell r="J27">
            <v>27</v>
          </cell>
          <cell r="N27">
            <v>3.93</v>
          </cell>
          <cell r="O27">
            <v>347</v>
          </cell>
        </row>
        <row r="28">
          <cell r="G28" t="str">
            <v>GT-2641</v>
          </cell>
          <cell r="H28" t="str">
            <v>QSR5028</v>
          </cell>
          <cell r="I28" t="str">
            <v>ERDI</v>
          </cell>
          <cell r="J28">
            <v>11</v>
          </cell>
          <cell r="K28">
            <v>39000</v>
          </cell>
          <cell r="L28">
            <v>21280</v>
          </cell>
          <cell r="M28">
            <v>0</v>
          </cell>
          <cell r="N28">
            <v>8.27</v>
          </cell>
          <cell r="O28">
            <v>576</v>
          </cell>
          <cell r="Q28">
            <v>17.72</v>
          </cell>
        </row>
        <row r="29">
          <cell r="I29" t="str">
            <v>MIKHAEL</v>
          </cell>
          <cell r="J29">
            <v>3</v>
          </cell>
          <cell r="N29">
            <v>4.2699999999999996</v>
          </cell>
          <cell r="O29">
            <v>297</v>
          </cell>
        </row>
        <row r="30">
          <cell r="I30" t="str">
            <v>FERDINADUS</v>
          </cell>
          <cell r="J30">
            <v>14</v>
          </cell>
          <cell r="N30">
            <v>5.18</v>
          </cell>
          <cell r="O30">
            <v>346</v>
          </cell>
        </row>
        <row r="31">
          <cell r="G31" t="str">
            <v>GT-2652</v>
          </cell>
          <cell r="H31" t="str">
            <v>QSR5028</v>
          </cell>
          <cell r="I31" t="str">
            <v>WENDELINUS</v>
          </cell>
          <cell r="J31">
            <v>27</v>
          </cell>
          <cell r="K31">
            <v>36380</v>
          </cell>
          <cell r="L31">
            <v>21240</v>
          </cell>
          <cell r="M31">
            <v>0</v>
          </cell>
          <cell r="N31">
            <v>2.97</v>
          </cell>
          <cell r="O31">
            <v>319</v>
          </cell>
          <cell r="Q31">
            <v>15.14</v>
          </cell>
        </row>
        <row r="32">
          <cell r="I32" t="str">
            <v>FERDINADUS</v>
          </cell>
          <cell r="J32">
            <v>24</v>
          </cell>
          <cell r="N32">
            <v>4</v>
          </cell>
          <cell r="O32">
            <v>285</v>
          </cell>
        </row>
        <row r="33">
          <cell r="I33" t="str">
            <v>NUAZANI</v>
          </cell>
          <cell r="J33">
            <v>9</v>
          </cell>
          <cell r="N33">
            <v>4.25</v>
          </cell>
          <cell r="O33">
            <v>309</v>
          </cell>
        </row>
        <row r="34">
          <cell r="I34" t="str">
            <v>DARSO</v>
          </cell>
          <cell r="J34">
            <v>17</v>
          </cell>
          <cell r="N34">
            <v>3.92</v>
          </cell>
          <cell r="O34">
            <v>287</v>
          </cell>
        </row>
        <row r="35">
          <cell r="G35" t="str">
            <v>GT-2659</v>
          </cell>
          <cell r="H35" t="str">
            <v>QSR5028</v>
          </cell>
          <cell r="I35" t="str">
            <v>NUAZANI</v>
          </cell>
          <cell r="J35">
            <v>9</v>
          </cell>
          <cell r="K35">
            <v>37180</v>
          </cell>
          <cell r="L35">
            <v>21280</v>
          </cell>
          <cell r="M35">
            <v>0</v>
          </cell>
          <cell r="N35">
            <v>7.87</v>
          </cell>
          <cell r="O35">
            <v>565</v>
          </cell>
          <cell r="Q35">
            <v>15.9</v>
          </cell>
          <cell r="R35">
            <v>65.38</v>
          </cell>
        </row>
        <row r="36">
          <cell r="I36" t="str">
            <v>DARSO</v>
          </cell>
          <cell r="J36">
            <v>16</v>
          </cell>
          <cell r="N36">
            <v>4.21</v>
          </cell>
          <cell r="O36">
            <v>305</v>
          </cell>
        </row>
        <row r="37">
          <cell r="I37" t="str">
            <v>MIKHAEL</v>
          </cell>
          <cell r="J37">
            <v>3</v>
          </cell>
          <cell r="N37">
            <v>3.82</v>
          </cell>
          <cell r="O37">
            <v>292</v>
          </cell>
        </row>
        <row r="38">
          <cell r="G38" t="str">
            <v>GT-2673</v>
          </cell>
          <cell r="H38" t="str">
            <v>QSR5028</v>
          </cell>
          <cell r="I38" t="str">
            <v>NUAZANI</v>
          </cell>
          <cell r="J38">
            <v>10</v>
          </cell>
          <cell r="K38">
            <v>38560</v>
          </cell>
          <cell r="L38">
            <v>21220</v>
          </cell>
          <cell r="M38">
            <v>0</v>
          </cell>
          <cell r="N38">
            <v>4.2</v>
          </cell>
          <cell r="O38">
            <v>301</v>
          </cell>
          <cell r="Q38">
            <v>17.34</v>
          </cell>
        </row>
        <row r="39">
          <cell r="I39" t="str">
            <v>DARSO</v>
          </cell>
          <cell r="J39">
            <v>16</v>
          </cell>
          <cell r="N39">
            <v>8.83</v>
          </cell>
          <cell r="O39">
            <v>680</v>
          </cell>
        </row>
        <row r="40">
          <cell r="I40" t="str">
            <v>MIKHAEL</v>
          </cell>
          <cell r="J40">
            <v>3</v>
          </cell>
          <cell r="N40">
            <v>4.3099999999999996</v>
          </cell>
          <cell r="O40">
            <v>320</v>
          </cell>
        </row>
        <row r="41">
          <cell r="G41" t="str">
            <v>GT-2664</v>
          </cell>
          <cell r="H41" t="str">
            <v>QSR5028</v>
          </cell>
          <cell r="I41" t="str">
            <v>DARSO</v>
          </cell>
          <cell r="J41">
            <v>16</v>
          </cell>
          <cell r="K41">
            <v>37620</v>
          </cell>
          <cell r="L41">
            <v>21260</v>
          </cell>
          <cell r="M41">
            <v>0</v>
          </cell>
          <cell r="N41">
            <v>3.21</v>
          </cell>
          <cell r="O41">
            <v>232</v>
          </cell>
          <cell r="Q41">
            <v>16.36</v>
          </cell>
        </row>
        <row r="42">
          <cell r="I42" t="str">
            <v>FERDINADUS</v>
          </cell>
          <cell r="J42">
            <v>24</v>
          </cell>
          <cell r="N42">
            <v>3.74</v>
          </cell>
          <cell r="O42">
            <v>263</v>
          </cell>
        </row>
        <row r="43">
          <cell r="I43" t="str">
            <v>NUAZANI</v>
          </cell>
          <cell r="J43">
            <v>10</v>
          </cell>
          <cell r="N43">
            <v>4.2</v>
          </cell>
          <cell r="O43">
            <v>310</v>
          </cell>
        </row>
        <row r="44">
          <cell r="I44" t="str">
            <v>MIKHAEL</v>
          </cell>
          <cell r="J44">
            <v>3</v>
          </cell>
          <cell r="N44">
            <v>5.21</v>
          </cell>
          <cell r="O44">
            <v>351</v>
          </cell>
        </row>
        <row r="45">
          <cell r="G45" t="str">
            <v>GT-2668</v>
          </cell>
          <cell r="H45" t="str">
            <v>QSR5028</v>
          </cell>
          <cell r="I45" t="str">
            <v>NUAZANI</v>
          </cell>
          <cell r="J45">
            <v>10</v>
          </cell>
          <cell r="K45">
            <v>37020</v>
          </cell>
          <cell r="L45">
            <v>21240</v>
          </cell>
          <cell r="M45">
            <v>0</v>
          </cell>
          <cell r="N45">
            <v>2.87</v>
          </cell>
          <cell r="O45">
            <v>186</v>
          </cell>
          <cell r="Q45">
            <v>15.780000000000001</v>
          </cell>
        </row>
        <row r="46">
          <cell r="I46" t="str">
            <v>ERDI</v>
          </cell>
          <cell r="J46">
            <v>11</v>
          </cell>
          <cell r="N46">
            <v>3.47</v>
          </cell>
          <cell r="O46">
            <v>231</v>
          </cell>
        </row>
        <row r="47">
          <cell r="I47" t="str">
            <v>FERDINADUS</v>
          </cell>
          <cell r="J47">
            <v>24</v>
          </cell>
          <cell r="N47">
            <v>5.53</v>
          </cell>
          <cell r="O47">
            <v>326</v>
          </cell>
        </row>
        <row r="48">
          <cell r="I48" t="str">
            <v>DARSO</v>
          </cell>
          <cell r="J48">
            <v>16</v>
          </cell>
          <cell r="N48">
            <v>3.91</v>
          </cell>
          <cell r="O48">
            <v>236</v>
          </cell>
        </row>
        <row r="49">
          <cell r="G49" t="str">
            <v>GT-2680</v>
          </cell>
          <cell r="H49" t="str">
            <v>QSR5028</v>
          </cell>
          <cell r="I49" t="str">
            <v>FERDINADUS</v>
          </cell>
          <cell r="J49">
            <v>24</v>
          </cell>
          <cell r="K49">
            <v>37000</v>
          </cell>
          <cell r="L49">
            <v>21200</v>
          </cell>
          <cell r="M49">
            <v>0</v>
          </cell>
          <cell r="N49">
            <v>4.0199999999999996</v>
          </cell>
          <cell r="O49">
            <v>292</v>
          </cell>
          <cell r="Q49">
            <v>15.799999999999999</v>
          </cell>
          <cell r="R49">
            <v>65.72</v>
          </cell>
        </row>
        <row r="50">
          <cell r="I50" t="str">
            <v>NUAZANI</v>
          </cell>
          <cell r="J50">
            <v>12</v>
          </cell>
          <cell r="N50">
            <v>8.34</v>
          </cell>
          <cell r="O50">
            <v>619</v>
          </cell>
        </row>
        <row r="51">
          <cell r="I51" t="str">
            <v>MIKHAEL</v>
          </cell>
          <cell r="J51">
            <v>3</v>
          </cell>
          <cell r="N51">
            <v>3.44</v>
          </cell>
          <cell r="O51">
            <v>297</v>
          </cell>
        </row>
        <row r="52">
          <cell r="G52" t="str">
            <v>GT-2691</v>
          </cell>
          <cell r="H52" t="str">
            <v>QSR5028</v>
          </cell>
          <cell r="I52" t="str">
            <v>WENDELINUS</v>
          </cell>
          <cell r="J52">
            <v>25</v>
          </cell>
          <cell r="K52">
            <v>36640</v>
          </cell>
          <cell r="L52">
            <v>21400</v>
          </cell>
          <cell r="M52">
            <v>0</v>
          </cell>
          <cell r="N52">
            <v>6.84</v>
          </cell>
          <cell r="O52">
            <v>865</v>
          </cell>
          <cell r="Q52">
            <v>15.239999999999998</v>
          </cell>
        </row>
        <row r="53">
          <cell r="I53" t="str">
            <v>MIKHAEL</v>
          </cell>
          <cell r="J53">
            <v>3</v>
          </cell>
          <cell r="N53">
            <v>4.3600000000000003</v>
          </cell>
          <cell r="O53">
            <v>351</v>
          </cell>
        </row>
        <row r="54">
          <cell r="I54" t="str">
            <v>FERDINADUS</v>
          </cell>
          <cell r="J54">
            <v>24</v>
          </cell>
          <cell r="N54">
            <v>4.04</v>
          </cell>
          <cell r="O54">
            <v>290</v>
          </cell>
        </row>
        <row r="55">
          <cell r="G55" t="str">
            <v>GT-2694</v>
          </cell>
          <cell r="H55" t="str">
            <v>QSR5028</v>
          </cell>
          <cell r="I55" t="str">
            <v>FERDINADUS</v>
          </cell>
          <cell r="J55">
            <v>24</v>
          </cell>
          <cell r="K55">
            <v>39040</v>
          </cell>
          <cell r="L55">
            <v>21420</v>
          </cell>
          <cell r="M55">
            <v>0</v>
          </cell>
          <cell r="N55">
            <v>4.08</v>
          </cell>
          <cell r="O55">
            <v>301</v>
          </cell>
          <cell r="Q55">
            <v>17.62</v>
          </cell>
        </row>
        <row r="56">
          <cell r="I56" t="str">
            <v>DARSO</v>
          </cell>
          <cell r="J56">
            <v>15</v>
          </cell>
          <cell r="N56">
            <v>10.25</v>
          </cell>
          <cell r="O56">
            <v>334</v>
          </cell>
        </row>
        <row r="57">
          <cell r="I57" t="str">
            <v>ERDI</v>
          </cell>
          <cell r="J57">
            <v>2</v>
          </cell>
          <cell r="N57">
            <v>3.29</v>
          </cell>
          <cell r="O57">
            <v>442</v>
          </cell>
        </row>
        <row r="58">
          <cell r="G58" t="str">
            <v>GT-2687</v>
          </cell>
          <cell r="H58" t="str">
            <v>QSR5028</v>
          </cell>
          <cell r="I58" t="str">
            <v>FERDINADUS</v>
          </cell>
          <cell r="J58">
            <v>24</v>
          </cell>
          <cell r="K58">
            <v>38460</v>
          </cell>
          <cell r="L58">
            <v>21400</v>
          </cell>
          <cell r="M58">
            <v>0</v>
          </cell>
          <cell r="N58">
            <v>7.1</v>
          </cell>
          <cell r="O58">
            <v>520</v>
          </cell>
          <cell r="Q58">
            <v>17.059999999999999</v>
          </cell>
        </row>
        <row r="59">
          <cell r="I59" t="str">
            <v>DARSO</v>
          </cell>
          <cell r="J59">
            <v>16</v>
          </cell>
          <cell r="N59">
            <v>3.9</v>
          </cell>
          <cell r="O59">
            <v>292</v>
          </cell>
        </row>
        <row r="60">
          <cell r="I60" t="str">
            <v>DARSO</v>
          </cell>
          <cell r="J60">
            <v>15</v>
          </cell>
          <cell r="N60">
            <v>3.92</v>
          </cell>
          <cell r="O60">
            <v>294</v>
          </cell>
        </row>
        <row r="61">
          <cell r="I61" t="str">
            <v>ERDI</v>
          </cell>
          <cell r="J61">
            <v>11</v>
          </cell>
          <cell r="N61">
            <v>2.14</v>
          </cell>
          <cell r="O61">
            <v>158</v>
          </cell>
        </row>
        <row r="62">
          <cell r="G62" t="str">
            <v>GT-2717</v>
          </cell>
          <cell r="H62" t="str">
            <v>QSR5028</v>
          </cell>
          <cell r="I62" t="str">
            <v>NUAZANI</v>
          </cell>
          <cell r="J62">
            <v>12</v>
          </cell>
          <cell r="K62">
            <v>36980</v>
          </cell>
          <cell r="L62">
            <v>21380</v>
          </cell>
          <cell r="M62">
            <v>0</v>
          </cell>
          <cell r="N62">
            <v>11.43</v>
          </cell>
          <cell r="O62">
            <v>303</v>
          </cell>
          <cell r="Q62">
            <v>15.6</v>
          </cell>
          <cell r="R62">
            <v>66.240000000000009</v>
          </cell>
        </row>
        <row r="63">
          <cell r="I63" t="str">
            <v>FERDINADUS</v>
          </cell>
          <cell r="J63">
            <v>23</v>
          </cell>
          <cell r="N63">
            <v>4.17</v>
          </cell>
          <cell r="O63">
            <v>811</v>
          </cell>
        </row>
        <row r="64">
          <cell r="G64" t="str">
            <v>GT-2712</v>
          </cell>
          <cell r="H64" t="str">
            <v>QSR5028</v>
          </cell>
          <cell r="I64" t="str">
            <v>FERDINADUS</v>
          </cell>
          <cell r="J64">
            <v>24</v>
          </cell>
          <cell r="K64">
            <v>38120</v>
          </cell>
          <cell r="L64">
            <v>21400</v>
          </cell>
          <cell r="M64">
            <v>0</v>
          </cell>
          <cell r="N64">
            <v>12.66</v>
          </cell>
          <cell r="O64">
            <v>884</v>
          </cell>
          <cell r="Q64">
            <v>16.72</v>
          </cell>
        </row>
        <row r="65">
          <cell r="I65" t="str">
            <v>ERDI</v>
          </cell>
          <cell r="J65">
            <v>2</v>
          </cell>
          <cell r="N65">
            <v>4.0599999999999996</v>
          </cell>
          <cell r="O65">
            <v>296</v>
          </cell>
        </row>
        <row r="66">
          <cell r="G66" t="str">
            <v>GT-2701</v>
          </cell>
          <cell r="H66" t="str">
            <v>QSR5028</v>
          </cell>
          <cell r="I66" t="str">
            <v>WENDELINUS</v>
          </cell>
          <cell r="J66">
            <v>25</v>
          </cell>
          <cell r="K66">
            <v>36940</v>
          </cell>
          <cell r="L66">
            <v>21440</v>
          </cell>
          <cell r="M66">
            <v>0</v>
          </cell>
          <cell r="N66">
            <v>2.95</v>
          </cell>
          <cell r="O66">
            <v>429</v>
          </cell>
          <cell r="Q66">
            <v>15.5</v>
          </cell>
        </row>
        <row r="67">
          <cell r="I67" t="str">
            <v>DARSO</v>
          </cell>
          <cell r="J67">
            <v>15</v>
          </cell>
          <cell r="N67">
            <v>4.12</v>
          </cell>
          <cell r="O67">
            <v>395</v>
          </cell>
        </row>
        <row r="68">
          <cell r="I68" t="str">
            <v>WENDELINUS</v>
          </cell>
          <cell r="J68">
            <v>33</v>
          </cell>
          <cell r="N68">
            <v>4.6399999999999997</v>
          </cell>
          <cell r="O68">
            <v>462</v>
          </cell>
        </row>
        <row r="69">
          <cell r="I69" t="str">
            <v>NUAZANI</v>
          </cell>
          <cell r="J69">
            <v>12</v>
          </cell>
          <cell r="N69">
            <v>3.79</v>
          </cell>
          <cell r="O69">
            <v>266</v>
          </cell>
        </row>
        <row r="70">
          <cell r="G70" t="str">
            <v>GT-2705</v>
          </cell>
          <cell r="H70" t="str">
            <v>QSR5028</v>
          </cell>
          <cell r="I70" t="str">
            <v>DARSO</v>
          </cell>
          <cell r="J70">
            <v>15</v>
          </cell>
          <cell r="K70">
            <v>39860</v>
          </cell>
          <cell r="L70">
            <v>21440</v>
          </cell>
          <cell r="M70">
            <v>0</v>
          </cell>
          <cell r="N70">
            <v>2.91</v>
          </cell>
          <cell r="O70">
            <v>214</v>
          </cell>
          <cell r="Q70">
            <v>18.420000000000002</v>
          </cell>
        </row>
        <row r="71">
          <cell r="I71" t="str">
            <v>MIKHAEL</v>
          </cell>
          <cell r="J71">
            <v>3</v>
          </cell>
          <cell r="N71">
            <v>9.1999999999999993</v>
          </cell>
          <cell r="O71">
            <v>844</v>
          </cell>
        </row>
        <row r="72">
          <cell r="I72" t="str">
            <v>NUAZANI</v>
          </cell>
          <cell r="J72">
            <v>12</v>
          </cell>
          <cell r="N72">
            <v>3.22</v>
          </cell>
          <cell r="O72">
            <v>253</v>
          </cell>
        </row>
        <row r="73">
          <cell r="I73" t="str">
            <v>WENDELINUS</v>
          </cell>
          <cell r="J73">
            <v>31</v>
          </cell>
          <cell r="N73">
            <v>3.09</v>
          </cell>
          <cell r="O73">
            <v>284</v>
          </cell>
        </row>
        <row r="74">
          <cell r="G74" t="str">
            <v>GT-2722</v>
          </cell>
          <cell r="H74" t="str">
            <v>QSR3707</v>
          </cell>
          <cell r="I74" t="str">
            <v>FERDINADUS</v>
          </cell>
          <cell r="J74">
            <v>23</v>
          </cell>
          <cell r="K74">
            <v>47350</v>
          </cell>
          <cell r="L74">
            <v>25200</v>
          </cell>
          <cell r="M74">
            <v>0</v>
          </cell>
          <cell r="N74">
            <v>12.97</v>
          </cell>
          <cell r="O74">
            <v>820</v>
          </cell>
          <cell r="Q74">
            <v>22.15</v>
          </cell>
          <cell r="R74">
            <v>41.620000000000005</v>
          </cell>
        </row>
        <row r="75">
          <cell r="I75" t="str">
            <v>FERDINADUS</v>
          </cell>
          <cell r="J75">
            <v>6</v>
          </cell>
          <cell r="N75">
            <v>4.32</v>
          </cell>
          <cell r="O75">
            <v>270</v>
          </cell>
        </row>
        <row r="76">
          <cell r="I76" t="str">
            <v>MIKHAEL</v>
          </cell>
          <cell r="J76">
            <v>1</v>
          </cell>
          <cell r="N76">
            <v>4.8600000000000003</v>
          </cell>
          <cell r="O76">
            <v>385</v>
          </cell>
        </row>
        <row r="77">
          <cell r="G77" t="str">
            <v>GT-2728</v>
          </cell>
          <cell r="H77" t="str">
            <v>QSR3707</v>
          </cell>
          <cell r="I77" t="str">
            <v>DARSO</v>
          </cell>
          <cell r="J77">
            <v>19</v>
          </cell>
          <cell r="K77">
            <v>44650</v>
          </cell>
          <cell r="L77">
            <v>25180</v>
          </cell>
          <cell r="M77">
            <v>0</v>
          </cell>
          <cell r="N77">
            <v>7.97</v>
          </cell>
          <cell r="O77">
            <v>537</v>
          </cell>
          <cell r="Q77">
            <v>19.470000000000002</v>
          </cell>
        </row>
        <row r="78">
          <cell r="I78" t="str">
            <v>WENDELINUS</v>
          </cell>
          <cell r="J78">
            <v>30</v>
          </cell>
          <cell r="N78">
            <v>3.33</v>
          </cell>
          <cell r="O78">
            <v>277</v>
          </cell>
        </row>
        <row r="79">
          <cell r="I79" t="str">
            <v>WENDELINUS</v>
          </cell>
          <cell r="J79">
            <v>31</v>
          </cell>
          <cell r="N79">
            <v>3.46</v>
          </cell>
          <cell r="O79">
            <v>317</v>
          </cell>
        </row>
        <row r="80">
          <cell r="I80" t="str">
            <v>MIKHAEL</v>
          </cell>
          <cell r="J80">
            <v>1</v>
          </cell>
          <cell r="N80">
            <v>4.71</v>
          </cell>
          <cell r="O80">
            <v>345</v>
          </cell>
        </row>
        <row r="81">
          <cell r="G81" t="str">
            <v>GT-2740</v>
          </cell>
          <cell r="H81" t="str">
            <v>QSR3707</v>
          </cell>
          <cell r="I81" t="str">
            <v>FERDINADUS</v>
          </cell>
          <cell r="J81">
            <v>6</v>
          </cell>
          <cell r="K81">
            <v>45600</v>
          </cell>
          <cell r="L81">
            <v>25140</v>
          </cell>
          <cell r="M81">
            <v>0</v>
          </cell>
          <cell r="N81">
            <v>12.22</v>
          </cell>
          <cell r="O81">
            <v>820</v>
          </cell>
          <cell r="Q81">
            <v>20.46</v>
          </cell>
          <cell r="R81">
            <v>40.5</v>
          </cell>
        </row>
        <row r="82">
          <cell r="I82" t="str">
            <v>DARSO</v>
          </cell>
          <cell r="J82">
            <v>19</v>
          </cell>
          <cell r="N82">
            <v>4.59</v>
          </cell>
          <cell r="O82">
            <v>328</v>
          </cell>
        </row>
        <row r="83">
          <cell r="I83" t="str">
            <v>WENDELINUS</v>
          </cell>
          <cell r="J83">
            <v>30</v>
          </cell>
          <cell r="N83">
            <v>3.65</v>
          </cell>
          <cell r="O83">
            <v>323</v>
          </cell>
        </row>
        <row r="84">
          <cell r="G84" t="str">
            <v>GT-2734</v>
          </cell>
          <cell r="H84" t="str">
            <v>QSR3707</v>
          </cell>
          <cell r="I84" t="str">
            <v>FERDINADUS</v>
          </cell>
          <cell r="J84">
            <v>6</v>
          </cell>
          <cell r="K84">
            <v>45200</v>
          </cell>
          <cell r="L84">
            <v>25160</v>
          </cell>
          <cell r="M84">
            <v>0</v>
          </cell>
          <cell r="N84">
            <v>11.89</v>
          </cell>
          <cell r="O84">
            <v>850</v>
          </cell>
          <cell r="Q84">
            <v>20.04</v>
          </cell>
        </row>
        <row r="85">
          <cell r="I85" t="str">
            <v>DARSO</v>
          </cell>
          <cell r="J85">
            <v>19</v>
          </cell>
          <cell r="N85">
            <v>4.34</v>
          </cell>
          <cell r="O85">
            <v>323</v>
          </cell>
        </row>
        <row r="86">
          <cell r="I86" t="str">
            <v>MIKHAEL</v>
          </cell>
          <cell r="J86">
            <v>1</v>
          </cell>
          <cell r="N86">
            <v>3.81</v>
          </cell>
          <cell r="O86">
            <v>285</v>
          </cell>
        </row>
        <row r="87">
          <cell r="G87" t="str">
            <v>GT-2746</v>
          </cell>
          <cell r="H87" t="str">
            <v>QSR3707</v>
          </cell>
          <cell r="I87" t="str">
            <v>DARSO</v>
          </cell>
          <cell r="J87">
            <v>19</v>
          </cell>
          <cell r="K87">
            <v>45350</v>
          </cell>
          <cell r="L87">
            <v>25120</v>
          </cell>
          <cell r="M87">
            <v>0</v>
          </cell>
          <cell r="N87">
            <v>11.91</v>
          </cell>
          <cell r="O87">
            <v>870</v>
          </cell>
          <cell r="Q87">
            <v>20.23</v>
          </cell>
          <cell r="R87">
            <v>78.069999999999993</v>
          </cell>
        </row>
        <row r="88">
          <cell r="I88" t="str">
            <v>MIKHAEL</v>
          </cell>
          <cell r="J88">
            <v>14</v>
          </cell>
          <cell r="N88">
            <v>3.71</v>
          </cell>
          <cell r="O88">
            <v>281</v>
          </cell>
        </row>
        <row r="89">
          <cell r="I89" t="str">
            <v>NUAZANI</v>
          </cell>
          <cell r="J89">
            <v>12</v>
          </cell>
          <cell r="N89">
            <v>4.6100000000000003</v>
          </cell>
          <cell r="O89">
            <v>333</v>
          </cell>
        </row>
        <row r="90">
          <cell r="G90" t="str">
            <v>GT-2758</v>
          </cell>
          <cell r="H90" t="str">
            <v>QSR3707</v>
          </cell>
          <cell r="I90" t="str">
            <v>FERDINADUS</v>
          </cell>
          <cell r="J90">
            <v>6</v>
          </cell>
          <cell r="K90">
            <v>44300</v>
          </cell>
          <cell r="L90">
            <v>25080</v>
          </cell>
          <cell r="M90">
            <v>0</v>
          </cell>
          <cell r="N90">
            <v>4.4000000000000004</v>
          </cell>
          <cell r="O90">
            <v>290</v>
          </cell>
          <cell r="Q90">
            <v>19.22</v>
          </cell>
        </row>
        <row r="91">
          <cell r="I91" t="str">
            <v>DARSO</v>
          </cell>
          <cell r="J91">
            <v>20</v>
          </cell>
          <cell r="N91">
            <v>3.84</v>
          </cell>
          <cell r="O91">
            <v>270</v>
          </cell>
        </row>
        <row r="92">
          <cell r="I92" t="str">
            <v>NUAZANI</v>
          </cell>
          <cell r="J92">
            <v>18</v>
          </cell>
          <cell r="N92">
            <v>8.24</v>
          </cell>
          <cell r="O92">
            <v>547</v>
          </cell>
        </row>
        <row r="93">
          <cell r="I93" t="str">
            <v>MIKHAEL</v>
          </cell>
          <cell r="J93">
            <v>14</v>
          </cell>
          <cell r="N93">
            <v>2.74</v>
          </cell>
          <cell r="O93">
            <v>237</v>
          </cell>
        </row>
        <row r="94">
          <cell r="G94" t="str">
            <v>GT-2752</v>
          </cell>
          <cell r="H94" t="str">
            <v>QSR3707</v>
          </cell>
          <cell r="I94" t="str">
            <v>FERDINADUS</v>
          </cell>
          <cell r="J94">
            <v>6</v>
          </cell>
          <cell r="K94">
            <v>44400</v>
          </cell>
          <cell r="L94">
            <v>25100</v>
          </cell>
          <cell r="M94">
            <v>0</v>
          </cell>
          <cell r="N94">
            <v>4.38</v>
          </cell>
          <cell r="O94">
            <v>310</v>
          </cell>
          <cell r="Q94">
            <v>19.3</v>
          </cell>
        </row>
        <row r="95">
          <cell r="I95" t="str">
            <v>NUAZANI</v>
          </cell>
          <cell r="J95">
            <v>12</v>
          </cell>
          <cell r="N95">
            <v>3.56</v>
          </cell>
          <cell r="O95">
            <v>261</v>
          </cell>
        </row>
        <row r="96">
          <cell r="I96" t="str">
            <v>DARSO</v>
          </cell>
          <cell r="J96">
            <v>20</v>
          </cell>
          <cell r="N96">
            <v>7.63</v>
          </cell>
          <cell r="O96">
            <v>574</v>
          </cell>
        </row>
        <row r="97">
          <cell r="I97" t="str">
            <v>DARSO</v>
          </cell>
          <cell r="J97">
            <v>19</v>
          </cell>
          <cell r="N97">
            <v>3.73</v>
          </cell>
          <cell r="O97">
            <v>279</v>
          </cell>
        </row>
        <row r="98">
          <cell r="G98" t="str">
            <v>GT-2764</v>
          </cell>
          <cell r="H98" t="str">
            <v>QSR3707</v>
          </cell>
          <cell r="I98" t="str">
            <v>FERDINADUS</v>
          </cell>
          <cell r="J98">
            <v>6</v>
          </cell>
          <cell r="K98">
            <v>44400</v>
          </cell>
          <cell r="L98">
            <v>25080</v>
          </cell>
          <cell r="M98">
            <v>0</v>
          </cell>
          <cell r="N98">
            <v>4.2</v>
          </cell>
          <cell r="O98">
            <v>297</v>
          </cell>
          <cell r="Q98">
            <v>19.32</v>
          </cell>
        </row>
        <row r="99">
          <cell r="I99" t="str">
            <v>WENDELINUS</v>
          </cell>
          <cell r="J99">
            <v>30</v>
          </cell>
          <cell r="N99">
            <v>2.4300000000000002</v>
          </cell>
          <cell r="O99">
            <v>298</v>
          </cell>
        </row>
        <row r="100">
          <cell r="I100" t="str">
            <v>ERDI</v>
          </cell>
          <cell r="J100">
            <v>2</v>
          </cell>
          <cell r="N100">
            <v>4.1900000000000004</v>
          </cell>
          <cell r="O100">
            <v>311</v>
          </cell>
        </row>
        <row r="101">
          <cell r="I101" t="str">
            <v>NUAZANI</v>
          </cell>
          <cell r="J101">
            <v>18</v>
          </cell>
          <cell r="N101">
            <v>4.3</v>
          </cell>
          <cell r="O101">
            <v>325</v>
          </cell>
        </row>
        <row r="102">
          <cell r="I102" t="str">
            <v>DARSO</v>
          </cell>
          <cell r="J102">
            <v>20</v>
          </cell>
          <cell r="N102">
            <v>4.2</v>
          </cell>
          <cell r="O102">
            <v>316</v>
          </cell>
        </row>
        <row r="103">
          <cell r="G103" t="str">
            <v>GT-2789</v>
          </cell>
          <cell r="H103" t="str">
            <v>QSR3707</v>
          </cell>
          <cell r="I103" t="str">
            <v>FERDINADUS</v>
          </cell>
          <cell r="J103">
            <v>6</v>
          </cell>
          <cell r="K103">
            <v>48000</v>
          </cell>
          <cell r="L103">
            <v>25200</v>
          </cell>
          <cell r="M103">
            <v>0</v>
          </cell>
          <cell r="N103">
            <v>9.65</v>
          </cell>
          <cell r="O103">
            <v>720</v>
          </cell>
          <cell r="Q103">
            <v>22.800000000000004</v>
          </cell>
          <cell r="R103">
            <v>84.330000000000013</v>
          </cell>
        </row>
        <row r="104">
          <cell r="I104" t="str">
            <v>WENDELINUS</v>
          </cell>
          <cell r="J104">
            <v>28</v>
          </cell>
          <cell r="N104">
            <v>8.91</v>
          </cell>
          <cell r="O104">
            <v>1043</v>
          </cell>
        </row>
        <row r="105">
          <cell r="I105" t="str">
            <v>FERDINADUS</v>
          </cell>
          <cell r="J105">
            <v>5</v>
          </cell>
          <cell r="N105">
            <v>4.24</v>
          </cell>
          <cell r="O105">
            <v>315</v>
          </cell>
        </row>
        <row r="106">
          <cell r="G106" t="str">
            <v>GT-2776</v>
          </cell>
          <cell r="H106" t="str">
            <v>QSR3707</v>
          </cell>
          <cell r="I106" t="str">
            <v>WENDELINUS</v>
          </cell>
          <cell r="J106">
            <v>30</v>
          </cell>
          <cell r="K106">
            <v>46450</v>
          </cell>
          <cell r="L106">
            <v>25160</v>
          </cell>
          <cell r="M106">
            <v>0</v>
          </cell>
          <cell r="N106">
            <v>1.34</v>
          </cell>
          <cell r="O106">
            <v>134</v>
          </cell>
          <cell r="Q106">
            <v>21.29</v>
          </cell>
        </row>
        <row r="107">
          <cell r="I107" t="str">
            <v>DARSO</v>
          </cell>
          <cell r="J107">
            <v>20</v>
          </cell>
          <cell r="N107">
            <v>7.02</v>
          </cell>
          <cell r="O107">
            <v>576</v>
          </cell>
        </row>
        <row r="108">
          <cell r="I108" t="str">
            <v>NUAZANI</v>
          </cell>
          <cell r="J108">
            <v>18</v>
          </cell>
          <cell r="N108">
            <v>4.0999999999999996</v>
          </cell>
          <cell r="O108">
            <v>333</v>
          </cell>
        </row>
        <row r="109">
          <cell r="I109" t="str">
            <v>FERDINADUS</v>
          </cell>
          <cell r="J109">
            <v>6</v>
          </cell>
          <cell r="N109">
            <v>8.83</v>
          </cell>
          <cell r="O109">
            <v>680</v>
          </cell>
        </row>
        <row r="110">
          <cell r="G110" t="str">
            <v>GT-2783</v>
          </cell>
          <cell r="H110" t="str">
            <v>QSR3707</v>
          </cell>
          <cell r="I110" t="str">
            <v>NUAZANI</v>
          </cell>
          <cell r="J110">
            <v>18</v>
          </cell>
          <cell r="K110">
            <v>45650</v>
          </cell>
          <cell r="L110">
            <v>25160</v>
          </cell>
          <cell r="M110">
            <v>0</v>
          </cell>
          <cell r="N110">
            <v>3.89</v>
          </cell>
          <cell r="O110">
            <v>316</v>
          </cell>
          <cell r="Q110">
            <v>20.490000000000002</v>
          </cell>
        </row>
        <row r="111">
          <cell r="I111" t="str">
            <v>DARSO</v>
          </cell>
          <cell r="J111">
            <v>21</v>
          </cell>
          <cell r="N111">
            <v>7.51</v>
          </cell>
          <cell r="O111">
            <v>608</v>
          </cell>
        </row>
        <row r="112">
          <cell r="I112" t="str">
            <v>WENDELINUS</v>
          </cell>
          <cell r="J112">
            <v>28</v>
          </cell>
          <cell r="N112">
            <v>5.08</v>
          </cell>
          <cell r="O112">
            <v>427</v>
          </cell>
        </row>
        <row r="113">
          <cell r="I113" t="str">
            <v>ERDI</v>
          </cell>
          <cell r="J113">
            <v>2</v>
          </cell>
          <cell r="N113">
            <v>4.01</v>
          </cell>
          <cell r="O113">
            <v>313</v>
          </cell>
        </row>
        <row r="114">
          <cell r="G114" t="str">
            <v>GT-2770</v>
          </cell>
          <cell r="H114" t="str">
            <v>QSR3707</v>
          </cell>
          <cell r="I114" t="str">
            <v>DARSO</v>
          </cell>
          <cell r="J114">
            <v>20</v>
          </cell>
          <cell r="K114">
            <v>44950</v>
          </cell>
          <cell r="L114">
            <v>25200</v>
          </cell>
          <cell r="M114">
            <v>0</v>
          </cell>
          <cell r="N114">
            <v>7.11</v>
          </cell>
          <cell r="O114">
            <v>566</v>
          </cell>
          <cell r="Q114">
            <v>19.75</v>
          </cell>
        </row>
        <row r="115">
          <cell r="I115" t="str">
            <v>NUAZANI</v>
          </cell>
          <cell r="J115">
            <v>18</v>
          </cell>
          <cell r="N115">
            <v>4.25</v>
          </cell>
          <cell r="O115">
            <v>320</v>
          </cell>
        </row>
        <row r="116">
          <cell r="I116" t="str">
            <v>FERDINADUS</v>
          </cell>
          <cell r="J116">
            <v>6</v>
          </cell>
          <cell r="N116">
            <v>8.39</v>
          </cell>
          <cell r="O116">
            <v>601</v>
          </cell>
        </row>
        <row r="117">
          <cell r="G117" t="str">
            <v>GT-2808</v>
          </cell>
          <cell r="H117" t="str">
            <v>QSR3707</v>
          </cell>
          <cell r="I117" t="str">
            <v>FERDINADUS</v>
          </cell>
          <cell r="J117">
            <v>5</v>
          </cell>
          <cell r="K117">
            <v>45150</v>
          </cell>
          <cell r="L117">
            <v>25100</v>
          </cell>
          <cell r="M117">
            <v>0</v>
          </cell>
          <cell r="N117">
            <v>3.67</v>
          </cell>
          <cell r="O117">
            <v>248</v>
          </cell>
          <cell r="Q117">
            <v>20.049999999999997</v>
          </cell>
          <cell r="R117">
            <v>59.45</v>
          </cell>
        </row>
        <row r="118">
          <cell r="I118" t="str">
            <v>WENDELINUS</v>
          </cell>
          <cell r="J118">
            <v>26</v>
          </cell>
          <cell r="N118">
            <v>4.42</v>
          </cell>
          <cell r="O118">
            <v>539</v>
          </cell>
        </row>
        <row r="119">
          <cell r="I119" t="str">
            <v>DARSO</v>
          </cell>
          <cell r="J119">
            <v>21</v>
          </cell>
          <cell r="N119">
            <v>3.95</v>
          </cell>
          <cell r="O119">
            <v>287</v>
          </cell>
        </row>
        <row r="120">
          <cell r="I120" t="str">
            <v>NUAZANI</v>
          </cell>
          <cell r="J120">
            <v>13</v>
          </cell>
          <cell r="N120">
            <v>8.01</v>
          </cell>
          <cell r="O120">
            <v>560</v>
          </cell>
        </row>
        <row r="121">
          <cell r="G121" t="str">
            <v>GT-2801</v>
          </cell>
          <cell r="H121" t="str">
            <v>QSR3707</v>
          </cell>
          <cell r="I121" t="str">
            <v>NUAZANI</v>
          </cell>
          <cell r="J121">
            <v>18</v>
          </cell>
          <cell r="K121">
            <v>44850</v>
          </cell>
          <cell r="L121">
            <v>25120</v>
          </cell>
          <cell r="M121">
            <v>0</v>
          </cell>
          <cell r="N121">
            <v>7.42</v>
          </cell>
          <cell r="O121">
            <v>504</v>
          </cell>
          <cell r="Q121">
            <v>19.73</v>
          </cell>
        </row>
        <row r="122">
          <cell r="I122" t="str">
            <v>DARSO</v>
          </cell>
          <cell r="J122">
            <v>21</v>
          </cell>
          <cell r="N122">
            <v>12.31</v>
          </cell>
          <cell r="O122">
            <v>877</v>
          </cell>
        </row>
        <row r="123">
          <cell r="G123" t="str">
            <v>GT-2795</v>
          </cell>
          <cell r="H123" t="str">
            <v>QSR3707</v>
          </cell>
          <cell r="I123" t="str">
            <v>ERDI</v>
          </cell>
          <cell r="J123">
            <v>2</v>
          </cell>
          <cell r="K123">
            <v>45620</v>
          </cell>
          <cell r="L123">
            <v>25230</v>
          </cell>
          <cell r="M123">
            <v>720</v>
          </cell>
          <cell r="N123">
            <v>7.55</v>
          </cell>
          <cell r="O123">
            <v>577</v>
          </cell>
          <cell r="Q123">
            <v>19.670000000000002</v>
          </cell>
        </row>
        <row r="124">
          <cell r="I124" t="str">
            <v>DARSO</v>
          </cell>
          <cell r="J124">
            <v>21</v>
          </cell>
          <cell r="N124">
            <v>4.25</v>
          </cell>
          <cell r="O124">
            <v>337</v>
          </cell>
        </row>
        <row r="125">
          <cell r="I125" t="str">
            <v>FERDINADUS</v>
          </cell>
          <cell r="J125">
            <v>6</v>
          </cell>
          <cell r="N125">
            <v>3.8</v>
          </cell>
          <cell r="O125">
            <v>280</v>
          </cell>
        </row>
        <row r="126">
          <cell r="I126" t="str">
            <v>FERDINADUS</v>
          </cell>
          <cell r="J126">
            <v>5</v>
          </cell>
          <cell r="N126">
            <v>4.07</v>
          </cell>
          <cell r="O126">
            <v>301</v>
          </cell>
        </row>
        <row r="127">
          <cell r="G127" t="str">
            <v>GT-2820</v>
          </cell>
          <cell r="H127" t="str">
            <v>QSR3707</v>
          </cell>
          <cell r="I127" t="str">
            <v>FERDINADUS</v>
          </cell>
          <cell r="J127">
            <v>5</v>
          </cell>
          <cell r="K127">
            <v>45850</v>
          </cell>
          <cell r="L127">
            <v>25100</v>
          </cell>
          <cell r="M127">
            <v>0</v>
          </cell>
          <cell r="N127">
            <v>16.420000000000002</v>
          </cell>
          <cell r="O127">
            <v>1140</v>
          </cell>
          <cell r="Q127">
            <v>20.75</v>
          </cell>
          <cell r="R127">
            <v>37.980000000000004</v>
          </cell>
        </row>
        <row r="128">
          <cell r="I128" t="str">
            <v>ERDI</v>
          </cell>
          <cell r="J128">
            <v>2</v>
          </cell>
          <cell r="N128">
            <v>4.33</v>
          </cell>
          <cell r="O128">
            <v>315</v>
          </cell>
        </row>
        <row r="129">
          <cell r="G129" t="str">
            <v>GT-2813</v>
          </cell>
          <cell r="H129" t="str">
            <v>QSR3707</v>
          </cell>
          <cell r="I129" t="str">
            <v>WENDELINUS</v>
          </cell>
          <cell r="J129">
            <v>26</v>
          </cell>
          <cell r="K129">
            <v>43460</v>
          </cell>
          <cell r="L129">
            <v>25200</v>
          </cell>
          <cell r="M129">
            <v>1030</v>
          </cell>
          <cell r="N129">
            <v>6.15</v>
          </cell>
          <cell r="O129">
            <v>818</v>
          </cell>
          <cell r="Q129">
            <v>17.23</v>
          </cell>
        </row>
        <row r="130">
          <cell r="I130" t="str">
            <v>DARSO</v>
          </cell>
          <cell r="J130">
            <v>21</v>
          </cell>
          <cell r="N130">
            <v>6.83</v>
          </cell>
          <cell r="O130">
            <v>540</v>
          </cell>
        </row>
        <row r="131">
          <cell r="I131" t="str">
            <v>FERDINADUS</v>
          </cell>
          <cell r="J131">
            <v>5</v>
          </cell>
          <cell r="N131">
            <v>4.25</v>
          </cell>
          <cell r="O131">
            <v>312</v>
          </cell>
        </row>
        <row r="132">
          <cell r="G132" t="str">
            <v>GT-2826</v>
          </cell>
          <cell r="H132" t="str">
            <v>QSR3707</v>
          </cell>
          <cell r="I132" t="str">
            <v>FERDINADUS</v>
          </cell>
          <cell r="J132">
            <v>5</v>
          </cell>
          <cell r="K132">
            <v>45150</v>
          </cell>
          <cell r="L132">
            <v>25180</v>
          </cell>
          <cell r="M132">
            <v>0</v>
          </cell>
          <cell r="N132">
            <v>12.74</v>
          </cell>
          <cell r="O132">
            <v>859</v>
          </cell>
          <cell r="Q132">
            <v>19.97</v>
          </cell>
          <cell r="R132">
            <v>38.82</v>
          </cell>
        </row>
        <row r="133">
          <cell r="I133" t="str">
            <v>DARSO</v>
          </cell>
          <cell r="J133">
            <v>22</v>
          </cell>
          <cell r="N133">
            <v>3.96</v>
          </cell>
          <cell r="O133">
            <v>284</v>
          </cell>
        </row>
        <row r="134">
          <cell r="I134" t="str">
            <v>NUAZANI</v>
          </cell>
          <cell r="J134">
            <v>13</v>
          </cell>
          <cell r="N134">
            <v>3.27</v>
          </cell>
          <cell r="O134">
            <v>235</v>
          </cell>
        </row>
        <row r="135">
          <cell r="G135" t="str">
            <v>GT-2832</v>
          </cell>
          <cell r="H135" t="str">
            <v>QSR3707</v>
          </cell>
          <cell r="I135" t="str">
            <v>DARSO</v>
          </cell>
          <cell r="J135">
            <v>22</v>
          </cell>
          <cell r="K135">
            <v>44050</v>
          </cell>
          <cell r="L135">
            <v>25200</v>
          </cell>
          <cell r="M135">
            <v>0</v>
          </cell>
          <cell r="N135">
            <v>14.7</v>
          </cell>
          <cell r="O135">
            <v>1091</v>
          </cell>
          <cell r="Q135">
            <v>18.850000000000001</v>
          </cell>
        </row>
        <row r="136">
          <cell r="I136" t="str">
            <v>FERDINADUS</v>
          </cell>
          <cell r="J136">
            <v>5</v>
          </cell>
          <cell r="N136">
            <v>4.1500000000000004</v>
          </cell>
          <cell r="O136">
            <v>288</v>
          </cell>
        </row>
        <row r="137">
          <cell r="G137" t="str">
            <v>GT-2844</v>
          </cell>
          <cell r="H137" t="str">
            <v>QAY1415</v>
          </cell>
          <cell r="I137" t="str">
            <v>DARSO</v>
          </cell>
          <cell r="J137">
            <v>22</v>
          </cell>
          <cell r="K137">
            <v>19960</v>
          </cell>
          <cell r="L137">
            <v>12220</v>
          </cell>
          <cell r="M137">
            <v>0</v>
          </cell>
          <cell r="N137">
            <v>3.71</v>
          </cell>
          <cell r="O137">
            <v>254</v>
          </cell>
          <cell r="Q137">
            <v>7.74</v>
          </cell>
          <cell r="R137">
            <v>50.900000000000006</v>
          </cell>
        </row>
        <row r="138">
          <cell r="I138" t="str">
            <v>DARSO</v>
          </cell>
          <cell r="J138">
            <v>17</v>
          </cell>
          <cell r="N138">
            <v>4.03</v>
          </cell>
          <cell r="O138">
            <v>277</v>
          </cell>
        </row>
        <row r="139">
          <cell r="G139" t="str">
            <v>GT-1250</v>
          </cell>
          <cell r="H139" t="str">
            <v>QSR3707</v>
          </cell>
          <cell r="I139" t="str">
            <v>ERDI</v>
          </cell>
          <cell r="J139">
            <v>11</v>
          </cell>
          <cell r="K139">
            <v>44400</v>
          </cell>
          <cell r="L139">
            <v>25160</v>
          </cell>
          <cell r="M139">
            <v>0</v>
          </cell>
          <cell r="N139">
            <v>4.42</v>
          </cell>
          <cell r="O139">
            <v>316</v>
          </cell>
          <cell r="Q139">
            <v>19.240000000000002</v>
          </cell>
        </row>
        <row r="140">
          <cell r="I140" t="str">
            <v>FERDINADUS</v>
          </cell>
          <cell r="J140">
            <v>5</v>
          </cell>
          <cell r="N140">
            <v>8.93</v>
          </cell>
          <cell r="O140">
            <v>592</v>
          </cell>
        </row>
        <row r="141">
          <cell r="I141" t="str">
            <v>WENDELINUS</v>
          </cell>
          <cell r="J141">
            <v>29</v>
          </cell>
          <cell r="N141">
            <v>1.41</v>
          </cell>
          <cell r="O141">
            <v>212</v>
          </cell>
        </row>
        <row r="142">
          <cell r="I142" t="str">
            <v>NUAZANI</v>
          </cell>
          <cell r="J142">
            <v>13</v>
          </cell>
          <cell r="N142">
            <v>4.4800000000000004</v>
          </cell>
          <cell r="O142">
            <v>300</v>
          </cell>
        </row>
        <row r="143">
          <cell r="G143" t="str">
            <v>GT-2853</v>
          </cell>
          <cell r="H143" t="str">
            <v>QAY1415</v>
          </cell>
          <cell r="I143" t="str">
            <v>DARSO</v>
          </cell>
          <cell r="J143">
            <v>17</v>
          </cell>
          <cell r="K143">
            <v>19260</v>
          </cell>
          <cell r="L143">
            <v>12200</v>
          </cell>
          <cell r="M143">
            <v>0</v>
          </cell>
          <cell r="N143">
            <v>3.33</v>
          </cell>
          <cell r="O143">
            <v>243</v>
          </cell>
          <cell r="Q143">
            <v>7.0600000000000005</v>
          </cell>
        </row>
        <row r="144">
          <cell r="I144" t="str">
            <v>FERDINADUS</v>
          </cell>
          <cell r="J144">
            <v>5</v>
          </cell>
          <cell r="N144">
            <v>3.73</v>
          </cell>
          <cell r="O144">
            <v>253</v>
          </cell>
        </row>
        <row r="145">
          <cell r="G145" t="str">
            <v>GT-2847</v>
          </cell>
          <cell r="H145" t="str">
            <v>QSR3707</v>
          </cell>
          <cell r="I145" t="str">
            <v>DARSO</v>
          </cell>
          <cell r="J145">
            <v>17</v>
          </cell>
          <cell r="K145">
            <v>42000</v>
          </cell>
          <cell r="L145">
            <v>25140</v>
          </cell>
          <cell r="M145">
            <v>0</v>
          </cell>
          <cell r="N145">
            <v>3.07</v>
          </cell>
          <cell r="O145">
            <v>218</v>
          </cell>
          <cell r="Q145">
            <v>16.86</v>
          </cell>
        </row>
        <row r="146">
          <cell r="I146" t="str">
            <v>NUAZANI</v>
          </cell>
          <cell r="J146">
            <v>13</v>
          </cell>
          <cell r="N146">
            <v>13.79</v>
          </cell>
          <cell r="O146">
            <v>973</v>
          </cell>
        </row>
        <row r="147">
          <cell r="G147" t="str">
            <v>GT-2862</v>
          </cell>
          <cell r="H147" t="str">
            <v>QAY1415</v>
          </cell>
          <cell r="I147" t="str">
            <v>DARSO</v>
          </cell>
          <cell r="J147">
            <v>17</v>
          </cell>
          <cell r="K147">
            <v>20600</v>
          </cell>
          <cell r="L147">
            <v>12180</v>
          </cell>
          <cell r="M147">
            <v>0</v>
          </cell>
          <cell r="N147">
            <v>4.1399999999999997</v>
          </cell>
          <cell r="O147">
            <v>299</v>
          </cell>
          <cell r="Q147">
            <v>8.42</v>
          </cell>
          <cell r="R147">
            <v>49.65</v>
          </cell>
        </row>
        <row r="148">
          <cell r="I148" t="str">
            <v>FERDINADUS</v>
          </cell>
          <cell r="J148">
            <v>7</v>
          </cell>
          <cell r="N148">
            <v>4.28</v>
          </cell>
          <cell r="O148">
            <v>287</v>
          </cell>
        </row>
        <row r="149">
          <cell r="G149" t="str">
            <v>GT-2856</v>
          </cell>
          <cell r="H149" t="str">
            <v>QSR3707</v>
          </cell>
          <cell r="I149" t="str">
            <v>FERDINADUS</v>
          </cell>
          <cell r="J149">
            <v>7</v>
          </cell>
          <cell r="K149">
            <v>46750</v>
          </cell>
          <cell r="L149">
            <v>25120</v>
          </cell>
          <cell r="M149">
            <v>0</v>
          </cell>
          <cell r="N149">
            <v>8.59</v>
          </cell>
          <cell r="O149">
            <v>537</v>
          </cell>
          <cell r="Q149">
            <v>21.63</v>
          </cell>
        </row>
        <row r="150">
          <cell r="I150" t="str">
            <v>WENDELINUS</v>
          </cell>
          <cell r="J150">
            <v>27</v>
          </cell>
          <cell r="N150">
            <v>3.08</v>
          </cell>
          <cell r="O150">
            <v>403</v>
          </cell>
        </row>
        <row r="151">
          <cell r="I151" t="str">
            <v>FERDINADUS</v>
          </cell>
          <cell r="J151">
            <v>5</v>
          </cell>
          <cell r="N151">
            <v>7.87</v>
          </cell>
          <cell r="O151">
            <v>537</v>
          </cell>
        </row>
        <row r="152">
          <cell r="I152" t="str">
            <v>WENDELINUS</v>
          </cell>
          <cell r="J152">
            <v>29</v>
          </cell>
          <cell r="N152">
            <v>2.09</v>
          </cell>
          <cell r="O152">
            <v>305</v>
          </cell>
        </row>
        <row r="153">
          <cell r="G153" t="str">
            <v>GT-2866</v>
          </cell>
          <cell r="H153" t="str">
            <v>QSR3707</v>
          </cell>
          <cell r="I153" t="str">
            <v>NUAZANI</v>
          </cell>
          <cell r="J153">
            <v>8</v>
          </cell>
          <cell r="K153">
            <v>44700</v>
          </cell>
          <cell r="L153">
            <v>25100</v>
          </cell>
          <cell r="M153">
            <v>0</v>
          </cell>
          <cell r="N153">
            <v>8.1199999999999992</v>
          </cell>
          <cell r="O153">
            <v>585</v>
          </cell>
          <cell r="Q153">
            <v>19.600000000000001</v>
          </cell>
        </row>
        <row r="154">
          <cell r="I154" t="str">
            <v>DARSO</v>
          </cell>
          <cell r="J154">
            <v>17</v>
          </cell>
          <cell r="N154">
            <v>7.23</v>
          </cell>
          <cell r="O154">
            <v>544</v>
          </cell>
        </row>
        <row r="155">
          <cell r="I155" t="str">
            <v>ERDI</v>
          </cell>
          <cell r="J155">
            <v>11</v>
          </cell>
          <cell r="N155">
            <v>4.25</v>
          </cell>
          <cell r="O155">
            <v>311</v>
          </cell>
        </row>
        <row r="156">
          <cell r="G156" t="str">
            <v>GT-2871</v>
          </cell>
          <cell r="H156" t="str">
            <v>QAY1415</v>
          </cell>
          <cell r="I156" t="str">
            <v>NUAZANI</v>
          </cell>
          <cell r="J156">
            <v>8</v>
          </cell>
          <cell r="K156">
            <v>19840</v>
          </cell>
          <cell r="L156">
            <v>12180</v>
          </cell>
          <cell r="M156">
            <v>0</v>
          </cell>
          <cell r="N156">
            <v>3.9</v>
          </cell>
          <cell r="O156">
            <v>313</v>
          </cell>
          <cell r="Q156">
            <v>7.66</v>
          </cell>
          <cell r="R156">
            <v>92.93</v>
          </cell>
        </row>
        <row r="157">
          <cell r="I157" t="str">
            <v>DARSO</v>
          </cell>
          <cell r="J157">
            <v>17</v>
          </cell>
          <cell r="N157">
            <v>3.76</v>
          </cell>
          <cell r="O157">
            <v>297</v>
          </cell>
        </row>
        <row r="158">
          <cell r="G158" t="str">
            <v>GT-2890</v>
          </cell>
          <cell r="H158" t="str">
            <v>QAY1415</v>
          </cell>
          <cell r="I158" t="str">
            <v>NUAZANI</v>
          </cell>
          <cell r="J158">
            <v>8</v>
          </cell>
          <cell r="K158">
            <v>20040</v>
          </cell>
          <cell r="L158">
            <v>12180</v>
          </cell>
          <cell r="M158">
            <v>0</v>
          </cell>
          <cell r="N158">
            <v>4.1500000000000004</v>
          </cell>
          <cell r="O158">
            <v>292</v>
          </cell>
          <cell r="Q158">
            <v>7.86</v>
          </cell>
        </row>
        <row r="159">
          <cell r="I159" t="str">
            <v>FERDINADUS</v>
          </cell>
          <cell r="J159">
            <v>4</v>
          </cell>
          <cell r="N159">
            <v>3.71</v>
          </cell>
          <cell r="O159">
            <v>202</v>
          </cell>
        </row>
        <row r="160">
          <cell r="G160" t="str">
            <v>GT-2881</v>
          </cell>
          <cell r="H160" t="str">
            <v>QAY1415</v>
          </cell>
          <cell r="I160" t="str">
            <v>FERDINADUS</v>
          </cell>
          <cell r="J160">
            <v>4</v>
          </cell>
          <cell r="K160">
            <v>19540</v>
          </cell>
          <cell r="L160">
            <v>12160</v>
          </cell>
          <cell r="M160">
            <v>0</v>
          </cell>
          <cell r="N160">
            <v>3.46</v>
          </cell>
          <cell r="O160">
            <v>203</v>
          </cell>
          <cell r="Q160">
            <v>7.38</v>
          </cell>
        </row>
        <row r="161">
          <cell r="I161" t="str">
            <v>NUAZANI</v>
          </cell>
          <cell r="J161">
            <v>8</v>
          </cell>
          <cell r="N161">
            <v>3.92</v>
          </cell>
          <cell r="O161">
            <v>289</v>
          </cell>
        </row>
        <row r="162">
          <cell r="G162" t="str">
            <v>GT-2900</v>
          </cell>
          <cell r="H162" t="str">
            <v>QAY1415</v>
          </cell>
          <cell r="I162" t="str">
            <v>WENDELINUS</v>
          </cell>
          <cell r="J162">
            <v>27</v>
          </cell>
          <cell r="K162">
            <v>19460</v>
          </cell>
          <cell r="L162">
            <v>12140</v>
          </cell>
          <cell r="M162">
            <v>0</v>
          </cell>
          <cell r="N162">
            <v>3.75</v>
          </cell>
          <cell r="O162">
            <v>506</v>
          </cell>
          <cell r="Q162">
            <v>7.32</v>
          </cell>
        </row>
        <row r="163">
          <cell r="I163" t="str">
            <v>DARSO</v>
          </cell>
          <cell r="J163">
            <v>16</v>
          </cell>
          <cell r="N163">
            <v>3.57</v>
          </cell>
          <cell r="O163">
            <v>258</v>
          </cell>
        </row>
        <row r="164">
          <cell r="G164" t="str">
            <v>GT-2875</v>
          </cell>
          <cell r="H164" t="str">
            <v>QSR3707</v>
          </cell>
          <cell r="I164" t="str">
            <v>DARSO</v>
          </cell>
          <cell r="J164">
            <v>16</v>
          </cell>
          <cell r="K164">
            <v>46950</v>
          </cell>
          <cell r="L164">
            <v>25160</v>
          </cell>
          <cell r="M164">
            <v>0</v>
          </cell>
          <cell r="N164">
            <v>3.95</v>
          </cell>
          <cell r="O164">
            <v>292</v>
          </cell>
          <cell r="Q164">
            <v>21.79</v>
          </cell>
        </row>
        <row r="165">
          <cell r="I165" t="str">
            <v>FERDINADUS</v>
          </cell>
          <cell r="J165">
            <v>7</v>
          </cell>
          <cell r="N165">
            <v>13.41</v>
          </cell>
          <cell r="O165">
            <v>917</v>
          </cell>
        </row>
        <row r="166">
          <cell r="I166" t="str">
            <v>MIKHAEL</v>
          </cell>
          <cell r="J166">
            <v>3</v>
          </cell>
          <cell r="N166">
            <v>4.43</v>
          </cell>
          <cell r="O166">
            <v>315</v>
          </cell>
        </row>
        <row r="167">
          <cell r="G167" t="str">
            <v>GT-2884</v>
          </cell>
          <cell r="H167" t="str">
            <v>QSR3707</v>
          </cell>
          <cell r="I167" t="str">
            <v>NUAZANI</v>
          </cell>
          <cell r="J167">
            <v>8</v>
          </cell>
          <cell r="K167">
            <v>44250</v>
          </cell>
          <cell r="L167">
            <v>25140</v>
          </cell>
          <cell r="M167">
            <v>0</v>
          </cell>
          <cell r="N167">
            <v>3.32</v>
          </cell>
          <cell r="O167">
            <v>231</v>
          </cell>
          <cell r="Q167">
            <v>19.11</v>
          </cell>
        </row>
        <row r="168">
          <cell r="I168" t="str">
            <v>DARSO</v>
          </cell>
          <cell r="J168">
            <v>16</v>
          </cell>
          <cell r="N168">
            <v>13.03</v>
          </cell>
          <cell r="O168">
            <v>943</v>
          </cell>
        </row>
        <row r="169">
          <cell r="I169" t="str">
            <v>ERDI</v>
          </cell>
          <cell r="J169">
            <v>11</v>
          </cell>
          <cell r="N169">
            <v>2.76</v>
          </cell>
          <cell r="O169">
            <v>195</v>
          </cell>
        </row>
        <row r="170">
          <cell r="G170" t="str">
            <v>GT-2893</v>
          </cell>
          <cell r="H170" t="str">
            <v>QSR3707</v>
          </cell>
          <cell r="I170" t="str">
            <v>MIKHAEL</v>
          </cell>
          <cell r="J170">
            <v>3</v>
          </cell>
          <cell r="K170">
            <v>46950</v>
          </cell>
          <cell r="L170">
            <v>25140</v>
          </cell>
          <cell r="M170">
            <v>0</v>
          </cell>
          <cell r="N170">
            <v>8.67</v>
          </cell>
          <cell r="O170">
            <v>638</v>
          </cell>
          <cell r="Q170">
            <v>21.81</v>
          </cell>
        </row>
        <row r="171">
          <cell r="I171" t="str">
            <v>FERDINADUS</v>
          </cell>
          <cell r="J171">
            <v>4</v>
          </cell>
          <cell r="N171">
            <v>7.81</v>
          </cell>
          <cell r="O171">
            <v>448</v>
          </cell>
        </row>
        <row r="172">
          <cell r="I172" t="str">
            <v>NUAZANI</v>
          </cell>
          <cell r="J172">
            <v>9</v>
          </cell>
          <cell r="N172">
            <v>3.11</v>
          </cell>
          <cell r="O172">
            <v>211</v>
          </cell>
        </row>
        <row r="173">
          <cell r="I173" t="str">
            <v>ERDI</v>
          </cell>
          <cell r="J173">
            <v>11</v>
          </cell>
          <cell r="N173">
            <v>2.2200000000000002</v>
          </cell>
          <cell r="O173">
            <v>150</v>
          </cell>
        </row>
        <row r="174">
          <cell r="G174" t="str">
            <v>GT-2916</v>
          </cell>
          <cell r="H174" t="str">
            <v>QAY1415</v>
          </cell>
          <cell r="I174" t="str">
            <v>WENDELINUS</v>
          </cell>
          <cell r="J174">
            <v>25</v>
          </cell>
          <cell r="K174">
            <v>19040</v>
          </cell>
          <cell r="L174">
            <v>12240</v>
          </cell>
          <cell r="M174">
            <v>0</v>
          </cell>
          <cell r="N174">
            <v>3.32</v>
          </cell>
          <cell r="O174">
            <v>420</v>
          </cell>
          <cell r="Q174">
            <v>6.8</v>
          </cell>
          <cell r="R174">
            <v>47.33</v>
          </cell>
        </row>
        <row r="175">
          <cell r="I175" t="str">
            <v>NUAZANI</v>
          </cell>
          <cell r="J175">
            <v>9</v>
          </cell>
          <cell r="N175">
            <v>3.48</v>
          </cell>
          <cell r="O175">
            <v>259</v>
          </cell>
        </row>
        <row r="176">
          <cell r="G176" t="str">
            <v>GT-2910</v>
          </cell>
          <cell r="H176" t="str">
            <v>QSR3707</v>
          </cell>
          <cell r="I176" t="str">
            <v>DARSO</v>
          </cell>
          <cell r="J176">
            <v>15</v>
          </cell>
          <cell r="K176">
            <v>44250</v>
          </cell>
          <cell r="L176">
            <v>25100</v>
          </cell>
          <cell r="M176">
            <v>0</v>
          </cell>
          <cell r="N176">
            <v>10.45</v>
          </cell>
          <cell r="O176">
            <v>761</v>
          </cell>
          <cell r="Q176">
            <v>19.149999999999999</v>
          </cell>
        </row>
        <row r="177">
          <cell r="I177" t="str">
            <v>FERDINADUS</v>
          </cell>
          <cell r="J177">
            <v>4</v>
          </cell>
          <cell r="N177">
            <v>8.6999999999999993</v>
          </cell>
          <cell r="O177">
            <v>592</v>
          </cell>
        </row>
        <row r="178">
          <cell r="G178" t="str">
            <v>GT-2903</v>
          </cell>
          <cell r="H178" t="str">
            <v>QSR3707</v>
          </cell>
          <cell r="I178" t="str">
            <v>ERDI</v>
          </cell>
          <cell r="J178">
            <v>2</v>
          </cell>
          <cell r="K178">
            <v>46500</v>
          </cell>
          <cell r="L178">
            <v>25120</v>
          </cell>
          <cell r="M178">
            <v>0</v>
          </cell>
          <cell r="N178">
            <v>2.96</v>
          </cell>
          <cell r="O178">
            <v>234</v>
          </cell>
          <cell r="Q178">
            <v>21.38</v>
          </cell>
        </row>
        <row r="179">
          <cell r="I179" t="str">
            <v>FERDINADUS</v>
          </cell>
          <cell r="J179">
            <v>4</v>
          </cell>
          <cell r="N179">
            <v>3.1</v>
          </cell>
          <cell r="O179">
            <v>225</v>
          </cell>
        </row>
        <row r="180">
          <cell r="I180" t="str">
            <v>WENDELINUS</v>
          </cell>
          <cell r="J180">
            <v>25</v>
          </cell>
          <cell r="N180">
            <v>3.74</v>
          </cell>
          <cell r="O180">
            <v>534</v>
          </cell>
        </row>
        <row r="181">
          <cell r="I181" t="str">
            <v>NUAZANI</v>
          </cell>
          <cell r="J181">
            <v>9</v>
          </cell>
          <cell r="N181">
            <v>3.76</v>
          </cell>
          <cell r="O181">
            <v>285</v>
          </cell>
        </row>
        <row r="182">
          <cell r="I182" t="str">
            <v>DARSO</v>
          </cell>
          <cell r="J182">
            <v>15</v>
          </cell>
          <cell r="N182">
            <v>3.96</v>
          </cell>
          <cell r="O182">
            <v>303</v>
          </cell>
        </row>
        <row r="183">
          <cell r="I183" t="str">
            <v>MIKHAEL</v>
          </cell>
          <cell r="J183">
            <v>3</v>
          </cell>
          <cell r="N183">
            <v>3.86</v>
          </cell>
          <cell r="O183">
            <v>251</v>
          </cell>
        </row>
        <row r="184">
          <cell r="G184" t="str">
            <v>GT-2929</v>
          </cell>
          <cell r="H184" t="str">
            <v>QAY1415</v>
          </cell>
          <cell r="I184" t="str">
            <v>ERDI</v>
          </cell>
          <cell r="J184">
            <v>2</v>
          </cell>
          <cell r="K184">
            <v>19920</v>
          </cell>
          <cell r="L184">
            <v>12220</v>
          </cell>
          <cell r="M184">
            <v>0</v>
          </cell>
          <cell r="N184">
            <v>3.9</v>
          </cell>
          <cell r="O184">
            <v>281</v>
          </cell>
          <cell r="Q184">
            <v>7.6999999999999993</v>
          </cell>
          <cell r="R184">
            <v>63.8</v>
          </cell>
        </row>
        <row r="185">
          <cell r="I185" t="str">
            <v>DARSO</v>
          </cell>
          <cell r="J185">
            <v>19</v>
          </cell>
          <cell r="N185">
            <v>3.8</v>
          </cell>
          <cell r="O185">
            <v>286</v>
          </cell>
        </row>
        <row r="186">
          <cell r="G186" t="str">
            <v>GT-2932</v>
          </cell>
          <cell r="H186" t="str">
            <v>QAY1415</v>
          </cell>
          <cell r="I186" t="str">
            <v>NUAZANI</v>
          </cell>
          <cell r="J186">
            <v>12</v>
          </cell>
          <cell r="K186">
            <v>20140</v>
          </cell>
          <cell r="L186">
            <v>12220</v>
          </cell>
          <cell r="M186">
            <v>0</v>
          </cell>
          <cell r="N186">
            <v>3.72</v>
          </cell>
          <cell r="O186">
            <v>217</v>
          </cell>
          <cell r="Q186">
            <v>7.92</v>
          </cell>
        </row>
        <row r="187">
          <cell r="I187" t="str">
            <v>FERDINADUS</v>
          </cell>
          <cell r="J187">
            <v>4</v>
          </cell>
          <cell r="N187">
            <v>4.2</v>
          </cell>
          <cell r="O187">
            <v>273</v>
          </cell>
        </row>
        <row r="188">
          <cell r="G188" t="str">
            <v>GT-2919</v>
          </cell>
          <cell r="H188" t="str">
            <v>QAY1415</v>
          </cell>
          <cell r="I188" t="str">
            <v>NUAZANI</v>
          </cell>
          <cell r="J188">
            <v>9</v>
          </cell>
          <cell r="K188">
            <v>20100</v>
          </cell>
          <cell r="L188">
            <v>12220</v>
          </cell>
          <cell r="M188">
            <v>0</v>
          </cell>
          <cell r="N188">
            <v>3.18</v>
          </cell>
          <cell r="O188">
            <v>250</v>
          </cell>
          <cell r="Q188">
            <v>7.8800000000000008</v>
          </cell>
        </row>
        <row r="189">
          <cell r="I189" t="str">
            <v>MIKHAEL</v>
          </cell>
          <cell r="J189">
            <v>3</v>
          </cell>
          <cell r="N189">
            <v>2.1</v>
          </cell>
          <cell r="O189">
            <v>136</v>
          </cell>
        </row>
        <row r="190">
          <cell r="I190" t="str">
            <v>NUAZANI</v>
          </cell>
          <cell r="J190">
            <v>10</v>
          </cell>
          <cell r="N190">
            <v>2.6</v>
          </cell>
          <cell r="O190">
            <v>186</v>
          </cell>
        </row>
        <row r="191">
          <cell r="G191" t="str">
            <v>GT-2923</v>
          </cell>
          <cell r="H191" t="str">
            <v>QSR3707</v>
          </cell>
          <cell r="I191" t="str">
            <v>WENDELINUS</v>
          </cell>
          <cell r="J191">
            <v>25</v>
          </cell>
          <cell r="K191">
            <v>45150</v>
          </cell>
          <cell r="L191">
            <v>25100</v>
          </cell>
          <cell r="M191">
            <v>0</v>
          </cell>
          <cell r="N191">
            <v>7.58</v>
          </cell>
          <cell r="O191">
            <v>1037</v>
          </cell>
          <cell r="Q191">
            <v>20.049999999999997</v>
          </cell>
        </row>
        <row r="192">
          <cell r="I192" t="str">
            <v>FERDINADUS</v>
          </cell>
          <cell r="J192">
            <v>4</v>
          </cell>
          <cell r="N192">
            <v>4.34</v>
          </cell>
          <cell r="O192">
            <v>283</v>
          </cell>
        </row>
        <row r="193">
          <cell r="I193" t="str">
            <v>DARSO</v>
          </cell>
          <cell r="J193">
            <v>19</v>
          </cell>
          <cell r="N193">
            <v>4.1399999999999997</v>
          </cell>
          <cell r="O193">
            <v>299</v>
          </cell>
        </row>
        <row r="194">
          <cell r="I194" t="str">
            <v>NUAZANI</v>
          </cell>
          <cell r="J194">
            <v>10</v>
          </cell>
          <cell r="N194">
            <v>3.99</v>
          </cell>
          <cell r="O194">
            <v>282</v>
          </cell>
        </row>
        <row r="195">
          <cell r="G195" t="str">
            <v>GT-2935</v>
          </cell>
          <cell r="H195" t="str">
            <v>QSR3707</v>
          </cell>
          <cell r="I195" t="str">
            <v>DARSO</v>
          </cell>
          <cell r="J195">
            <v>19</v>
          </cell>
          <cell r="K195">
            <v>45350</v>
          </cell>
          <cell r="L195">
            <v>25100</v>
          </cell>
          <cell r="M195">
            <v>0</v>
          </cell>
          <cell r="N195">
            <v>8.0500000000000007</v>
          </cell>
          <cell r="O195">
            <v>600</v>
          </cell>
          <cell r="Q195">
            <v>20.25</v>
          </cell>
        </row>
        <row r="196">
          <cell r="I196" t="str">
            <v>NUAZANI</v>
          </cell>
          <cell r="J196">
            <v>10</v>
          </cell>
          <cell r="N196">
            <v>3.01</v>
          </cell>
          <cell r="O196">
            <v>273</v>
          </cell>
        </row>
        <row r="197">
          <cell r="I197" t="str">
            <v>MIKHAEL</v>
          </cell>
          <cell r="J197">
            <v>1</v>
          </cell>
          <cell r="N197">
            <v>4.87</v>
          </cell>
          <cell r="O197">
            <v>314</v>
          </cell>
        </row>
        <row r="198">
          <cell r="I198" t="str">
            <v>FERDINADUS</v>
          </cell>
          <cell r="J198">
            <v>4</v>
          </cell>
          <cell r="N198">
            <v>4.32</v>
          </cell>
          <cell r="O198">
            <v>281</v>
          </cell>
        </row>
        <row r="199">
          <cell r="G199" t="str">
            <v>GT-2948</v>
          </cell>
          <cell r="H199" t="str">
            <v>QSR3707</v>
          </cell>
          <cell r="I199" t="str">
            <v>DARSO</v>
          </cell>
          <cell r="J199">
            <v>19</v>
          </cell>
          <cell r="K199">
            <v>45800</v>
          </cell>
          <cell r="L199">
            <v>25180</v>
          </cell>
          <cell r="M199">
            <v>0</v>
          </cell>
          <cell r="N199">
            <v>4.17</v>
          </cell>
          <cell r="O199">
            <v>307</v>
          </cell>
          <cell r="Q199">
            <v>20.619999999999997</v>
          </cell>
          <cell r="R199">
            <v>60.64</v>
          </cell>
        </row>
        <row r="200">
          <cell r="I200" t="str">
            <v>DARSO</v>
          </cell>
          <cell r="J200">
            <v>20</v>
          </cell>
          <cell r="N200">
            <v>9.02</v>
          </cell>
          <cell r="O200">
            <v>687</v>
          </cell>
        </row>
        <row r="201">
          <cell r="I201" t="str">
            <v>NUAZANI</v>
          </cell>
          <cell r="J201">
            <v>12</v>
          </cell>
          <cell r="N201">
            <v>7.43</v>
          </cell>
          <cell r="O201">
            <v>528</v>
          </cell>
        </row>
        <row r="202">
          <cell r="G202" t="str">
            <v>GT-2956</v>
          </cell>
          <cell r="H202" t="str">
            <v>QSR3707</v>
          </cell>
          <cell r="I202" t="str">
            <v>DARSO</v>
          </cell>
          <cell r="J202">
            <v>20</v>
          </cell>
          <cell r="K202">
            <v>44700</v>
          </cell>
          <cell r="L202">
            <v>25160</v>
          </cell>
          <cell r="M202">
            <v>0</v>
          </cell>
          <cell r="N202">
            <v>3.7</v>
          </cell>
          <cell r="O202">
            <v>275</v>
          </cell>
          <cell r="Q202">
            <v>19.54</v>
          </cell>
        </row>
        <row r="203">
          <cell r="I203" t="str">
            <v>NUAZANI</v>
          </cell>
          <cell r="J203">
            <v>12</v>
          </cell>
          <cell r="N203">
            <v>4.24</v>
          </cell>
          <cell r="O203">
            <v>312</v>
          </cell>
        </row>
        <row r="204">
          <cell r="I204" t="str">
            <v>FERDINADUS</v>
          </cell>
          <cell r="J204">
            <v>24</v>
          </cell>
          <cell r="N204">
            <v>11.6</v>
          </cell>
          <cell r="O204">
            <v>807</v>
          </cell>
        </row>
        <row r="205">
          <cell r="G205" t="str">
            <v>GT-2941</v>
          </cell>
          <cell r="H205" t="str">
            <v>QSR3707</v>
          </cell>
          <cell r="I205" t="str">
            <v>ERDI</v>
          </cell>
          <cell r="J205">
            <v>2</v>
          </cell>
          <cell r="K205">
            <v>45700</v>
          </cell>
          <cell r="L205">
            <v>25220</v>
          </cell>
          <cell r="M205">
            <v>0</v>
          </cell>
          <cell r="N205">
            <v>5.27</v>
          </cell>
          <cell r="O205">
            <v>366</v>
          </cell>
          <cell r="Q205">
            <v>20.48</v>
          </cell>
        </row>
        <row r="206">
          <cell r="I206" t="str">
            <v>FERDINADUS</v>
          </cell>
          <cell r="J206">
            <v>4</v>
          </cell>
          <cell r="N206">
            <v>3.95</v>
          </cell>
          <cell r="O206">
            <v>261</v>
          </cell>
        </row>
        <row r="207">
          <cell r="I207" t="str">
            <v>MIKHAEL</v>
          </cell>
          <cell r="J207">
            <v>1</v>
          </cell>
          <cell r="N207">
            <v>4.92</v>
          </cell>
          <cell r="O207">
            <v>342</v>
          </cell>
        </row>
        <row r="208">
          <cell r="I208" t="str">
            <v>WENDELINUS</v>
          </cell>
          <cell r="J208">
            <v>33</v>
          </cell>
          <cell r="N208">
            <v>2.86</v>
          </cell>
          <cell r="O208">
            <v>302</v>
          </cell>
        </row>
        <row r="209">
          <cell r="I209" t="str">
            <v>NUAZANI</v>
          </cell>
          <cell r="J209">
            <v>12</v>
          </cell>
          <cell r="N209">
            <v>3.48</v>
          </cell>
          <cell r="O209">
            <v>248</v>
          </cell>
        </row>
        <row r="210">
          <cell r="G210" t="str">
            <v>GT-2962</v>
          </cell>
          <cell r="H210" t="str">
            <v>QSR3707</v>
          </cell>
          <cell r="I210" t="str">
            <v>MIKHAEL</v>
          </cell>
          <cell r="J210">
            <v>1</v>
          </cell>
          <cell r="K210">
            <v>45680</v>
          </cell>
          <cell r="L210">
            <v>25260</v>
          </cell>
          <cell r="M210">
            <v>0</v>
          </cell>
          <cell r="N210">
            <v>3</v>
          </cell>
          <cell r="O210">
            <v>291</v>
          </cell>
          <cell r="Q210">
            <v>19.599999999999998</v>
          </cell>
          <cell r="R210">
            <v>42.01</v>
          </cell>
        </row>
        <row r="211">
          <cell r="I211" t="str">
            <v>WENDELINUS</v>
          </cell>
          <cell r="J211">
            <v>33</v>
          </cell>
          <cell r="N211">
            <v>8.8699999999999992</v>
          </cell>
          <cell r="O211">
            <v>996</v>
          </cell>
        </row>
        <row r="212">
          <cell r="I212" t="str">
            <v>DARSO</v>
          </cell>
          <cell r="J212">
            <v>20</v>
          </cell>
          <cell r="N212">
            <v>4.05</v>
          </cell>
          <cell r="O212">
            <v>307</v>
          </cell>
        </row>
        <row r="213">
          <cell r="I213" t="str">
            <v>NUAZANI</v>
          </cell>
          <cell r="J213">
            <v>12</v>
          </cell>
          <cell r="N213">
            <v>3.68</v>
          </cell>
          <cell r="O213">
            <v>262</v>
          </cell>
        </row>
        <row r="214">
          <cell r="G214" t="str">
            <v>GT-2966</v>
          </cell>
          <cell r="H214" t="str">
            <v>QSR3707</v>
          </cell>
          <cell r="I214" t="str">
            <v>NUAZANI</v>
          </cell>
          <cell r="J214">
            <v>12</v>
          </cell>
          <cell r="K214">
            <v>47550</v>
          </cell>
          <cell r="L214">
            <v>25140</v>
          </cell>
          <cell r="M214">
            <v>0</v>
          </cell>
          <cell r="N214">
            <v>6.95</v>
          </cell>
          <cell r="O214">
            <v>515</v>
          </cell>
          <cell r="Q214">
            <v>22.41</v>
          </cell>
        </row>
        <row r="215">
          <cell r="I215" t="str">
            <v>DARSO</v>
          </cell>
          <cell r="J215">
            <v>20</v>
          </cell>
          <cell r="N215">
            <v>4.5599999999999996</v>
          </cell>
          <cell r="O215">
            <v>339</v>
          </cell>
        </row>
        <row r="216">
          <cell r="I216" t="str">
            <v>FERDINADUS</v>
          </cell>
          <cell r="J216">
            <v>24</v>
          </cell>
          <cell r="N216">
            <v>3.72</v>
          </cell>
          <cell r="O216">
            <v>270</v>
          </cell>
        </row>
        <row r="217">
          <cell r="I217" t="str">
            <v>DARSO</v>
          </cell>
          <cell r="J217">
            <v>21</v>
          </cell>
          <cell r="N217">
            <v>4.13</v>
          </cell>
          <cell r="O217">
            <v>309</v>
          </cell>
        </row>
        <row r="218">
          <cell r="I218" t="str">
            <v>WENDELINUS</v>
          </cell>
          <cell r="J218">
            <v>33</v>
          </cell>
          <cell r="N218">
            <v>3.05</v>
          </cell>
          <cell r="O218">
            <v>336</v>
          </cell>
        </row>
        <row r="219">
          <cell r="G219" t="str">
            <v>GT-2979</v>
          </cell>
          <cell r="H219" t="str">
            <v>QSR3707</v>
          </cell>
          <cell r="I219" t="str">
            <v>WENDELINUS</v>
          </cell>
          <cell r="J219">
            <v>33</v>
          </cell>
          <cell r="K219">
            <v>45900</v>
          </cell>
          <cell r="L219">
            <v>25120</v>
          </cell>
          <cell r="M219">
            <v>0</v>
          </cell>
          <cell r="N219">
            <v>4.7300000000000004</v>
          </cell>
          <cell r="O219">
            <v>497</v>
          </cell>
          <cell r="Q219">
            <v>20.78</v>
          </cell>
          <cell r="R219">
            <v>39.17</v>
          </cell>
        </row>
        <row r="220">
          <cell r="I220" t="str">
            <v>DARSO</v>
          </cell>
          <cell r="J220">
            <v>21</v>
          </cell>
          <cell r="N220">
            <v>11.84</v>
          </cell>
          <cell r="O220">
            <v>844</v>
          </cell>
        </row>
        <row r="221">
          <cell r="I221" t="str">
            <v>NUAZANI</v>
          </cell>
          <cell r="J221">
            <v>18</v>
          </cell>
          <cell r="N221">
            <v>4.21</v>
          </cell>
          <cell r="O221">
            <v>282</v>
          </cell>
        </row>
        <row r="222">
          <cell r="G222" t="str">
            <v>GT-2975</v>
          </cell>
          <cell r="H222" t="str">
            <v>QSR3707</v>
          </cell>
          <cell r="I222" t="str">
            <v>FERDINADUS</v>
          </cell>
          <cell r="J222">
            <v>24</v>
          </cell>
          <cell r="K222">
            <v>43550</v>
          </cell>
          <cell r="L222">
            <v>25160</v>
          </cell>
          <cell r="M222">
            <v>0</v>
          </cell>
          <cell r="N222">
            <v>3.82</v>
          </cell>
          <cell r="O222">
            <v>262</v>
          </cell>
          <cell r="Q222">
            <v>18.39</v>
          </cell>
        </row>
        <row r="223">
          <cell r="I223" t="str">
            <v>WENDELINUS</v>
          </cell>
          <cell r="J223">
            <v>33</v>
          </cell>
          <cell r="N223">
            <v>2.98</v>
          </cell>
          <cell r="O223">
            <v>310</v>
          </cell>
        </row>
        <row r="224">
          <cell r="I224" t="str">
            <v>DARSO</v>
          </cell>
          <cell r="J224">
            <v>21</v>
          </cell>
          <cell r="N224">
            <v>3.87</v>
          </cell>
          <cell r="O224">
            <v>273</v>
          </cell>
        </row>
        <row r="225">
          <cell r="I225" t="str">
            <v>MIKHAEL</v>
          </cell>
          <cell r="J225">
            <v>1</v>
          </cell>
          <cell r="N225">
            <v>7.72</v>
          </cell>
          <cell r="O225">
            <v>641</v>
          </cell>
        </row>
        <row r="226">
          <cell r="G226" t="str">
            <v>GT-3002</v>
          </cell>
          <cell r="H226" t="str">
            <v>QSR3707</v>
          </cell>
          <cell r="I226" t="str">
            <v>FERDINADUS</v>
          </cell>
          <cell r="J226">
            <v>6</v>
          </cell>
          <cell r="K226">
            <v>45520</v>
          </cell>
          <cell r="L226">
            <v>25180</v>
          </cell>
          <cell r="M226">
            <v>0</v>
          </cell>
          <cell r="N226">
            <v>9.4700000000000006</v>
          </cell>
          <cell r="O226">
            <v>641</v>
          </cell>
          <cell r="Q226">
            <v>20.34</v>
          </cell>
          <cell r="R226">
            <v>69.81</v>
          </cell>
        </row>
        <row r="227">
          <cell r="I227" t="str">
            <v>DARSO</v>
          </cell>
          <cell r="J227">
            <v>22</v>
          </cell>
          <cell r="N227">
            <v>4.26</v>
          </cell>
          <cell r="O227">
            <v>305</v>
          </cell>
        </row>
        <row r="228">
          <cell r="I228" t="str">
            <v>NUAZANI</v>
          </cell>
          <cell r="J228">
            <v>18</v>
          </cell>
          <cell r="N228">
            <v>3.38</v>
          </cell>
          <cell r="O228">
            <v>240</v>
          </cell>
        </row>
        <row r="229">
          <cell r="I229" t="str">
            <v>MIKHAEL</v>
          </cell>
          <cell r="J229">
            <v>1</v>
          </cell>
          <cell r="N229">
            <v>3.23</v>
          </cell>
          <cell r="O229">
            <v>208</v>
          </cell>
        </row>
        <row r="230">
          <cell r="G230" t="str">
            <v>GT-2990</v>
          </cell>
          <cell r="H230" t="str">
            <v>QAY1415</v>
          </cell>
          <cell r="I230" t="str">
            <v>NUAZANI</v>
          </cell>
          <cell r="J230">
            <v>18</v>
          </cell>
          <cell r="K230">
            <v>20240</v>
          </cell>
          <cell r="L230">
            <v>12120</v>
          </cell>
          <cell r="M230">
            <v>0</v>
          </cell>
          <cell r="N230">
            <v>3.44</v>
          </cell>
          <cell r="O230">
            <v>248</v>
          </cell>
          <cell r="Q230">
            <v>8.1199999999999992</v>
          </cell>
        </row>
        <row r="231">
          <cell r="I231" t="str">
            <v>MIKHAEL</v>
          </cell>
          <cell r="J231">
            <v>1</v>
          </cell>
          <cell r="N231">
            <v>4.68</v>
          </cell>
          <cell r="O231">
            <v>295</v>
          </cell>
        </row>
        <row r="232">
          <cell r="G232" t="str">
            <v>GT-2987</v>
          </cell>
          <cell r="H232" t="str">
            <v>QAY1415</v>
          </cell>
          <cell r="I232" t="str">
            <v>NUAZANI</v>
          </cell>
          <cell r="J232">
            <v>18</v>
          </cell>
          <cell r="K232">
            <v>22280</v>
          </cell>
          <cell r="L232">
            <v>12120</v>
          </cell>
          <cell r="M232">
            <v>0</v>
          </cell>
          <cell r="N232">
            <v>3.5</v>
          </cell>
          <cell r="O232">
            <v>247</v>
          </cell>
          <cell r="Q232">
            <v>10.16</v>
          </cell>
        </row>
        <row r="233">
          <cell r="I233" t="str">
            <v>DARSO</v>
          </cell>
          <cell r="J233">
            <v>21</v>
          </cell>
          <cell r="N233">
            <v>6.66</v>
          </cell>
          <cell r="O233">
            <v>490</v>
          </cell>
        </row>
        <row r="234">
          <cell r="G234" t="str">
            <v>GT-2994</v>
          </cell>
          <cell r="H234" t="str">
            <v>QAY1415</v>
          </cell>
          <cell r="I234" t="str">
            <v>WENDELINUS</v>
          </cell>
          <cell r="J234">
            <v>31</v>
          </cell>
          <cell r="K234">
            <v>23140</v>
          </cell>
          <cell r="L234">
            <v>12100</v>
          </cell>
          <cell r="M234">
            <v>0</v>
          </cell>
          <cell r="N234">
            <v>3.67</v>
          </cell>
          <cell r="O234">
            <v>657</v>
          </cell>
          <cell r="Q234">
            <v>11.04</v>
          </cell>
        </row>
        <row r="235">
          <cell r="I235" t="str">
            <v>NUAZANI</v>
          </cell>
          <cell r="J235">
            <v>18</v>
          </cell>
          <cell r="N235">
            <v>3</v>
          </cell>
          <cell r="O235">
            <v>192</v>
          </cell>
        </row>
        <row r="236">
          <cell r="I236" t="str">
            <v>FERDINADUS</v>
          </cell>
          <cell r="J236">
            <v>23</v>
          </cell>
          <cell r="N236">
            <v>4.37</v>
          </cell>
          <cell r="O236">
            <v>275</v>
          </cell>
        </row>
        <row r="237">
          <cell r="G237" t="str">
            <v>GT-2997</v>
          </cell>
          <cell r="H237" t="str">
            <v>QSR3707</v>
          </cell>
          <cell r="I237" t="str">
            <v>MIKHAEL</v>
          </cell>
          <cell r="J237">
            <v>1</v>
          </cell>
          <cell r="K237">
            <v>45250</v>
          </cell>
          <cell r="L237">
            <v>25100</v>
          </cell>
          <cell r="M237">
            <v>0</v>
          </cell>
          <cell r="N237">
            <v>3.85</v>
          </cell>
          <cell r="O237">
            <v>290</v>
          </cell>
          <cell r="Q237">
            <v>20.149999999999999</v>
          </cell>
        </row>
        <row r="238">
          <cell r="I238" t="str">
            <v>DARSO</v>
          </cell>
          <cell r="J238">
            <v>21</v>
          </cell>
          <cell r="N238">
            <v>8.2200000000000006</v>
          </cell>
          <cell r="O238">
            <v>645</v>
          </cell>
        </row>
        <row r="239">
          <cell r="I239" t="str">
            <v>FERDINADUS</v>
          </cell>
          <cell r="J239">
            <v>6</v>
          </cell>
          <cell r="N239">
            <v>4.66</v>
          </cell>
          <cell r="O239">
            <v>340</v>
          </cell>
        </row>
        <row r="240">
          <cell r="I240" t="str">
            <v>NUAZANI</v>
          </cell>
          <cell r="J240">
            <v>18</v>
          </cell>
          <cell r="N240">
            <v>3.42</v>
          </cell>
          <cell r="O240">
            <v>272</v>
          </cell>
        </row>
        <row r="241">
          <cell r="G241" t="str">
            <v>GT-3026</v>
          </cell>
          <cell r="H241" t="str">
            <v>QAY1415</v>
          </cell>
          <cell r="I241" t="str">
            <v>FERDINADUS</v>
          </cell>
          <cell r="J241">
            <v>5</v>
          </cell>
          <cell r="K241">
            <v>17440</v>
          </cell>
          <cell r="L241">
            <v>12200</v>
          </cell>
          <cell r="M241">
            <v>0</v>
          </cell>
          <cell r="N241">
            <v>2.82</v>
          </cell>
          <cell r="O241">
            <v>187</v>
          </cell>
          <cell r="Q241">
            <v>5.24</v>
          </cell>
          <cell r="R241">
            <v>55.629999999999995</v>
          </cell>
        </row>
        <row r="242">
          <cell r="I242" t="str">
            <v>NUAZANI</v>
          </cell>
          <cell r="J242">
            <v>13</v>
          </cell>
          <cell r="N242">
            <v>2.42</v>
          </cell>
          <cell r="O242">
            <v>158</v>
          </cell>
        </row>
        <row r="243">
          <cell r="G243" t="str">
            <v>GT-3022</v>
          </cell>
          <cell r="H243" t="str">
            <v>QAY1415</v>
          </cell>
          <cell r="I243" t="str">
            <v>FERDINADUS</v>
          </cell>
          <cell r="J243">
            <v>5</v>
          </cell>
          <cell r="K243">
            <v>19640</v>
          </cell>
          <cell r="L243">
            <v>12200</v>
          </cell>
          <cell r="M243">
            <v>0</v>
          </cell>
          <cell r="N243">
            <v>3.37</v>
          </cell>
          <cell r="O243">
            <v>225</v>
          </cell>
          <cell r="Q243">
            <v>7.44</v>
          </cell>
        </row>
        <row r="244">
          <cell r="I244" t="str">
            <v>DARSO</v>
          </cell>
          <cell r="J244">
            <v>17</v>
          </cell>
          <cell r="N244">
            <v>4.07</v>
          </cell>
          <cell r="O244">
            <v>353</v>
          </cell>
        </row>
        <row r="245">
          <cell r="G245" t="str">
            <v>GT-3011</v>
          </cell>
          <cell r="H245" t="str">
            <v>QSR3707</v>
          </cell>
          <cell r="I245" t="str">
            <v>DARSO</v>
          </cell>
          <cell r="J245">
            <v>22</v>
          </cell>
          <cell r="K245">
            <v>48150</v>
          </cell>
          <cell r="L245">
            <v>25200</v>
          </cell>
          <cell r="M245">
            <v>0</v>
          </cell>
          <cell r="N245">
            <v>7.56</v>
          </cell>
          <cell r="O245">
            <v>561</v>
          </cell>
          <cell r="Q245">
            <v>22.95</v>
          </cell>
        </row>
        <row r="246">
          <cell r="I246" t="str">
            <v>MIKHAEL</v>
          </cell>
          <cell r="J246">
            <v>1</v>
          </cell>
          <cell r="N246">
            <v>4.13</v>
          </cell>
          <cell r="O246">
            <v>315</v>
          </cell>
        </row>
        <row r="247">
          <cell r="I247" t="str">
            <v>FERDINADUS</v>
          </cell>
          <cell r="J247">
            <v>6</v>
          </cell>
          <cell r="N247">
            <v>4.54</v>
          </cell>
          <cell r="O247">
            <v>315</v>
          </cell>
        </row>
        <row r="248">
          <cell r="I248" t="str">
            <v>WENDELINUS</v>
          </cell>
          <cell r="J248">
            <v>31</v>
          </cell>
          <cell r="N248">
            <v>6.72</v>
          </cell>
          <cell r="O248">
            <v>1304</v>
          </cell>
        </row>
        <row r="249">
          <cell r="G249" t="str">
            <v>GT-3015</v>
          </cell>
          <cell r="H249" t="str">
            <v>QSR3707</v>
          </cell>
          <cell r="I249" t="str">
            <v>FERDINADUS</v>
          </cell>
          <cell r="J249">
            <v>6</v>
          </cell>
          <cell r="K249">
            <v>45200</v>
          </cell>
          <cell r="L249">
            <v>25200</v>
          </cell>
          <cell r="M249">
            <v>0</v>
          </cell>
          <cell r="N249">
            <v>2.74</v>
          </cell>
          <cell r="O249">
            <v>205</v>
          </cell>
          <cell r="Q249">
            <v>20</v>
          </cell>
        </row>
        <row r="250">
          <cell r="I250" t="str">
            <v>NUAZANI</v>
          </cell>
          <cell r="J250">
            <v>13</v>
          </cell>
          <cell r="N250">
            <v>7.15</v>
          </cell>
          <cell r="O250">
            <v>468</v>
          </cell>
        </row>
        <row r="251">
          <cell r="I251" t="str">
            <v>DARSO</v>
          </cell>
          <cell r="J251">
            <v>22</v>
          </cell>
          <cell r="N251">
            <v>7.37</v>
          </cell>
          <cell r="O251">
            <v>599</v>
          </cell>
        </row>
        <row r="252">
          <cell r="I252" t="str">
            <v>MIKHAEL</v>
          </cell>
          <cell r="J252">
            <v>1</v>
          </cell>
          <cell r="N252">
            <v>2.74</v>
          </cell>
          <cell r="O252">
            <v>285</v>
          </cell>
        </row>
        <row r="253">
          <cell r="G253" t="str">
            <v>GT-3029</v>
          </cell>
          <cell r="H253" t="str">
            <v>QSR3707</v>
          </cell>
          <cell r="I253" t="str">
            <v>WENDELINUS</v>
          </cell>
          <cell r="J253">
            <v>30</v>
          </cell>
          <cell r="K253">
            <v>47450</v>
          </cell>
          <cell r="L253">
            <v>25180</v>
          </cell>
          <cell r="M253">
            <v>0</v>
          </cell>
          <cell r="N253">
            <v>3.45</v>
          </cell>
          <cell r="O253">
            <v>712</v>
          </cell>
          <cell r="Q253">
            <v>22.27</v>
          </cell>
          <cell r="R253">
            <v>38.909999999999997</v>
          </cell>
        </row>
        <row r="254">
          <cell r="I254" t="str">
            <v>NUAZANI</v>
          </cell>
          <cell r="J254">
            <v>13</v>
          </cell>
          <cell r="N254">
            <v>7.3</v>
          </cell>
          <cell r="O254">
            <v>573</v>
          </cell>
        </row>
        <row r="255">
          <cell r="I255" t="str">
            <v>DARSO</v>
          </cell>
          <cell r="J255">
            <v>17</v>
          </cell>
          <cell r="N255">
            <v>11.52</v>
          </cell>
          <cell r="O255">
            <v>925</v>
          </cell>
        </row>
        <row r="256">
          <cell r="G256" t="str">
            <v>GT-3035</v>
          </cell>
          <cell r="H256" t="str">
            <v>QSR3707</v>
          </cell>
          <cell r="I256" t="str">
            <v>NUAZANI</v>
          </cell>
          <cell r="J256">
            <v>13</v>
          </cell>
          <cell r="K256">
            <v>41800</v>
          </cell>
          <cell r="L256">
            <v>25160</v>
          </cell>
          <cell r="M256">
            <v>0</v>
          </cell>
          <cell r="N256">
            <v>6.6</v>
          </cell>
          <cell r="O256">
            <v>515</v>
          </cell>
          <cell r="Q256">
            <v>16.64</v>
          </cell>
        </row>
        <row r="257">
          <cell r="I257" t="str">
            <v>DARSO</v>
          </cell>
          <cell r="J257">
            <v>17</v>
          </cell>
          <cell r="N257">
            <v>3.98</v>
          </cell>
          <cell r="O257">
            <v>317</v>
          </cell>
        </row>
        <row r="258">
          <cell r="I258" t="str">
            <v>FERDINADUS</v>
          </cell>
          <cell r="J258">
            <v>5</v>
          </cell>
          <cell r="N258">
            <v>2.81</v>
          </cell>
          <cell r="O258">
            <v>187</v>
          </cell>
        </row>
        <row r="259">
          <cell r="I259" t="str">
            <v>FERDINADUS</v>
          </cell>
          <cell r="J259">
            <v>7</v>
          </cell>
          <cell r="N259">
            <v>3.25</v>
          </cell>
          <cell r="O259">
            <v>219</v>
          </cell>
        </row>
        <row r="260">
          <cell r="G260" t="str">
            <v>GT-3047</v>
          </cell>
          <cell r="H260" t="str">
            <v>QSR3707</v>
          </cell>
          <cell r="I260" t="str">
            <v>MIKHAEL</v>
          </cell>
          <cell r="J260">
            <v>14</v>
          </cell>
          <cell r="K260">
            <v>45150</v>
          </cell>
          <cell r="L260">
            <v>25140</v>
          </cell>
          <cell r="M260">
            <v>0</v>
          </cell>
          <cell r="N260">
            <v>4.09</v>
          </cell>
          <cell r="O260">
            <v>305</v>
          </cell>
          <cell r="Q260">
            <v>20.009999999999998</v>
          </cell>
          <cell r="R260">
            <v>36.97</v>
          </cell>
        </row>
        <row r="261">
          <cell r="I261" t="str">
            <v>NUAZANI</v>
          </cell>
          <cell r="J261">
            <v>8</v>
          </cell>
          <cell r="N261">
            <v>7.77</v>
          </cell>
          <cell r="O261">
            <v>564</v>
          </cell>
        </row>
        <row r="262">
          <cell r="I262" t="str">
            <v>DARSO</v>
          </cell>
          <cell r="J262">
            <v>16</v>
          </cell>
          <cell r="N262">
            <v>8.15</v>
          </cell>
          <cell r="O262">
            <v>604</v>
          </cell>
        </row>
        <row r="263">
          <cell r="G263" t="str">
            <v>GT-3041</v>
          </cell>
          <cell r="H263" t="str">
            <v>QSR3707</v>
          </cell>
          <cell r="I263" t="str">
            <v>MIKHAEL</v>
          </cell>
          <cell r="J263">
            <v>14</v>
          </cell>
          <cell r="K263">
            <v>42100</v>
          </cell>
          <cell r="L263">
            <v>25140</v>
          </cell>
          <cell r="M263">
            <v>0</v>
          </cell>
          <cell r="N263">
            <v>3.71</v>
          </cell>
          <cell r="O263">
            <v>284</v>
          </cell>
          <cell r="Q263">
            <v>16.959999999999997</v>
          </cell>
        </row>
        <row r="264">
          <cell r="I264" t="str">
            <v>WENDELINUS</v>
          </cell>
          <cell r="J264">
            <v>30</v>
          </cell>
          <cell r="N264">
            <v>5.67</v>
          </cell>
          <cell r="O264">
            <v>1075</v>
          </cell>
        </row>
        <row r="265">
          <cell r="I265" t="str">
            <v>DARSO</v>
          </cell>
          <cell r="J265">
            <v>16</v>
          </cell>
          <cell r="N265">
            <v>4.38</v>
          </cell>
          <cell r="O265">
            <v>323</v>
          </cell>
        </row>
        <row r="266">
          <cell r="I266" t="str">
            <v>NUAZANI</v>
          </cell>
          <cell r="J266">
            <v>13</v>
          </cell>
          <cell r="N266">
            <v>3.2</v>
          </cell>
          <cell r="O266">
            <v>231</v>
          </cell>
        </row>
        <row r="267">
          <cell r="G267" t="str">
            <v>GT-3060</v>
          </cell>
          <cell r="H267" t="str">
            <v>QSR3707</v>
          </cell>
          <cell r="I267" t="str">
            <v>DARSO</v>
          </cell>
          <cell r="J267">
            <v>16</v>
          </cell>
          <cell r="K267">
            <v>42960</v>
          </cell>
          <cell r="L267">
            <v>25210</v>
          </cell>
          <cell r="M267">
            <v>0</v>
          </cell>
          <cell r="N267">
            <v>8.6300000000000008</v>
          </cell>
          <cell r="O267">
            <v>630</v>
          </cell>
          <cell r="Q267">
            <v>17.75</v>
          </cell>
          <cell r="R267">
            <v>36.58</v>
          </cell>
        </row>
        <row r="268">
          <cell r="I268" t="str">
            <v>NUAZANI</v>
          </cell>
          <cell r="J268">
            <v>8</v>
          </cell>
          <cell r="N268">
            <v>9.1199999999999992</v>
          </cell>
          <cell r="O268">
            <v>652</v>
          </cell>
        </row>
        <row r="269">
          <cell r="G269" t="str">
            <v>GT-3055</v>
          </cell>
          <cell r="H269" t="str">
            <v>QSR3707</v>
          </cell>
          <cell r="I269" t="str">
            <v>MIKHAEL</v>
          </cell>
          <cell r="J269">
            <v>14</v>
          </cell>
          <cell r="K269">
            <v>43950</v>
          </cell>
          <cell r="L269">
            <v>25120</v>
          </cell>
          <cell r="M269">
            <v>0</v>
          </cell>
          <cell r="N269">
            <v>9.58</v>
          </cell>
          <cell r="O269">
            <v>688</v>
          </cell>
          <cell r="Q269">
            <v>18.829999999999998</v>
          </cell>
        </row>
        <row r="270">
          <cell r="I270" t="str">
            <v>WENDELINUS</v>
          </cell>
          <cell r="J270">
            <v>39</v>
          </cell>
          <cell r="N270">
            <v>1.56</v>
          </cell>
          <cell r="O270">
            <v>153</v>
          </cell>
        </row>
        <row r="271">
          <cell r="I271" t="str">
            <v>DARSO</v>
          </cell>
          <cell r="J271">
            <v>16</v>
          </cell>
          <cell r="N271">
            <v>4.0999999999999996</v>
          </cell>
          <cell r="O271">
            <v>301</v>
          </cell>
        </row>
        <row r="272">
          <cell r="I272" t="str">
            <v>NUAZANI</v>
          </cell>
          <cell r="J272">
            <v>8</v>
          </cell>
          <cell r="N272">
            <v>3.59</v>
          </cell>
          <cell r="O272">
            <v>257</v>
          </cell>
        </row>
        <row r="273">
          <cell r="G273" t="str">
            <v>GT-3066</v>
          </cell>
          <cell r="H273" t="str">
            <v>QSR3707</v>
          </cell>
          <cell r="I273" t="str">
            <v>DARSO</v>
          </cell>
          <cell r="J273">
            <v>15</v>
          </cell>
          <cell r="K273">
            <v>44820</v>
          </cell>
          <cell r="L273">
            <v>25030</v>
          </cell>
          <cell r="M273">
            <v>0</v>
          </cell>
          <cell r="N273">
            <v>4.7300000000000004</v>
          </cell>
          <cell r="O273">
            <v>343</v>
          </cell>
          <cell r="Q273">
            <v>19.790000000000003</v>
          </cell>
          <cell r="R273">
            <v>19.790000000000003</v>
          </cell>
        </row>
        <row r="274">
          <cell r="I274" t="str">
            <v>MIKHAEL</v>
          </cell>
          <cell r="J274">
            <v>14</v>
          </cell>
          <cell r="N274">
            <v>7.62</v>
          </cell>
          <cell r="O274">
            <v>642</v>
          </cell>
        </row>
        <row r="275">
          <cell r="I275" t="str">
            <v>WENDELINUS</v>
          </cell>
          <cell r="J275">
            <v>28</v>
          </cell>
          <cell r="N275">
            <v>7.44</v>
          </cell>
          <cell r="O275">
            <v>902</v>
          </cell>
        </row>
        <row r="276">
          <cell r="G276" t="str">
            <v>GT-3072</v>
          </cell>
          <cell r="H276" t="str">
            <v>QSR3707</v>
          </cell>
          <cell r="I276" t="str">
            <v>FERDINADUS</v>
          </cell>
          <cell r="J276">
            <v>4</v>
          </cell>
          <cell r="K276">
            <v>46650</v>
          </cell>
          <cell r="L276">
            <v>25080</v>
          </cell>
          <cell r="M276">
            <v>0</v>
          </cell>
          <cell r="N276">
            <v>5.94</v>
          </cell>
          <cell r="O276">
            <v>399</v>
          </cell>
          <cell r="Q276">
            <v>21.57</v>
          </cell>
          <cell r="R276">
            <v>45.32</v>
          </cell>
        </row>
        <row r="277">
          <cell r="I277" t="str">
            <v>MIKHAEL</v>
          </cell>
          <cell r="J277">
            <v>14</v>
          </cell>
          <cell r="N277">
            <v>7.25</v>
          </cell>
          <cell r="O277">
            <v>634</v>
          </cell>
        </row>
        <row r="278">
          <cell r="I278" t="str">
            <v>WENDELINUS</v>
          </cell>
          <cell r="J278">
            <v>28</v>
          </cell>
          <cell r="N278">
            <v>8.3800000000000008</v>
          </cell>
          <cell r="O278">
            <v>1004</v>
          </cell>
        </row>
        <row r="279">
          <cell r="G279" t="str">
            <v>GT-3079</v>
          </cell>
          <cell r="H279" t="str">
            <v>QSR3707</v>
          </cell>
          <cell r="I279" t="str">
            <v>DARSO</v>
          </cell>
          <cell r="J279">
            <v>15</v>
          </cell>
          <cell r="K279">
            <v>48950</v>
          </cell>
          <cell r="L279">
            <v>25200</v>
          </cell>
          <cell r="M279">
            <v>0</v>
          </cell>
          <cell r="N279">
            <v>14.52</v>
          </cell>
          <cell r="O279">
            <v>1063</v>
          </cell>
          <cell r="Q279">
            <v>23.75</v>
          </cell>
        </row>
        <row r="280">
          <cell r="I280" t="str">
            <v>FERDINADUS</v>
          </cell>
          <cell r="J280">
            <v>4</v>
          </cell>
          <cell r="N280">
            <v>2.87</v>
          </cell>
          <cell r="O280">
            <v>195</v>
          </cell>
        </row>
        <row r="281">
          <cell r="I281" t="str">
            <v>NUAZANI</v>
          </cell>
          <cell r="J281">
            <v>9</v>
          </cell>
          <cell r="N281">
            <v>2.75</v>
          </cell>
          <cell r="O281">
            <v>147</v>
          </cell>
        </row>
        <row r="282">
          <cell r="I282" t="str">
            <v>MIKHAEL</v>
          </cell>
          <cell r="J282">
            <v>14</v>
          </cell>
          <cell r="N282">
            <v>3.61</v>
          </cell>
          <cell r="O282">
            <v>387</v>
          </cell>
        </row>
        <row r="283">
          <cell r="G283" t="str">
            <v>GT-3105</v>
          </cell>
          <cell r="H283" t="str">
            <v>QSR3707</v>
          </cell>
          <cell r="I283" t="str">
            <v>MIKHAEL</v>
          </cell>
          <cell r="J283">
            <v>14</v>
          </cell>
          <cell r="K283">
            <v>43700</v>
          </cell>
          <cell r="L283">
            <v>25200</v>
          </cell>
          <cell r="M283">
            <v>0</v>
          </cell>
          <cell r="N283">
            <v>3.31</v>
          </cell>
          <cell r="O283">
            <v>289</v>
          </cell>
          <cell r="Q283">
            <v>18.5</v>
          </cell>
          <cell r="R283">
            <v>36.64</v>
          </cell>
        </row>
        <row r="284">
          <cell r="I284" t="str">
            <v>NUAZANI</v>
          </cell>
          <cell r="J284">
            <v>9</v>
          </cell>
          <cell r="N284">
            <v>10.77</v>
          </cell>
          <cell r="O284">
            <v>765</v>
          </cell>
        </row>
        <row r="285">
          <cell r="I285" t="str">
            <v>ERDI</v>
          </cell>
          <cell r="J285">
            <v>11</v>
          </cell>
          <cell r="N285">
            <v>4.42</v>
          </cell>
          <cell r="O285">
            <v>309</v>
          </cell>
        </row>
        <row r="286">
          <cell r="G286" t="str">
            <v>GT-3113</v>
          </cell>
          <cell r="H286" t="str">
            <v>QSR3707</v>
          </cell>
          <cell r="I286" t="str">
            <v>WENDELINUS</v>
          </cell>
          <cell r="J286">
            <v>26</v>
          </cell>
          <cell r="K286">
            <v>43440</v>
          </cell>
          <cell r="L286">
            <v>25300</v>
          </cell>
          <cell r="M286">
            <v>0</v>
          </cell>
          <cell r="N286">
            <v>8.6199999999999992</v>
          </cell>
          <cell r="O286">
            <v>1148</v>
          </cell>
          <cell r="Q286">
            <v>18.14</v>
          </cell>
        </row>
        <row r="287">
          <cell r="I287" t="str">
            <v>NUAZANI</v>
          </cell>
          <cell r="J287">
            <v>9</v>
          </cell>
          <cell r="N287">
            <v>3.6</v>
          </cell>
          <cell r="O287">
            <v>264</v>
          </cell>
        </row>
        <row r="288">
          <cell r="I288" t="str">
            <v>NUAZANI</v>
          </cell>
          <cell r="J288">
            <v>10</v>
          </cell>
          <cell r="N288">
            <v>5.92</v>
          </cell>
          <cell r="O288">
            <v>436</v>
          </cell>
        </row>
        <row r="289">
          <cell r="G289" t="str">
            <v>GT-3115</v>
          </cell>
          <cell r="H289" t="str">
            <v>QSR3707</v>
          </cell>
          <cell r="I289" t="str">
            <v>NUAZANI</v>
          </cell>
          <cell r="J289">
            <v>10</v>
          </cell>
          <cell r="K289">
            <v>42650</v>
          </cell>
          <cell r="L289">
            <v>25160</v>
          </cell>
          <cell r="M289">
            <v>0</v>
          </cell>
          <cell r="N289">
            <v>2.88</v>
          </cell>
          <cell r="O289">
            <v>211</v>
          </cell>
          <cell r="Q289">
            <v>17.490000000000002</v>
          </cell>
          <cell r="R289">
            <v>34.010000000000005</v>
          </cell>
        </row>
        <row r="290">
          <cell r="I290" t="str">
            <v>ERDI</v>
          </cell>
          <cell r="J290">
            <v>11</v>
          </cell>
          <cell r="N290">
            <v>7.94</v>
          </cell>
          <cell r="O290">
            <v>558</v>
          </cell>
        </row>
        <row r="291">
          <cell r="I291" t="str">
            <v>FERDINADUS</v>
          </cell>
          <cell r="J291">
            <v>4</v>
          </cell>
          <cell r="N291">
            <v>2.98</v>
          </cell>
          <cell r="O291">
            <v>204</v>
          </cell>
        </row>
        <row r="292">
          <cell r="I292" t="str">
            <v>WENDELINUS</v>
          </cell>
          <cell r="J292">
            <v>29</v>
          </cell>
          <cell r="N292">
            <v>3.69</v>
          </cell>
          <cell r="O292">
            <v>575</v>
          </cell>
        </row>
        <row r="293">
          <cell r="G293" t="str">
            <v>GT-3121</v>
          </cell>
          <cell r="H293" t="str">
            <v>QSR3707</v>
          </cell>
          <cell r="I293" t="str">
            <v>MIKHAEL</v>
          </cell>
          <cell r="J293">
            <v>3</v>
          </cell>
          <cell r="K293">
            <v>41780</v>
          </cell>
          <cell r="L293">
            <v>25260</v>
          </cell>
          <cell r="M293">
            <v>0</v>
          </cell>
          <cell r="N293">
            <v>2.64</v>
          </cell>
          <cell r="O293">
            <v>171</v>
          </cell>
          <cell r="Q293">
            <v>16.52</v>
          </cell>
        </row>
        <row r="294">
          <cell r="I294" t="str">
            <v>WENDELINUS</v>
          </cell>
          <cell r="J294">
            <v>29</v>
          </cell>
          <cell r="N294">
            <v>2.04</v>
          </cell>
          <cell r="O294">
            <v>332</v>
          </cell>
        </row>
        <row r="295">
          <cell r="I295" t="str">
            <v>NUAZANI</v>
          </cell>
          <cell r="J295">
            <v>12</v>
          </cell>
          <cell r="N295">
            <v>7.98</v>
          </cell>
          <cell r="O295">
            <v>600</v>
          </cell>
        </row>
        <row r="296">
          <cell r="I296" t="str">
            <v>FERDINADUS</v>
          </cell>
          <cell r="J296">
            <v>4</v>
          </cell>
          <cell r="N296">
            <v>3.86</v>
          </cell>
          <cell r="O296">
            <v>270</v>
          </cell>
        </row>
        <row r="302">
          <cell r="N302">
            <v>76.95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 Rainfall Record"/>
      <sheetName val="OVERALL BY GANG COMPARISON V3"/>
      <sheetName val="OVERALL"/>
      <sheetName val="OVERALL BY GANG"/>
      <sheetName val="YUVENTUS UN GANG"/>
      <sheetName val="DARSO GANG"/>
      <sheetName val="ERDI GANG"/>
      <sheetName val="SERAN GANG"/>
      <sheetName val="NU AZANI GANG"/>
      <sheetName val="WENDERLINUS GANG "/>
      <sheetName val="HARVESTING INTERVAL- SEPT"/>
      <sheetName val="4.4 Harvesting Round Record"/>
      <sheetName val="HARVESTING ROUND"/>
      <sheetName val="OVERALL BY GANG COMPARISON"/>
      <sheetName val="OVERALL BY GANG COMPARISON V2."/>
      <sheetName val="FFB Budget 2025"/>
      <sheetName val="Harvesting Record VS FFB BUDGET"/>
    </sheetNames>
    <sheetDataSet>
      <sheetData sheetId="0"/>
      <sheetData sheetId="1"/>
      <sheetData sheetId="2"/>
      <sheetData sheetId="3"/>
      <sheetData sheetId="4">
        <row r="7">
          <cell r="A7">
            <v>1</v>
          </cell>
          <cell r="B7">
            <v>53.2</v>
          </cell>
          <cell r="C7">
            <v>85</v>
          </cell>
          <cell r="D7">
            <v>42.379999999999995</v>
          </cell>
          <cell r="E7">
            <v>33.93</v>
          </cell>
          <cell r="F7">
            <v>0</v>
          </cell>
          <cell r="G7">
            <v>76.31</v>
          </cell>
          <cell r="I7">
            <v>66</v>
          </cell>
          <cell r="J7">
            <v>1.1562121212121212</v>
          </cell>
          <cell r="L7">
            <v>9.77</v>
          </cell>
          <cell r="M7">
            <v>27.17</v>
          </cell>
          <cell r="N7">
            <v>0</v>
          </cell>
          <cell r="O7">
            <v>36.94</v>
          </cell>
          <cell r="P7">
            <v>15.36</v>
          </cell>
          <cell r="Q7">
            <v>24.08</v>
          </cell>
          <cell r="R7">
            <v>0</v>
          </cell>
          <cell r="S7">
            <v>39.44</v>
          </cell>
          <cell r="T7">
            <v>15.14</v>
          </cell>
          <cell r="U7">
            <v>7.87</v>
          </cell>
          <cell r="V7">
            <v>4.54</v>
          </cell>
          <cell r="W7">
            <v>27.55</v>
          </cell>
          <cell r="X7">
            <v>20.25</v>
          </cell>
          <cell r="Y7">
            <v>13.88</v>
          </cell>
          <cell r="Z7">
            <v>0</v>
          </cell>
          <cell r="AA7">
            <v>34.130000000000003</v>
          </cell>
          <cell r="AB7">
            <v>45.97</v>
          </cell>
          <cell r="AC7">
            <v>12.94</v>
          </cell>
          <cell r="AD7">
            <v>0</v>
          </cell>
          <cell r="AE7">
            <v>58.91</v>
          </cell>
          <cell r="AF7">
            <v>40.75</v>
          </cell>
          <cell r="AG7">
            <v>13.29</v>
          </cell>
          <cell r="AH7">
            <v>0</v>
          </cell>
          <cell r="AI7">
            <v>54.04</v>
          </cell>
          <cell r="AJ7">
            <v>28.57</v>
          </cell>
          <cell r="AK7">
            <v>16.23</v>
          </cell>
          <cell r="AL7">
            <v>0</v>
          </cell>
          <cell r="AM7">
            <v>44.8</v>
          </cell>
          <cell r="AN7">
            <v>33.31</v>
          </cell>
          <cell r="AO7">
            <v>32.630000000000003</v>
          </cell>
          <cell r="AP7">
            <v>0</v>
          </cell>
          <cell r="AQ7">
            <v>65.94</v>
          </cell>
          <cell r="AR7">
            <v>24.71</v>
          </cell>
          <cell r="AS7">
            <v>26.41</v>
          </cell>
          <cell r="AT7">
            <v>0</v>
          </cell>
          <cell r="AU7">
            <v>51.120000000000005</v>
          </cell>
          <cell r="AV7">
            <v>68.66</v>
          </cell>
          <cell r="AW7">
            <v>39.69</v>
          </cell>
          <cell r="AX7">
            <v>0</v>
          </cell>
          <cell r="AY7">
            <v>108.35</v>
          </cell>
          <cell r="AZ7">
            <v>40.619999999999997</v>
          </cell>
          <cell r="BA7">
            <v>9.34</v>
          </cell>
          <cell r="BB7">
            <v>53.889999999999993</v>
          </cell>
          <cell r="BC7">
            <v>103.85</v>
          </cell>
          <cell r="BD7">
            <v>65.930000000000007</v>
          </cell>
          <cell r="BE7">
            <v>16.14</v>
          </cell>
          <cell r="BF7">
            <v>0</v>
          </cell>
          <cell r="BG7">
            <v>82.070000000000007</v>
          </cell>
        </row>
        <row r="8">
          <cell r="A8">
            <v>3</v>
          </cell>
          <cell r="B8">
            <v>69.2</v>
          </cell>
          <cell r="C8">
            <v>111</v>
          </cell>
          <cell r="D8">
            <v>64.740000000000009</v>
          </cell>
          <cell r="E8">
            <v>27.73</v>
          </cell>
          <cell r="F8">
            <v>0</v>
          </cell>
          <cell r="G8">
            <v>92.470000000000013</v>
          </cell>
          <cell r="I8">
            <v>78</v>
          </cell>
          <cell r="J8">
            <v>1.1855128205128207</v>
          </cell>
          <cell r="L8">
            <v>51.04</v>
          </cell>
          <cell r="M8">
            <v>20.2</v>
          </cell>
          <cell r="N8">
            <v>0</v>
          </cell>
          <cell r="O8">
            <v>71.239999999999995</v>
          </cell>
          <cell r="P8">
            <v>14.17</v>
          </cell>
          <cell r="Q8">
            <v>24.44</v>
          </cell>
          <cell r="R8">
            <v>0</v>
          </cell>
          <cell r="S8">
            <v>38.61</v>
          </cell>
          <cell r="T8">
            <v>12.73</v>
          </cell>
          <cell r="U8">
            <v>2.87</v>
          </cell>
          <cell r="V8">
            <v>0</v>
          </cell>
          <cell r="W8">
            <v>15.600000000000001</v>
          </cell>
          <cell r="X8">
            <v>34.22</v>
          </cell>
          <cell r="Y8">
            <v>15.52</v>
          </cell>
          <cell r="Z8">
            <v>0</v>
          </cell>
          <cell r="AA8">
            <v>49.739999999999995</v>
          </cell>
          <cell r="AB8">
            <v>49.54</v>
          </cell>
          <cell r="AC8">
            <v>11.01</v>
          </cell>
          <cell r="AD8">
            <v>0</v>
          </cell>
          <cell r="AE8">
            <v>60.55</v>
          </cell>
          <cell r="AF8">
            <v>47.06</v>
          </cell>
          <cell r="AG8">
            <v>10.6</v>
          </cell>
          <cell r="AH8">
            <v>0</v>
          </cell>
          <cell r="AI8">
            <v>57.660000000000004</v>
          </cell>
          <cell r="AJ8">
            <v>49.22</v>
          </cell>
          <cell r="AK8">
            <v>16.170000000000002</v>
          </cell>
          <cell r="AL8">
            <v>0</v>
          </cell>
          <cell r="AM8">
            <v>65.39</v>
          </cell>
          <cell r="AN8">
            <v>82.38</v>
          </cell>
          <cell r="AO8">
            <v>31.87</v>
          </cell>
          <cell r="AP8">
            <v>0</v>
          </cell>
          <cell r="AQ8">
            <v>114.25</v>
          </cell>
          <cell r="AR8">
            <v>53.67</v>
          </cell>
          <cell r="AS8">
            <v>40.25</v>
          </cell>
          <cell r="AT8">
            <v>0</v>
          </cell>
          <cell r="AU8">
            <v>93.92</v>
          </cell>
          <cell r="AV8">
            <v>130.71</v>
          </cell>
          <cell r="AW8">
            <v>16.11</v>
          </cell>
          <cell r="AX8">
            <v>0</v>
          </cell>
          <cell r="AY8">
            <v>146.82</v>
          </cell>
          <cell r="AZ8">
            <v>23.8</v>
          </cell>
          <cell r="BA8">
            <v>37.81</v>
          </cell>
          <cell r="BB8">
            <v>0</v>
          </cell>
          <cell r="BC8">
            <v>61.61</v>
          </cell>
          <cell r="BD8">
            <v>111.05</v>
          </cell>
          <cell r="BE8">
            <v>40.630000000000003</v>
          </cell>
          <cell r="BF8">
            <v>0</v>
          </cell>
          <cell r="BG8">
            <v>151.68</v>
          </cell>
        </row>
        <row r="9">
          <cell r="A9">
            <v>14</v>
          </cell>
          <cell r="B9">
            <v>41.6</v>
          </cell>
          <cell r="C9">
            <v>70</v>
          </cell>
          <cell r="D9">
            <v>62.89</v>
          </cell>
          <cell r="E9">
            <v>13.16</v>
          </cell>
          <cell r="F9">
            <v>0</v>
          </cell>
          <cell r="G9">
            <v>76.05</v>
          </cell>
          <cell r="I9">
            <v>68</v>
          </cell>
          <cell r="J9">
            <v>1.1183823529411765</v>
          </cell>
          <cell r="L9">
            <v>49.21</v>
          </cell>
          <cell r="M9">
            <v>3.66</v>
          </cell>
          <cell r="N9">
            <v>0</v>
          </cell>
          <cell r="O9">
            <v>52.870000000000005</v>
          </cell>
          <cell r="P9">
            <v>15.54</v>
          </cell>
          <cell r="Q9">
            <v>23.28</v>
          </cell>
          <cell r="R9">
            <v>0</v>
          </cell>
          <cell r="S9">
            <v>38.82</v>
          </cell>
          <cell r="T9">
            <v>12.49</v>
          </cell>
          <cell r="U9">
            <v>6.09</v>
          </cell>
          <cell r="V9">
            <v>0</v>
          </cell>
          <cell r="W9">
            <v>18.579999999999998</v>
          </cell>
          <cell r="X9">
            <v>28.29</v>
          </cell>
          <cell r="Y9">
            <v>19.72</v>
          </cell>
          <cell r="Z9">
            <v>0</v>
          </cell>
          <cell r="AA9">
            <v>48.01</v>
          </cell>
          <cell r="AB9">
            <v>44.78</v>
          </cell>
          <cell r="AC9">
            <v>26.98</v>
          </cell>
          <cell r="AD9">
            <v>0</v>
          </cell>
          <cell r="AE9">
            <v>71.760000000000005</v>
          </cell>
          <cell r="AF9">
            <v>25.46</v>
          </cell>
          <cell r="AG9">
            <v>15.82</v>
          </cell>
          <cell r="AH9">
            <v>0</v>
          </cell>
          <cell r="AI9">
            <v>41.28</v>
          </cell>
          <cell r="AJ9">
            <v>41.1</v>
          </cell>
          <cell r="AK9">
            <v>11.93</v>
          </cell>
          <cell r="AL9">
            <v>0</v>
          </cell>
          <cell r="AM9">
            <v>53.03</v>
          </cell>
          <cell r="AN9">
            <v>87.25</v>
          </cell>
          <cell r="AO9">
            <v>17.93</v>
          </cell>
          <cell r="AP9">
            <v>0</v>
          </cell>
          <cell r="AQ9">
            <v>105.18</v>
          </cell>
          <cell r="AR9">
            <v>3.62</v>
          </cell>
          <cell r="AS9">
            <v>46.62</v>
          </cell>
          <cell r="AT9">
            <v>34.22</v>
          </cell>
          <cell r="AU9">
            <v>84.46</v>
          </cell>
          <cell r="AV9">
            <v>32.299999999999997</v>
          </cell>
          <cell r="AW9">
            <v>63.89</v>
          </cell>
          <cell r="AX9">
            <v>0</v>
          </cell>
          <cell r="AY9">
            <v>96.19</v>
          </cell>
          <cell r="AZ9">
            <v>31.495999999999999</v>
          </cell>
          <cell r="BA9">
            <v>27.1</v>
          </cell>
          <cell r="BB9">
            <v>0</v>
          </cell>
          <cell r="BC9">
            <v>58.596000000000004</v>
          </cell>
          <cell r="BD9">
            <v>59.76</v>
          </cell>
          <cell r="BE9">
            <v>34.15</v>
          </cell>
          <cell r="BF9">
            <v>0</v>
          </cell>
          <cell r="BG9">
            <v>93.91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D5DA-AA32-4ECC-80AE-60101A979B78}">
  <sheetPr>
    <tabColor theme="1"/>
    <pageSetUpPr fitToPage="1"/>
  </sheetPr>
  <dimension ref="A1:W108"/>
  <sheetViews>
    <sheetView view="pageBreakPreview" topLeftCell="B80" zoomScale="133" zoomScaleNormal="130" zoomScaleSheetLayoutView="133" workbookViewId="0">
      <selection activeCell="G99" sqref="G99"/>
    </sheetView>
  </sheetViews>
  <sheetFormatPr defaultRowHeight="15" x14ac:dyDescent="0.25"/>
  <cols>
    <col min="1" max="1" width="0" hidden="1" customWidth="1"/>
    <col min="7" max="8" width="9.140625" style="2"/>
    <col min="14" max="14" width="9.140625" style="12"/>
    <col min="15" max="15" width="9.140625" customWidth="1"/>
    <col min="16" max="17" width="9.140625" hidden="1" customWidth="1"/>
    <col min="18" max="20" width="9.140625" style="12" hidden="1" customWidth="1"/>
    <col min="21" max="21" width="9.140625" hidden="1" customWidth="1"/>
    <col min="22" max="22" width="0" hidden="1" customWidth="1"/>
  </cols>
  <sheetData>
    <row r="1" spans="1:21" x14ac:dyDescent="0.25">
      <c r="A1">
        <v>1</v>
      </c>
      <c r="B1" s="1" t="s">
        <v>0</v>
      </c>
    </row>
    <row r="2" spans="1:21" x14ac:dyDescent="0.25">
      <c r="A2">
        <v>2</v>
      </c>
      <c r="B2" s="1" t="s">
        <v>32</v>
      </c>
    </row>
    <row r="3" spans="1:21" ht="15.75" thickBot="1" x14ac:dyDescent="0.3">
      <c r="A3">
        <v>3</v>
      </c>
      <c r="B3" s="1" t="s">
        <v>44</v>
      </c>
      <c r="C3" s="1"/>
    </row>
    <row r="4" spans="1:21" s="5" customFormat="1" ht="30.75" customHeight="1" x14ac:dyDescent="0.25">
      <c r="A4">
        <v>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4" t="s">
        <v>6</v>
      </c>
      <c r="H4" s="22" t="s">
        <v>7</v>
      </c>
      <c r="I4" s="24" t="s">
        <v>8</v>
      </c>
      <c r="J4" s="25" t="s">
        <v>9</v>
      </c>
      <c r="K4" s="25" t="s">
        <v>10</v>
      </c>
      <c r="L4" s="25" t="s">
        <v>11</v>
      </c>
      <c r="M4" s="25" t="s">
        <v>12</v>
      </c>
      <c r="N4" s="26" t="s">
        <v>13</v>
      </c>
      <c r="O4" s="18" t="s">
        <v>14</v>
      </c>
      <c r="P4" s="18" t="s">
        <v>15</v>
      </c>
      <c r="Q4" s="18" t="s">
        <v>16</v>
      </c>
      <c r="R4" s="18" t="s">
        <v>17</v>
      </c>
      <c r="S4" s="18" t="s">
        <v>18</v>
      </c>
      <c r="T4" s="18" t="s">
        <v>19</v>
      </c>
      <c r="U4" s="18" t="s">
        <v>20</v>
      </c>
    </row>
    <row r="5" spans="1:21" x14ac:dyDescent="0.25">
      <c r="A5">
        <v>5</v>
      </c>
      <c r="B5" s="142" t="s">
        <v>21</v>
      </c>
      <c r="C5" s="6">
        <v>1</v>
      </c>
      <c r="D5" s="6" t="s">
        <v>31</v>
      </c>
      <c r="E5" s="6">
        <v>11</v>
      </c>
      <c r="F5" s="6">
        <v>20</v>
      </c>
      <c r="G5" s="7">
        <v>1.67</v>
      </c>
      <c r="H5" s="23">
        <v>53.09</v>
      </c>
      <c r="I5" s="27">
        <f>U5*5%+1</f>
        <v>51.45</v>
      </c>
      <c r="J5" s="13">
        <f>U5*4%+1</f>
        <v>41.36</v>
      </c>
      <c r="K5" s="13">
        <f>U5*7%-1</f>
        <v>69.63000000000001</v>
      </c>
      <c r="L5" s="13">
        <f>U5*7%-1</f>
        <v>69.63000000000001</v>
      </c>
      <c r="M5" s="13">
        <f>U5*7%-1</f>
        <v>69.63000000000001</v>
      </c>
      <c r="N5" s="28">
        <f>U5*7%-1</f>
        <v>69.63000000000001</v>
      </c>
      <c r="O5" s="19">
        <f>U5*8%</f>
        <v>80.72</v>
      </c>
      <c r="P5" s="19">
        <f>U5*10%</f>
        <v>100.9</v>
      </c>
      <c r="Q5" s="19">
        <f>U5*10%</f>
        <v>100.9</v>
      </c>
      <c r="R5" s="19">
        <f>U5*14%+1</f>
        <v>142.26000000000002</v>
      </c>
      <c r="S5" s="19">
        <f>U5*11%</f>
        <v>110.99</v>
      </c>
      <c r="T5" s="19">
        <f>U5*10%</f>
        <v>100.9</v>
      </c>
      <c r="U5" s="19">
        <v>1009</v>
      </c>
    </row>
    <row r="6" spans="1:21" x14ac:dyDescent="0.25">
      <c r="A6">
        <v>6</v>
      </c>
      <c r="B6" s="144"/>
      <c r="C6" s="6">
        <v>2</v>
      </c>
      <c r="D6" s="6" t="s">
        <v>31</v>
      </c>
      <c r="E6" s="6">
        <v>11</v>
      </c>
      <c r="F6" s="6">
        <v>20</v>
      </c>
      <c r="G6" s="7">
        <v>1.67</v>
      </c>
      <c r="H6" s="23">
        <v>60.27</v>
      </c>
      <c r="I6" s="27">
        <f>U6*5%-1</f>
        <v>56.550000000000004</v>
      </c>
      <c r="J6" s="13">
        <f>U6*4%</f>
        <v>46.04</v>
      </c>
      <c r="K6" s="13">
        <f t="shared" ref="K6:K11" si="0">U6*7%</f>
        <v>80.570000000000007</v>
      </c>
      <c r="L6" s="13">
        <f t="shared" ref="L6:L11" si="1">U6*7%</f>
        <v>80.570000000000007</v>
      </c>
      <c r="M6" s="13">
        <f t="shared" ref="M6:M11" si="2">U6*7%</f>
        <v>80.570000000000007</v>
      </c>
      <c r="N6" s="28">
        <f t="shared" ref="N6:N11" si="3">U6*7%</f>
        <v>80.570000000000007</v>
      </c>
      <c r="O6" s="19">
        <f t="shared" ref="O6:O15" si="4">U6*8%</f>
        <v>92.08</v>
      </c>
      <c r="P6" s="19">
        <f t="shared" ref="P6:P16" si="5">U6*10%</f>
        <v>115.10000000000001</v>
      </c>
      <c r="Q6" s="19">
        <f t="shared" ref="Q6:Q16" si="6">U6*10%</f>
        <v>115.10000000000001</v>
      </c>
      <c r="R6" s="19">
        <f t="shared" ref="R6:R15" si="7">U6*14%</f>
        <v>161.14000000000001</v>
      </c>
      <c r="S6" s="19">
        <f>U6*11%-1</f>
        <v>125.61</v>
      </c>
      <c r="T6" s="19">
        <f t="shared" ref="T6:T16" si="8">U6*10%</f>
        <v>115.10000000000001</v>
      </c>
      <c r="U6" s="19">
        <v>1151</v>
      </c>
    </row>
    <row r="7" spans="1:21" x14ac:dyDescent="0.25">
      <c r="A7">
        <v>7</v>
      </c>
      <c r="B7" s="144"/>
      <c r="C7" s="6">
        <v>3</v>
      </c>
      <c r="D7" s="6" t="s">
        <v>31</v>
      </c>
      <c r="E7" s="6">
        <v>11</v>
      </c>
      <c r="F7" s="6">
        <v>20</v>
      </c>
      <c r="G7" s="7">
        <v>1.67</v>
      </c>
      <c r="H7" s="23">
        <v>69.040000000000006</v>
      </c>
      <c r="I7" s="27">
        <f>U7*5%</f>
        <v>65.600000000000009</v>
      </c>
      <c r="J7" s="13">
        <f>U7*4%</f>
        <v>52.480000000000004</v>
      </c>
      <c r="K7" s="13">
        <f t="shared" si="0"/>
        <v>91.84</v>
      </c>
      <c r="L7" s="13">
        <f t="shared" si="1"/>
        <v>91.84</v>
      </c>
      <c r="M7" s="13">
        <f t="shared" si="2"/>
        <v>91.84</v>
      </c>
      <c r="N7" s="28">
        <f t="shared" si="3"/>
        <v>91.84</v>
      </c>
      <c r="O7" s="19">
        <f t="shared" si="4"/>
        <v>104.96000000000001</v>
      </c>
      <c r="P7" s="19">
        <f t="shared" si="5"/>
        <v>131.20000000000002</v>
      </c>
      <c r="Q7" s="19">
        <f t="shared" si="6"/>
        <v>131.20000000000002</v>
      </c>
      <c r="R7" s="19">
        <f t="shared" si="7"/>
        <v>183.68</v>
      </c>
      <c r="S7" s="19">
        <f t="shared" ref="S7:S16" si="9">U7*11%</f>
        <v>144.32</v>
      </c>
      <c r="T7" s="19">
        <f t="shared" si="8"/>
        <v>131.20000000000002</v>
      </c>
      <c r="U7" s="19">
        <v>1312</v>
      </c>
    </row>
    <row r="8" spans="1:21" x14ac:dyDescent="0.25">
      <c r="A8">
        <v>8</v>
      </c>
      <c r="B8" s="144"/>
      <c r="C8" s="6">
        <v>4</v>
      </c>
      <c r="D8" s="6" t="s">
        <v>31</v>
      </c>
      <c r="E8" s="6">
        <v>11</v>
      </c>
      <c r="F8" s="6">
        <v>20</v>
      </c>
      <c r="G8" s="7">
        <v>1.67</v>
      </c>
      <c r="H8" s="23">
        <v>70.510000000000005</v>
      </c>
      <c r="I8" s="27">
        <f>U8*5%+1</f>
        <v>68.05</v>
      </c>
      <c r="J8" s="13">
        <f>U8*4%-1</f>
        <v>52.64</v>
      </c>
      <c r="K8" s="13">
        <f t="shared" si="0"/>
        <v>93.87</v>
      </c>
      <c r="L8" s="13">
        <f t="shared" si="1"/>
        <v>93.87</v>
      </c>
      <c r="M8" s="13">
        <f t="shared" si="2"/>
        <v>93.87</v>
      </c>
      <c r="N8" s="28">
        <f t="shared" si="3"/>
        <v>93.87</v>
      </c>
      <c r="O8" s="19">
        <f t="shared" si="4"/>
        <v>107.28</v>
      </c>
      <c r="P8" s="19">
        <f t="shared" si="5"/>
        <v>134.1</v>
      </c>
      <c r="Q8" s="19">
        <f t="shared" si="6"/>
        <v>134.1</v>
      </c>
      <c r="R8" s="19">
        <f t="shared" si="7"/>
        <v>187.74</v>
      </c>
      <c r="S8" s="19">
        <f>U8*11%-1</f>
        <v>146.51</v>
      </c>
      <c r="T8" s="19">
        <f t="shared" si="8"/>
        <v>134.1</v>
      </c>
      <c r="U8" s="19">
        <v>1341</v>
      </c>
    </row>
    <row r="9" spans="1:21" x14ac:dyDescent="0.25">
      <c r="A9">
        <v>9</v>
      </c>
      <c r="B9" s="144"/>
      <c r="C9" s="6">
        <v>5</v>
      </c>
      <c r="D9" s="6" t="s">
        <v>31</v>
      </c>
      <c r="E9" s="6">
        <v>11</v>
      </c>
      <c r="F9" s="6">
        <v>20</v>
      </c>
      <c r="G9" s="7">
        <v>1.67</v>
      </c>
      <c r="H9" s="23">
        <v>50.4</v>
      </c>
      <c r="I9" s="27">
        <f>U9*5%</f>
        <v>47.900000000000006</v>
      </c>
      <c r="J9" s="13">
        <f>U9*4%</f>
        <v>38.32</v>
      </c>
      <c r="K9" s="13">
        <f t="shared" si="0"/>
        <v>67.06</v>
      </c>
      <c r="L9" s="13">
        <f t="shared" si="1"/>
        <v>67.06</v>
      </c>
      <c r="M9" s="13">
        <f t="shared" si="2"/>
        <v>67.06</v>
      </c>
      <c r="N9" s="28">
        <f t="shared" si="3"/>
        <v>67.06</v>
      </c>
      <c r="O9" s="19">
        <f t="shared" si="4"/>
        <v>76.64</v>
      </c>
      <c r="P9" s="19">
        <f t="shared" si="5"/>
        <v>95.800000000000011</v>
      </c>
      <c r="Q9" s="19">
        <f t="shared" si="6"/>
        <v>95.800000000000011</v>
      </c>
      <c r="R9" s="19">
        <f t="shared" si="7"/>
        <v>134.12</v>
      </c>
      <c r="S9" s="19">
        <f t="shared" si="9"/>
        <v>105.38</v>
      </c>
      <c r="T9" s="19">
        <f t="shared" si="8"/>
        <v>95.800000000000011</v>
      </c>
      <c r="U9" s="19">
        <v>958</v>
      </c>
    </row>
    <row r="10" spans="1:21" x14ac:dyDescent="0.25">
      <c r="A10">
        <v>10</v>
      </c>
      <c r="B10" s="144"/>
      <c r="C10" s="6">
        <v>6</v>
      </c>
      <c r="D10" s="6" t="s">
        <v>31</v>
      </c>
      <c r="E10" s="6">
        <v>11</v>
      </c>
      <c r="F10" s="6">
        <v>20</v>
      </c>
      <c r="G10" s="7">
        <v>1.67</v>
      </c>
      <c r="H10" s="23">
        <v>58.6</v>
      </c>
      <c r="I10" s="27">
        <f>U10*5%</f>
        <v>55.7</v>
      </c>
      <c r="J10" s="13">
        <f>U10*4%</f>
        <v>44.56</v>
      </c>
      <c r="K10" s="13">
        <f t="shared" si="0"/>
        <v>77.98</v>
      </c>
      <c r="L10" s="13">
        <f t="shared" si="1"/>
        <v>77.98</v>
      </c>
      <c r="M10" s="13">
        <f t="shared" si="2"/>
        <v>77.98</v>
      </c>
      <c r="N10" s="28">
        <f t="shared" si="3"/>
        <v>77.98</v>
      </c>
      <c r="O10" s="19">
        <f t="shared" si="4"/>
        <v>89.12</v>
      </c>
      <c r="P10" s="19">
        <f t="shared" si="5"/>
        <v>111.4</v>
      </c>
      <c r="Q10" s="19">
        <f t="shared" si="6"/>
        <v>111.4</v>
      </c>
      <c r="R10" s="19">
        <f t="shared" si="7"/>
        <v>155.96</v>
      </c>
      <c r="S10" s="19">
        <f t="shared" si="9"/>
        <v>122.54</v>
      </c>
      <c r="T10" s="19">
        <f t="shared" si="8"/>
        <v>111.4</v>
      </c>
      <c r="U10" s="19">
        <v>1114</v>
      </c>
    </row>
    <row r="11" spans="1:21" x14ac:dyDescent="0.25">
      <c r="A11">
        <v>11</v>
      </c>
      <c r="B11" s="144"/>
      <c r="C11" s="6">
        <v>7</v>
      </c>
      <c r="D11" s="6" t="s">
        <v>31</v>
      </c>
      <c r="E11" s="6">
        <v>11</v>
      </c>
      <c r="F11" s="6">
        <v>17</v>
      </c>
      <c r="G11" s="7">
        <v>1.42</v>
      </c>
      <c r="H11" s="23">
        <v>23.6</v>
      </c>
      <c r="I11" s="27">
        <f>U11*5%</f>
        <v>19.05</v>
      </c>
      <c r="J11" s="13">
        <f>U11*4%</f>
        <v>15.24</v>
      </c>
      <c r="K11" s="13">
        <f t="shared" si="0"/>
        <v>26.67</v>
      </c>
      <c r="L11" s="13">
        <f t="shared" si="1"/>
        <v>26.67</v>
      </c>
      <c r="M11" s="13">
        <f t="shared" si="2"/>
        <v>26.67</v>
      </c>
      <c r="N11" s="28">
        <f t="shared" si="3"/>
        <v>26.67</v>
      </c>
      <c r="O11" s="19">
        <f t="shared" si="4"/>
        <v>30.48</v>
      </c>
      <c r="P11" s="19">
        <f t="shared" si="5"/>
        <v>38.1</v>
      </c>
      <c r="Q11" s="19">
        <f t="shared" si="6"/>
        <v>38.1</v>
      </c>
      <c r="R11" s="19">
        <f t="shared" si="7"/>
        <v>53.34</v>
      </c>
      <c r="S11" s="19">
        <f t="shared" si="9"/>
        <v>41.910000000000004</v>
      </c>
      <c r="T11" s="19">
        <f t="shared" si="8"/>
        <v>38.1</v>
      </c>
      <c r="U11" s="19">
        <v>381</v>
      </c>
    </row>
    <row r="12" spans="1:21" x14ac:dyDescent="0.25">
      <c r="A12">
        <v>12</v>
      </c>
      <c r="B12" s="144"/>
      <c r="C12" s="6">
        <v>8</v>
      </c>
      <c r="D12" s="6" t="s">
        <v>31</v>
      </c>
      <c r="E12" s="6">
        <v>11</v>
      </c>
      <c r="F12" s="6">
        <v>20</v>
      </c>
      <c r="G12" s="7">
        <v>1.67</v>
      </c>
      <c r="H12" s="23">
        <v>61.6</v>
      </c>
      <c r="I12" s="27">
        <f>U12*5%+1</f>
        <v>58.75</v>
      </c>
      <c r="J12" s="13">
        <f>U12*4%+1</f>
        <v>47.2</v>
      </c>
      <c r="K12" s="13">
        <f>U12*7%-3</f>
        <v>77.850000000000009</v>
      </c>
      <c r="L12" s="13">
        <f>U12*7%-3</f>
        <v>77.850000000000009</v>
      </c>
      <c r="M12" s="13">
        <f>U12*7%-3</f>
        <v>77.850000000000009</v>
      </c>
      <c r="N12" s="28">
        <f>U12*7%-3</f>
        <v>77.850000000000009</v>
      </c>
      <c r="O12" s="19">
        <f>U12*8%+2</f>
        <v>94.4</v>
      </c>
      <c r="P12" s="19">
        <f>U12*10%+1</f>
        <v>116.5</v>
      </c>
      <c r="Q12" s="19">
        <f>U12*10%+1</f>
        <v>116.5</v>
      </c>
      <c r="R12" s="19">
        <f>U12*14%+1</f>
        <v>162.70000000000002</v>
      </c>
      <c r="S12" s="19">
        <f>U12*11%+2</f>
        <v>129.05000000000001</v>
      </c>
      <c r="T12" s="19">
        <f>U12*10%+1</f>
        <v>116.5</v>
      </c>
      <c r="U12" s="19">
        <v>1155</v>
      </c>
    </row>
    <row r="13" spans="1:21" x14ac:dyDescent="0.25">
      <c r="A13">
        <v>13</v>
      </c>
      <c r="B13" s="144"/>
      <c r="C13" s="6">
        <v>9</v>
      </c>
      <c r="D13" s="6" t="s">
        <v>31</v>
      </c>
      <c r="E13" s="6">
        <v>11</v>
      </c>
      <c r="F13" s="6">
        <v>18</v>
      </c>
      <c r="G13" s="7">
        <v>1.5</v>
      </c>
      <c r="H13" s="23">
        <v>38.299999999999997</v>
      </c>
      <c r="I13" s="27">
        <f>U13*5%</f>
        <v>32.9</v>
      </c>
      <c r="J13" s="13">
        <f>U13*4%+1</f>
        <v>27.32</v>
      </c>
      <c r="K13" s="13">
        <f>U13*7%</f>
        <v>46.06</v>
      </c>
      <c r="L13" s="13">
        <f>U13*7%</f>
        <v>46.06</v>
      </c>
      <c r="M13" s="13">
        <f>U13*7%</f>
        <v>46.06</v>
      </c>
      <c r="N13" s="28">
        <f>U13*7%</f>
        <v>46.06</v>
      </c>
      <c r="O13" s="19">
        <f>U13*8%-1</f>
        <v>51.64</v>
      </c>
      <c r="P13" s="19">
        <f t="shared" si="5"/>
        <v>65.8</v>
      </c>
      <c r="Q13" s="19">
        <f t="shared" si="6"/>
        <v>65.8</v>
      </c>
      <c r="R13" s="19">
        <f t="shared" si="7"/>
        <v>92.12</v>
      </c>
      <c r="S13" s="19">
        <f t="shared" si="9"/>
        <v>72.38</v>
      </c>
      <c r="T13" s="19">
        <f t="shared" si="8"/>
        <v>65.8</v>
      </c>
      <c r="U13" s="19">
        <v>658</v>
      </c>
    </row>
    <row r="14" spans="1:21" x14ac:dyDescent="0.25">
      <c r="A14">
        <v>14</v>
      </c>
      <c r="B14" s="144"/>
      <c r="C14" s="6">
        <v>11</v>
      </c>
      <c r="D14" s="6" t="s">
        <v>33</v>
      </c>
      <c r="E14" s="6">
        <v>10.5</v>
      </c>
      <c r="F14" s="6">
        <v>19</v>
      </c>
      <c r="G14" s="7">
        <v>1.58</v>
      </c>
      <c r="H14" s="23">
        <v>44.5</v>
      </c>
      <c r="I14" s="27">
        <f>U14*5%</f>
        <v>40.200000000000003</v>
      </c>
      <c r="J14" s="13">
        <f>U14*4%</f>
        <v>32.160000000000004</v>
      </c>
      <c r="K14" s="13">
        <f>U14*7%</f>
        <v>56.280000000000008</v>
      </c>
      <c r="L14" s="13">
        <f>U14*7%</f>
        <v>56.280000000000008</v>
      </c>
      <c r="M14" s="13">
        <f>U14*7%</f>
        <v>56.280000000000008</v>
      </c>
      <c r="N14" s="28">
        <f>U14*7%</f>
        <v>56.280000000000008</v>
      </c>
      <c r="O14" s="19">
        <f>U14*8%+1</f>
        <v>65.320000000000007</v>
      </c>
      <c r="P14" s="19">
        <f>U14*10%+1</f>
        <v>81.400000000000006</v>
      </c>
      <c r="Q14" s="19">
        <f>U14*10%+1</f>
        <v>81.400000000000006</v>
      </c>
      <c r="R14" s="19">
        <f>U14*14%-1</f>
        <v>111.56000000000002</v>
      </c>
      <c r="S14" s="19">
        <f t="shared" si="9"/>
        <v>88.44</v>
      </c>
      <c r="T14" s="19">
        <f>U14*10%+1</f>
        <v>81.400000000000006</v>
      </c>
      <c r="U14" s="19">
        <v>804</v>
      </c>
    </row>
    <row r="15" spans="1:21" x14ac:dyDescent="0.25">
      <c r="A15">
        <v>15</v>
      </c>
      <c r="B15" s="144"/>
      <c r="C15" s="6">
        <v>12</v>
      </c>
      <c r="D15" s="6" t="s">
        <v>34</v>
      </c>
      <c r="E15" s="6">
        <v>10</v>
      </c>
      <c r="F15" s="6">
        <v>20</v>
      </c>
      <c r="G15" s="7">
        <v>1.67</v>
      </c>
      <c r="H15" s="23">
        <v>71</v>
      </c>
      <c r="I15" s="27">
        <f>U15*5%+1</f>
        <v>68.400000000000006</v>
      </c>
      <c r="J15" s="13">
        <f>U15*4%</f>
        <v>53.92</v>
      </c>
      <c r="K15" s="13">
        <f>U15*7%</f>
        <v>94.360000000000014</v>
      </c>
      <c r="L15" s="13">
        <f>U15*7%</f>
        <v>94.360000000000014</v>
      </c>
      <c r="M15" s="13">
        <f>U15*7%</f>
        <v>94.360000000000014</v>
      </c>
      <c r="N15" s="28">
        <f>U15*7%</f>
        <v>94.360000000000014</v>
      </c>
      <c r="O15" s="19">
        <f t="shared" si="4"/>
        <v>107.84</v>
      </c>
      <c r="P15" s="19">
        <f t="shared" si="5"/>
        <v>134.80000000000001</v>
      </c>
      <c r="Q15" s="19">
        <f t="shared" si="6"/>
        <v>134.80000000000001</v>
      </c>
      <c r="R15" s="19">
        <f t="shared" si="7"/>
        <v>188.72000000000003</v>
      </c>
      <c r="S15" s="19">
        <f t="shared" si="9"/>
        <v>148.28</v>
      </c>
      <c r="T15" s="19">
        <f t="shared" si="8"/>
        <v>134.80000000000001</v>
      </c>
      <c r="U15" s="19">
        <v>1348</v>
      </c>
    </row>
    <row r="16" spans="1:21" ht="15.75" thickBot="1" x14ac:dyDescent="0.3">
      <c r="A16">
        <v>16</v>
      </c>
      <c r="B16" s="143"/>
      <c r="C16" s="6">
        <v>23</v>
      </c>
      <c r="D16" s="6" t="s">
        <v>34</v>
      </c>
      <c r="E16" s="6">
        <v>10</v>
      </c>
      <c r="F16" s="6">
        <v>21</v>
      </c>
      <c r="G16" s="7">
        <v>1.75</v>
      </c>
      <c r="H16" s="23">
        <v>14.6</v>
      </c>
      <c r="I16" s="29">
        <f>U16*5%</f>
        <v>14.450000000000001</v>
      </c>
      <c r="J16" s="30">
        <f>U16*4%-1</f>
        <v>10.56</v>
      </c>
      <c r="K16" s="30">
        <f>U16*7%</f>
        <v>20.23</v>
      </c>
      <c r="L16" s="30">
        <f>U16*7%</f>
        <v>20.23</v>
      </c>
      <c r="M16" s="30">
        <f>U16*7%</f>
        <v>20.23</v>
      </c>
      <c r="N16" s="31">
        <f>U16*7%</f>
        <v>20.23</v>
      </c>
      <c r="O16" s="19">
        <f>U16*8%+1</f>
        <v>24.12</v>
      </c>
      <c r="P16" s="19">
        <f t="shared" si="5"/>
        <v>28.900000000000002</v>
      </c>
      <c r="Q16" s="19">
        <f t="shared" si="6"/>
        <v>28.900000000000002</v>
      </c>
      <c r="R16" s="19">
        <f>U16*14%+1</f>
        <v>41.46</v>
      </c>
      <c r="S16" s="19">
        <f t="shared" si="9"/>
        <v>31.79</v>
      </c>
      <c r="T16" s="19">
        <f t="shared" si="8"/>
        <v>28.900000000000002</v>
      </c>
      <c r="U16" s="19">
        <v>289</v>
      </c>
    </row>
    <row r="17" spans="1:21" s="1" customFormat="1" x14ac:dyDescent="0.25">
      <c r="A17">
        <v>17</v>
      </c>
      <c r="G17" s="11" t="s">
        <v>42</v>
      </c>
      <c r="H17" s="8">
        <f>SUBTOTAL(9,H5:H16)</f>
        <v>615.5100000000001</v>
      </c>
      <c r="I17" s="15">
        <f>SUBTOTAL(9,I5:I16)</f>
        <v>579.00000000000011</v>
      </c>
      <c r="J17" s="15">
        <f>SUBTOTAL(9,J5:J16)-1</f>
        <v>460.8</v>
      </c>
      <c r="K17" s="15">
        <f>SUBTOTAL(9,K5:K16)+1</f>
        <v>803.4</v>
      </c>
      <c r="L17" s="15">
        <f>SUBTOTAL(9,L5:L16)+1</f>
        <v>803.4</v>
      </c>
      <c r="M17" s="15">
        <f>SUBTOTAL(9,M5:M16)+1</f>
        <v>803.4</v>
      </c>
      <c r="N17" s="15">
        <f>SUBTOTAL(9,N5:N16)+1</f>
        <v>803.4</v>
      </c>
      <c r="O17" s="20">
        <f>SUBTOTAL(9,O5:O16)-1</f>
        <v>923.6</v>
      </c>
      <c r="P17" s="20">
        <f t="shared" ref="P17:T17" si="10">SUBTOTAL(9,P5:P16)</f>
        <v>1154.0000000000002</v>
      </c>
      <c r="Q17" s="20">
        <f t="shared" si="10"/>
        <v>1154.0000000000002</v>
      </c>
      <c r="R17" s="20">
        <f t="shared" si="10"/>
        <v>1614.8</v>
      </c>
      <c r="S17" s="20">
        <f t="shared" si="10"/>
        <v>1267.1999999999998</v>
      </c>
      <c r="T17" s="20">
        <f t="shared" si="10"/>
        <v>1154.0000000000002</v>
      </c>
      <c r="U17" s="20">
        <f>SUBTOTAL(9,U5:U16)</f>
        <v>11520</v>
      </c>
    </row>
    <row r="18" spans="1:21" ht="15.75" thickBot="1" x14ac:dyDescent="0.3">
      <c r="A18">
        <v>18</v>
      </c>
      <c r="O18" s="21"/>
      <c r="P18" s="21"/>
      <c r="Q18" s="21"/>
      <c r="R18" s="21"/>
      <c r="S18" s="21"/>
      <c r="T18" s="21"/>
      <c r="U18" s="21"/>
    </row>
    <row r="19" spans="1:21" s="5" customFormat="1" ht="30.75" customHeight="1" x14ac:dyDescent="0.25">
      <c r="A19">
        <v>19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4" t="s">
        <v>6</v>
      </c>
      <c r="H19" s="22" t="s">
        <v>7</v>
      </c>
      <c r="I19" s="24" t="s">
        <v>8</v>
      </c>
      <c r="J19" s="25" t="s">
        <v>9</v>
      </c>
      <c r="K19" s="25" t="s">
        <v>10</v>
      </c>
      <c r="L19" s="25" t="s">
        <v>11</v>
      </c>
      <c r="M19" s="25" t="s">
        <v>12</v>
      </c>
      <c r="N19" s="26" t="s">
        <v>13</v>
      </c>
      <c r="O19" s="18" t="s">
        <v>14</v>
      </c>
      <c r="P19" s="18" t="s">
        <v>15</v>
      </c>
      <c r="Q19" s="18" t="s">
        <v>16</v>
      </c>
      <c r="R19" s="18" t="s">
        <v>17</v>
      </c>
      <c r="S19" s="18" t="s">
        <v>18</v>
      </c>
      <c r="T19" s="18" t="s">
        <v>19</v>
      </c>
      <c r="U19" s="18" t="s">
        <v>20</v>
      </c>
    </row>
    <row r="20" spans="1:21" x14ac:dyDescent="0.25">
      <c r="A20">
        <v>20</v>
      </c>
      <c r="B20" s="142" t="s">
        <v>22</v>
      </c>
      <c r="C20" s="6">
        <v>10</v>
      </c>
      <c r="D20" s="6" t="s">
        <v>35</v>
      </c>
      <c r="E20" s="6">
        <v>9.5</v>
      </c>
      <c r="F20" s="6">
        <v>19</v>
      </c>
      <c r="G20" s="7">
        <v>1.58</v>
      </c>
      <c r="H20" s="23">
        <v>19.100000000000001</v>
      </c>
      <c r="I20" s="27">
        <f t="shared" ref="I20:I26" si="11">U20*5%</f>
        <v>17.150000000000002</v>
      </c>
      <c r="J20" s="13">
        <f t="shared" ref="J20:J26" si="12">U20*4%</f>
        <v>13.72</v>
      </c>
      <c r="K20" s="13">
        <f>U20*7%</f>
        <v>24.01</v>
      </c>
      <c r="L20" s="13">
        <f>U20*7%</f>
        <v>24.01</v>
      </c>
      <c r="M20" s="13">
        <f>U20*7%</f>
        <v>24.01</v>
      </c>
      <c r="N20" s="28">
        <f>U20*7%</f>
        <v>24.01</v>
      </c>
      <c r="O20" s="19">
        <f>U20*8%+1</f>
        <v>28.44</v>
      </c>
      <c r="P20" s="19">
        <f>U20*10%</f>
        <v>34.300000000000004</v>
      </c>
      <c r="Q20" s="19">
        <f>U20*10%</f>
        <v>34.300000000000004</v>
      </c>
      <c r="R20" s="19">
        <f>U20*14%</f>
        <v>48.02</v>
      </c>
      <c r="S20" s="19">
        <f>U20*11%</f>
        <v>37.729999999999997</v>
      </c>
      <c r="T20" s="19">
        <f>U20*10%</f>
        <v>34.300000000000004</v>
      </c>
      <c r="U20" s="19">
        <v>343</v>
      </c>
    </row>
    <row r="21" spans="1:21" x14ac:dyDescent="0.25">
      <c r="A21">
        <v>21</v>
      </c>
      <c r="B21" s="144"/>
      <c r="C21" s="6">
        <v>13</v>
      </c>
      <c r="D21" s="6" t="s">
        <v>36</v>
      </c>
      <c r="E21" s="6">
        <v>10</v>
      </c>
      <c r="F21" s="6">
        <v>22</v>
      </c>
      <c r="G21" s="7">
        <v>1.83</v>
      </c>
      <c r="H21" s="23">
        <v>60.8</v>
      </c>
      <c r="I21" s="27">
        <f t="shared" si="11"/>
        <v>63.6</v>
      </c>
      <c r="J21" s="13">
        <f t="shared" si="12"/>
        <v>50.88</v>
      </c>
      <c r="K21" s="13">
        <f>U21*7%</f>
        <v>89.04</v>
      </c>
      <c r="L21" s="13">
        <f>U21*7%</f>
        <v>89.04</v>
      </c>
      <c r="M21" s="13">
        <f>U21*7%</f>
        <v>89.04</v>
      </c>
      <c r="N21" s="28">
        <f>U21*7%</f>
        <v>89.04</v>
      </c>
      <c r="O21" s="19">
        <f>U21*8%</f>
        <v>101.76</v>
      </c>
      <c r="P21" s="19">
        <f t="shared" ref="P21:P26" si="13">U21*10%</f>
        <v>127.2</v>
      </c>
      <c r="Q21" s="19">
        <f t="shared" ref="Q21:Q26" si="14">U21*10%</f>
        <v>127.2</v>
      </c>
      <c r="R21" s="19">
        <f t="shared" ref="R21:R25" si="15">U21*14%</f>
        <v>178.08</v>
      </c>
      <c r="S21" s="19">
        <f t="shared" ref="S21:S26" si="16">U21*11%</f>
        <v>139.91999999999999</v>
      </c>
      <c r="T21" s="19">
        <f t="shared" ref="T21:T26" si="17">U21*10%</f>
        <v>127.2</v>
      </c>
      <c r="U21" s="19">
        <v>1272</v>
      </c>
    </row>
    <row r="22" spans="1:21" x14ac:dyDescent="0.25">
      <c r="A22">
        <v>22</v>
      </c>
      <c r="B22" s="144"/>
      <c r="C22" s="6">
        <v>14</v>
      </c>
      <c r="D22" s="6" t="s">
        <v>36</v>
      </c>
      <c r="E22" s="6">
        <v>10</v>
      </c>
      <c r="F22" s="6">
        <v>21</v>
      </c>
      <c r="G22" s="7">
        <v>1.75</v>
      </c>
      <c r="H22" s="23">
        <v>41.6</v>
      </c>
      <c r="I22" s="27">
        <f t="shared" si="11"/>
        <v>41.5</v>
      </c>
      <c r="J22" s="13">
        <f t="shared" si="12"/>
        <v>33.200000000000003</v>
      </c>
      <c r="K22" s="13">
        <f>U22*7%</f>
        <v>58.100000000000009</v>
      </c>
      <c r="L22" s="13">
        <f>U22*7%</f>
        <v>58.100000000000009</v>
      </c>
      <c r="M22" s="13">
        <f>U22*7%</f>
        <v>58.100000000000009</v>
      </c>
      <c r="N22" s="28">
        <f>U22*7%</f>
        <v>58.100000000000009</v>
      </c>
      <c r="O22" s="19">
        <f>U22*8%+1</f>
        <v>67.400000000000006</v>
      </c>
      <c r="P22" s="19">
        <f t="shared" si="13"/>
        <v>83</v>
      </c>
      <c r="Q22" s="19">
        <f t="shared" si="14"/>
        <v>83</v>
      </c>
      <c r="R22" s="19">
        <f t="shared" si="15"/>
        <v>116.20000000000002</v>
      </c>
      <c r="S22" s="19">
        <f t="shared" si="16"/>
        <v>91.3</v>
      </c>
      <c r="T22" s="19">
        <f t="shared" si="17"/>
        <v>83</v>
      </c>
      <c r="U22" s="19">
        <v>830</v>
      </c>
    </row>
    <row r="23" spans="1:21" x14ac:dyDescent="0.25">
      <c r="A23">
        <v>23</v>
      </c>
      <c r="B23" s="144"/>
      <c r="C23" s="6">
        <v>15</v>
      </c>
      <c r="D23" s="6" t="s">
        <v>36</v>
      </c>
      <c r="E23" s="6">
        <v>10</v>
      </c>
      <c r="F23" s="6">
        <v>20</v>
      </c>
      <c r="G23" s="7">
        <v>1.67</v>
      </c>
      <c r="H23" s="23">
        <v>49.17</v>
      </c>
      <c r="I23" s="27">
        <f t="shared" si="11"/>
        <v>46.95</v>
      </c>
      <c r="J23" s="13">
        <f t="shared" si="12"/>
        <v>37.56</v>
      </c>
      <c r="K23" s="13">
        <f>U23*7%</f>
        <v>65.73</v>
      </c>
      <c r="L23" s="13">
        <f>U23*7%</f>
        <v>65.73</v>
      </c>
      <c r="M23" s="13">
        <f>U23*7%</f>
        <v>65.73</v>
      </c>
      <c r="N23" s="28">
        <f>U23*7%</f>
        <v>65.73</v>
      </c>
      <c r="O23" s="19">
        <f t="shared" ref="O23:O26" si="18">U23*8%</f>
        <v>75.12</v>
      </c>
      <c r="P23" s="19">
        <f t="shared" si="13"/>
        <v>93.9</v>
      </c>
      <c r="Q23" s="19">
        <f t="shared" si="14"/>
        <v>93.9</v>
      </c>
      <c r="R23" s="19">
        <f t="shared" si="15"/>
        <v>131.46</v>
      </c>
      <c r="S23" s="19">
        <f t="shared" si="16"/>
        <v>103.29</v>
      </c>
      <c r="T23" s="19">
        <f t="shared" si="17"/>
        <v>93.9</v>
      </c>
      <c r="U23" s="19">
        <v>939</v>
      </c>
    </row>
    <row r="24" spans="1:21" x14ac:dyDescent="0.25">
      <c r="A24">
        <v>24</v>
      </c>
      <c r="B24" s="144"/>
      <c r="C24" s="6">
        <v>16</v>
      </c>
      <c r="D24" s="6" t="s">
        <v>36</v>
      </c>
      <c r="E24" s="6">
        <v>9.5</v>
      </c>
      <c r="F24" s="6">
        <v>20</v>
      </c>
      <c r="G24" s="7">
        <v>1.67</v>
      </c>
      <c r="H24" s="23">
        <v>52.61</v>
      </c>
      <c r="I24" s="27">
        <f t="shared" si="11"/>
        <v>50.400000000000006</v>
      </c>
      <c r="J24" s="13">
        <f t="shared" si="12"/>
        <v>40.32</v>
      </c>
      <c r="K24" s="13">
        <f>U24*7%-1</f>
        <v>69.56</v>
      </c>
      <c r="L24" s="13">
        <f>U24*7%-1</f>
        <v>69.56</v>
      </c>
      <c r="M24" s="13">
        <f>U24*7%-1</f>
        <v>69.56</v>
      </c>
      <c r="N24" s="28">
        <f>U24*7%-1</f>
        <v>69.56</v>
      </c>
      <c r="O24" s="19">
        <f>U24*8%-1</f>
        <v>79.64</v>
      </c>
      <c r="P24" s="19">
        <f t="shared" si="13"/>
        <v>100.80000000000001</v>
      </c>
      <c r="Q24" s="19">
        <f t="shared" si="14"/>
        <v>100.80000000000001</v>
      </c>
      <c r="R24" s="19">
        <f>U24*14%+1</f>
        <v>142.12</v>
      </c>
      <c r="S24" s="19">
        <f t="shared" si="16"/>
        <v>110.88</v>
      </c>
      <c r="T24" s="19">
        <f t="shared" si="17"/>
        <v>100.80000000000001</v>
      </c>
      <c r="U24" s="19">
        <v>1008</v>
      </c>
    </row>
    <row r="25" spans="1:21" x14ac:dyDescent="0.25">
      <c r="A25">
        <v>25</v>
      </c>
      <c r="B25" s="144"/>
      <c r="C25" s="6">
        <v>17</v>
      </c>
      <c r="D25" s="6" t="s">
        <v>35</v>
      </c>
      <c r="E25" s="6">
        <v>9.5</v>
      </c>
      <c r="F25" s="6">
        <v>22</v>
      </c>
      <c r="G25" s="7">
        <v>1.83</v>
      </c>
      <c r="H25" s="23">
        <v>45.58</v>
      </c>
      <c r="I25" s="27">
        <f t="shared" si="11"/>
        <v>47.85</v>
      </c>
      <c r="J25" s="13">
        <f t="shared" si="12"/>
        <v>38.28</v>
      </c>
      <c r="K25" s="13">
        <f>U25*7%</f>
        <v>66.990000000000009</v>
      </c>
      <c r="L25" s="13">
        <f>U25*7%</f>
        <v>66.990000000000009</v>
      </c>
      <c r="M25" s="13">
        <f>U25*7%</f>
        <v>66.990000000000009</v>
      </c>
      <c r="N25" s="28">
        <f>U25*7%</f>
        <v>66.990000000000009</v>
      </c>
      <c r="O25" s="19">
        <f>U25*8%-1</f>
        <v>75.56</v>
      </c>
      <c r="P25" s="19">
        <f t="shared" si="13"/>
        <v>95.7</v>
      </c>
      <c r="Q25" s="19">
        <f t="shared" si="14"/>
        <v>95.7</v>
      </c>
      <c r="R25" s="19">
        <f t="shared" si="15"/>
        <v>133.98000000000002</v>
      </c>
      <c r="S25" s="19">
        <f t="shared" si="16"/>
        <v>105.27</v>
      </c>
      <c r="T25" s="19">
        <f t="shared" si="17"/>
        <v>95.7</v>
      </c>
      <c r="U25" s="19">
        <v>957</v>
      </c>
    </row>
    <row r="26" spans="1:21" ht="15.75" thickBot="1" x14ac:dyDescent="0.3">
      <c r="A26">
        <v>26</v>
      </c>
      <c r="B26" s="143"/>
      <c r="C26" s="6">
        <v>18</v>
      </c>
      <c r="D26" s="6" t="s">
        <v>35</v>
      </c>
      <c r="E26" s="6">
        <v>9.5</v>
      </c>
      <c r="F26" s="6">
        <v>22</v>
      </c>
      <c r="G26" s="7">
        <v>1.83</v>
      </c>
      <c r="H26" s="23">
        <v>40.799999999999997</v>
      </c>
      <c r="I26" s="29">
        <f t="shared" si="11"/>
        <v>42.800000000000004</v>
      </c>
      <c r="J26" s="30">
        <f t="shared" si="12"/>
        <v>34.24</v>
      </c>
      <c r="K26" s="30">
        <f>U26*7%</f>
        <v>59.920000000000009</v>
      </c>
      <c r="L26" s="30">
        <f>U26*7%</f>
        <v>59.920000000000009</v>
      </c>
      <c r="M26" s="30">
        <f>U26*7%</f>
        <v>59.920000000000009</v>
      </c>
      <c r="N26" s="31">
        <f>U26*7%</f>
        <v>59.920000000000009</v>
      </c>
      <c r="O26" s="19">
        <f t="shared" si="18"/>
        <v>68.48</v>
      </c>
      <c r="P26" s="19">
        <f t="shared" si="13"/>
        <v>85.600000000000009</v>
      </c>
      <c r="Q26" s="19">
        <f t="shared" si="14"/>
        <v>85.600000000000009</v>
      </c>
      <c r="R26" s="19">
        <f>U26*14%-1</f>
        <v>118.84000000000002</v>
      </c>
      <c r="S26" s="19">
        <f t="shared" si="16"/>
        <v>94.16</v>
      </c>
      <c r="T26" s="19">
        <f t="shared" si="17"/>
        <v>85.600000000000009</v>
      </c>
      <c r="U26" s="19">
        <v>856</v>
      </c>
    </row>
    <row r="27" spans="1:21" s="1" customFormat="1" x14ac:dyDescent="0.25">
      <c r="A27">
        <v>27</v>
      </c>
      <c r="G27" s="11" t="s">
        <v>42</v>
      </c>
      <c r="H27" s="8">
        <f>SUBTOTAL(9,H20:H26)</f>
        <v>309.66000000000003</v>
      </c>
      <c r="I27" s="15">
        <f>SUBTOTAL(9,I20:I26)+1</f>
        <v>311.25</v>
      </c>
      <c r="J27" s="15">
        <f>SUBTOTAL(9,J20:J26)</f>
        <v>248.20000000000002</v>
      </c>
      <c r="K27" s="15">
        <f>SUBTOTAL(9,K20:K26)+1</f>
        <v>434.35000000000008</v>
      </c>
      <c r="L27" s="15">
        <f>SUBTOTAL(9,L20:L26)+1</f>
        <v>434.35000000000008</v>
      </c>
      <c r="M27" s="15">
        <f>SUBTOTAL(9,M20:M26)+1</f>
        <v>434.35000000000008</v>
      </c>
      <c r="N27" s="15">
        <f>SUBTOTAL(9,N20:N26)+1</f>
        <v>434.35000000000008</v>
      </c>
      <c r="O27" s="20">
        <f>SUBTOTAL(9,O20:O26)</f>
        <v>496.40000000000003</v>
      </c>
      <c r="P27" s="20">
        <f>SUBTOTAL(9,P20:P26)</f>
        <v>620.5</v>
      </c>
      <c r="Q27" s="20">
        <f>SUBTOTAL(9,Q20:Q26)</f>
        <v>620.5</v>
      </c>
      <c r="R27" s="20">
        <f>SUBTOTAL(9,R20:R26)-1</f>
        <v>867.70000000000016</v>
      </c>
      <c r="S27" s="20">
        <f>SUBTOTAL(9,S20:S26)-1</f>
        <v>681.55</v>
      </c>
      <c r="T27" s="20">
        <f>SUBTOTAL(9,T20:T26)</f>
        <v>620.5</v>
      </c>
      <c r="U27" s="20">
        <f>SUBTOTAL(9,U20:U26)-1</f>
        <v>6204</v>
      </c>
    </row>
    <row r="28" spans="1:21" ht="15.75" thickBot="1" x14ac:dyDescent="0.3">
      <c r="A28">
        <v>28</v>
      </c>
      <c r="B28" s="1" t="s">
        <v>44</v>
      </c>
      <c r="O28" s="21"/>
      <c r="P28" s="21"/>
      <c r="Q28" s="21"/>
      <c r="R28" s="21"/>
      <c r="S28" s="21"/>
      <c r="T28" s="21"/>
      <c r="U28" s="21"/>
    </row>
    <row r="29" spans="1:21" s="5" customFormat="1" ht="30.75" customHeight="1" x14ac:dyDescent="0.25">
      <c r="A29">
        <v>29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4" t="s">
        <v>6</v>
      </c>
      <c r="H29" s="22" t="s">
        <v>7</v>
      </c>
      <c r="I29" s="24" t="s">
        <v>8</v>
      </c>
      <c r="J29" s="25" t="s">
        <v>9</v>
      </c>
      <c r="K29" s="25" t="s">
        <v>10</v>
      </c>
      <c r="L29" s="25" t="s">
        <v>11</v>
      </c>
      <c r="M29" s="25" t="s">
        <v>12</v>
      </c>
      <c r="N29" s="26" t="s">
        <v>13</v>
      </c>
      <c r="O29" s="18" t="s">
        <v>14</v>
      </c>
      <c r="P29" s="18" t="s">
        <v>15</v>
      </c>
      <c r="Q29" s="18" t="s">
        <v>16</v>
      </c>
      <c r="R29" s="18" t="s">
        <v>17</v>
      </c>
      <c r="S29" s="18" t="s">
        <v>18</v>
      </c>
      <c r="T29" s="18" t="s">
        <v>19</v>
      </c>
      <c r="U29" s="18" t="s">
        <v>20</v>
      </c>
    </row>
    <row r="30" spans="1:21" x14ac:dyDescent="0.25">
      <c r="A30">
        <v>30</v>
      </c>
      <c r="B30" s="142" t="s">
        <v>23</v>
      </c>
      <c r="C30" s="6">
        <v>19</v>
      </c>
      <c r="D30" s="6" t="s">
        <v>35</v>
      </c>
      <c r="E30" s="6">
        <v>9.5</v>
      </c>
      <c r="F30" s="6">
        <v>21</v>
      </c>
      <c r="G30" s="7">
        <v>1.75</v>
      </c>
      <c r="H30" s="23">
        <v>50.6</v>
      </c>
      <c r="I30" s="27">
        <f>U30*5%</f>
        <v>50.400000000000006</v>
      </c>
      <c r="J30" s="13">
        <f>U30*4%+1</f>
        <v>41.32</v>
      </c>
      <c r="K30" s="13">
        <f>U30*7%-1</f>
        <v>69.56</v>
      </c>
      <c r="L30" s="13">
        <f>U30*7%-1</f>
        <v>69.56</v>
      </c>
      <c r="M30" s="13">
        <f>U30*7%-1</f>
        <v>69.56</v>
      </c>
      <c r="N30" s="28">
        <f>U30*7%-1</f>
        <v>69.56</v>
      </c>
      <c r="O30" s="19">
        <f>U30*8%</f>
        <v>80.64</v>
      </c>
      <c r="P30" s="19">
        <f>U30*10%</f>
        <v>100.80000000000001</v>
      </c>
      <c r="Q30" s="19">
        <f>U30*10%</f>
        <v>100.80000000000001</v>
      </c>
      <c r="R30" s="19">
        <f>U30*14%+1</f>
        <v>142.12</v>
      </c>
      <c r="S30" s="19">
        <f>U30*11%</f>
        <v>110.88</v>
      </c>
      <c r="T30" s="19">
        <f>U30*10%</f>
        <v>100.80000000000001</v>
      </c>
      <c r="U30" s="19">
        <v>1008</v>
      </c>
    </row>
    <row r="31" spans="1:21" x14ac:dyDescent="0.25">
      <c r="A31">
        <v>31</v>
      </c>
      <c r="B31" s="144"/>
      <c r="C31" s="6">
        <v>20</v>
      </c>
      <c r="D31" s="6" t="s">
        <v>37</v>
      </c>
      <c r="E31" s="6">
        <v>9</v>
      </c>
      <c r="F31" s="6">
        <v>21</v>
      </c>
      <c r="G31" s="7">
        <v>1.75</v>
      </c>
      <c r="H31" s="23">
        <v>61.98</v>
      </c>
      <c r="I31" s="27">
        <f>U31*5%</f>
        <v>61.800000000000004</v>
      </c>
      <c r="J31" s="13">
        <f>U31*4%</f>
        <v>49.44</v>
      </c>
      <c r="K31" s="13">
        <f>U31*7%-1</f>
        <v>85.52000000000001</v>
      </c>
      <c r="L31" s="13">
        <f>U31*7%-1</f>
        <v>85.52000000000001</v>
      </c>
      <c r="M31" s="13">
        <f>U31*7%-1</f>
        <v>85.52000000000001</v>
      </c>
      <c r="N31" s="28">
        <f>U31*7%-1</f>
        <v>85.52000000000001</v>
      </c>
      <c r="O31" s="19">
        <f t="shared" ref="O31:O34" si="19">U31*8%</f>
        <v>98.88</v>
      </c>
      <c r="P31" s="19">
        <f t="shared" ref="P31:P34" si="20">U31*10%</f>
        <v>123.60000000000001</v>
      </c>
      <c r="Q31" s="19">
        <f t="shared" ref="Q31:Q34" si="21">U31*10%</f>
        <v>123.60000000000001</v>
      </c>
      <c r="R31" s="19">
        <f>U31*14%+1</f>
        <v>174.04000000000002</v>
      </c>
      <c r="S31" s="19">
        <f t="shared" ref="S31:S33" si="22">U31*11%</f>
        <v>135.96</v>
      </c>
      <c r="T31" s="19">
        <f t="shared" ref="T31:T34" si="23">U31*10%</f>
        <v>123.60000000000001</v>
      </c>
      <c r="U31" s="19">
        <v>1236</v>
      </c>
    </row>
    <row r="32" spans="1:21" x14ac:dyDescent="0.25">
      <c r="A32">
        <v>32</v>
      </c>
      <c r="B32" s="144"/>
      <c r="C32" s="6">
        <v>21</v>
      </c>
      <c r="D32" s="6" t="s">
        <v>37</v>
      </c>
      <c r="E32" s="6">
        <v>9</v>
      </c>
      <c r="F32" s="6">
        <v>23</v>
      </c>
      <c r="G32" s="7">
        <v>1.92</v>
      </c>
      <c r="H32" s="23">
        <v>71.59</v>
      </c>
      <c r="I32" s="27">
        <f>U32*5%</f>
        <v>78.800000000000011</v>
      </c>
      <c r="J32" s="13">
        <f>U32*4%</f>
        <v>63.04</v>
      </c>
      <c r="K32" s="13">
        <f>U32*7%</f>
        <v>110.32000000000001</v>
      </c>
      <c r="L32" s="13">
        <f>U32*7%</f>
        <v>110.32000000000001</v>
      </c>
      <c r="M32" s="13">
        <f>U32*7%</f>
        <v>110.32000000000001</v>
      </c>
      <c r="N32" s="28">
        <f>U32*7%</f>
        <v>110.32000000000001</v>
      </c>
      <c r="O32" s="19">
        <f t="shared" si="19"/>
        <v>126.08</v>
      </c>
      <c r="P32" s="19">
        <f t="shared" si="20"/>
        <v>157.60000000000002</v>
      </c>
      <c r="Q32" s="19">
        <f t="shared" si="21"/>
        <v>157.60000000000002</v>
      </c>
      <c r="R32" s="19">
        <f>U32*14%-1</f>
        <v>219.64000000000001</v>
      </c>
      <c r="S32" s="19">
        <f>U32*11%+1</f>
        <v>174.36</v>
      </c>
      <c r="T32" s="19">
        <f t="shared" si="23"/>
        <v>157.60000000000002</v>
      </c>
      <c r="U32" s="19">
        <v>1576</v>
      </c>
    </row>
    <row r="33" spans="1:22" x14ac:dyDescent="0.25">
      <c r="A33">
        <v>33</v>
      </c>
      <c r="B33" s="144"/>
      <c r="C33" s="6">
        <v>22</v>
      </c>
      <c r="D33" s="6" t="s">
        <v>37</v>
      </c>
      <c r="E33" s="6">
        <v>9</v>
      </c>
      <c r="F33" s="6">
        <v>21</v>
      </c>
      <c r="G33" s="7">
        <v>1.75</v>
      </c>
      <c r="H33" s="23">
        <v>52.08</v>
      </c>
      <c r="I33" s="27">
        <f>U33*5%</f>
        <v>52.300000000000004</v>
      </c>
      <c r="J33" s="13">
        <f>U33*4%</f>
        <v>41.84</v>
      </c>
      <c r="K33" s="13">
        <f>U33*7%</f>
        <v>73.220000000000013</v>
      </c>
      <c r="L33" s="13">
        <f>U33*7%</f>
        <v>73.220000000000013</v>
      </c>
      <c r="M33" s="13">
        <f>U33*7%</f>
        <v>73.220000000000013</v>
      </c>
      <c r="N33" s="28">
        <f>U33*7%</f>
        <v>73.220000000000013</v>
      </c>
      <c r="O33" s="19">
        <f t="shared" si="19"/>
        <v>83.68</v>
      </c>
      <c r="P33" s="19">
        <f t="shared" si="20"/>
        <v>104.60000000000001</v>
      </c>
      <c r="Q33" s="19">
        <f t="shared" si="21"/>
        <v>104.60000000000001</v>
      </c>
      <c r="R33" s="19">
        <f t="shared" ref="R33:R34" si="24">U33*14%</f>
        <v>146.44000000000003</v>
      </c>
      <c r="S33" s="19">
        <f t="shared" si="22"/>
        <v>115.06</v>
      </c>
      <c r="T33" s="19">
        <f t="shared" si="23"/>
        <v>104.60000000000001</v>
      </c>
      <c r="U33" s="19">
        <v>1046</v>
      </c>
    </row>
    <row r="34" spans="1:22" ht="15.75" thickBot="1" x14ac:dyDescent="0.3">
      <c r="A34">
        <v>34</v>
      </c>
      <c r="B34" s="143"/>
      <c r="C34" s="6">
        <v>24</v>
      </c>
      <c r="D34" s="6" t="s">
        <v>37</v>
      </c>
      <c r="E34" s="6">
        <v>9</v>
      </c>
      <c r="F34" s="6">
        <v>18</v>
      </c>
      <c r="G34" s="7">
        <v>1.5</v>
      </c>
      <c r="H34" s="23">
        <v>44.67</v>
      </c>
      <c r="I34" s="29">
        <f>U34*5%</f>
        <v>38.050000000000004</v>
      </c>
      <c r="J34" s="30">
        <f>U34*4%</f>
        <v>30.44</v>
      </c>
      <c r="K34" s="30">
        <f>U34*7%</f>
        <v>53.27</v>
      </c>
      <c r="L34" s="30">
        <f>U34*7%</f>
        <v>53.27</v>
      </c>
      <c r="M34" s="30">
        <f>U34*7%</f>
        <v>53.27</v>
      </c>
      <c r="N34" s="31">
        <f>U34*7%</f>
        <v>53.27</v>
      </c>
      <c r="O34" s="19">
        <f t="shared" si="19"/>
        <v>60.88</v>
      </c>
      <c r="P34" s="19">
        <f t="shared" si="20"/>
        <v>76.100000000000009</v>
      </c>
      <c r="Q34" s="19">
        <f t="shared" si="21"/>
        <v>76.100000000000009</v>
      </c>
      <c r="R34" s="19">
        <f t="shared" si="24"/>
        <v>106.54</v>
      </c>
      <c r="S34" s="19">
        <f>U34*11%+1</f>
        <v>84.71</v>
      </c>
      <c r="T34" s="19">
        <f t="shared" si="23"/>
        <v>76.100000000000009</v>
      </c>
      <c r="U34" s="19">
        <v>761</v>
      </c>
    </row>
    <row r="35" spans="1:22" s="1" customFormat="1" x14ac:dyDescent="0.25">
      <c r="A35">
        <v>35</v>
      </c>
      <c r="G35" s="11" t="s">
        <v>42</v>
      </c>
      <c r="H35" s="8">
        <f>SUBTOTAL(9,H30:H34)</f>
        <v>280.92</v>
      </c>
      <c r="I35" s="15">
        <f>SUBTOTAL(9,I30:I34)</f>
        <v>281.35000000000002</v>
      </c>
      <c r="J35" s="15">
        <f>SUBTOTAL(9,J30:J34)-1</f>
        <v>225.07999999999998</v>
      </c>
      <c r="K35" s="15">
        <f t="shared" ref="K35:S35" si="25">SUBTOTAL(9,K30:K34)</f>
        <v>391.89000000000004</v>
      </c>
      <c r="L35" s="15">
        <f t="shared" si="25"/>
        <v>391.89000000000004</v>
      </c>
      <c r="M35" s="15">
        <f t="shared" si="25"/>
        <v>391.89000000000004</v>
      </c>
      <c r="N35" s="16">
        <f t="shared" si="25"/>
        <v>391.89000000000004</v>
      </c>
      <c r="O35" s="20">
        <f>SUBTOTAL(9,O30:O34)+1</f>
        <v>451.15999999999997</v>
      </c>
      <c r="P35" s="20">
        <f>SUBTOTAL(9,P30:P34)+1</f>
        <v>563.70000000000005</v>
      </c>
      <c r="Q35" s="20">
        <f>SUBTOTAL(9,Q30:Q34)+1</f>
        <v>563.70000000000005</v>
      </c>
      <c r="R35" s="20">
        <f t="shared" si="25"/>
        <v>788.78000000000009</v>
      </c>
      <c r="S35" s="20">
        <f t="shared" si="25"/>
        <v>620.97</v>
      </c>
      <c r="T35" s="20">
        <f>SUBTOTAL(9,T30:T34)+1</f>
        <v>563.70000000000005</v>
      </c>
      <c r="U35" s="20">
        <f>SUBTOTAL(9,U27:U34)</f>
        <v>5627</v>
      </c>
      <c r="V35"/>
    </row>
    <row r="36" spans="1:22" ht="15.75" thickBot="1" x14ac:dyDescent="0.3">
      <c r="A36">
        <v>39</v>
      </c>
      <c r="O36" s="21"/>
      <c r="P36" s="21"/>
      <c r="Q36" s="21"/>
      <c r="R36" s="21"/>
      <c r="S36" s="21"/>
      <c r="T36" s="21"/>
      <c r="U36" s="21"/>
    </row>
    <row r="37" spans="1:22" s="5" customFormat="1" ht="30.75" customHeight="1" x14ac:dyDescent="0.25">
      <c r="A37">
        <v>40</v>
      </c>
      <c r="B37" s="3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4" t="s">
        <v>6</v>
      </c>
      <c r="H37" s="22" t="s">
        <v>7</v>
      </c>
      <c r="I37" s="24" t="s">
        <v>8</v>
      </c>
      <c r="J37" s="25" t="s">
        <v>9</v>
      </c>
      <c r="K37" s="25" t="s">
        <v>10</v>
      </c>
      <c r="L37" s="25" t="s">
        <v>11</v>
      </c>
      <c r="M37" s="25" t="s">
        <v>12</v>
      </c>
      <c r="N37" s="26" t="s">
        <v>13</v>
      </c>
      <c r="O37" s="18" t="s">
        <v>14</v>
      </c>
      <c r="P37" s="18" t="s">
        <v>15</v>
      </c>
      <c r="Q37" s="18" t="s">
        <v>16</v>
      </c>
      <c r="R37" s="18" t="s">
        <v>17</v>
      </c>
      <c r="S37" s="18" t="s">
        <v>18</v>
      </c>
      <c r="T37" s="18" t="s">
        <v>19</v>
      </c>
      <c r="U37" s="18" t="s">
        <v>20</v>
      </c>
    </row>
    <row r="38" spans="1:22" x14ac:dyDescent="0.25">
      <c r="A38">
        <v>41</v>
      </c>
      <c r="B38" s="142" t="s">
        <v>24</v>
      </c>
      <c r="C38" s="9">
        <v>25</v>
      </c>
      <c r="D38" s="6" t="s">
        <v>38</v>
      </c>
      <c r="E38" s="6">
        <v>2</v>
      </c>
      <c r="F38" s="6">
        <v>4</v>
      </c>
      <c r="G38" s="7"/>
      <c r="H38" s="23">
        <v>38.200000000000003</v>
      </c>
      <c r="I38" s="27">
        <f>U38*5%-1</f>
        <v>6.5500000000000007</v>
      </c>
      <c r="J38" s="13">
        <f>U38*4%-1</f>
        <v>5.04</v>
      </c>
      <c r="K38" s="13">
        <f>U38*7%</f>
        <v>10.57</v>
      </c>
      <c r="L38" s="13">
        <f>U38*7%</f>
        <v>10.57</v>
      </c>
      <c r="M38" s="13">
        <f>U38*7%</f>
        <v>10.57</v>
      </c>
      <c r="N38" s="28">
        <f>U38*7%</f>
        <v>10.57</v>
      </c>
      <c r="O38" s="19">
        <f>U38*8%</f>
        <v>12.08</v>
      </c>
      <c r="P38" s="19">
        <f>U38*10%</f>
        <v>15.100000000000001</v>
      </c>
      <c r="Q38" s="19">
        <f>U38*10%</f>
        <v>15.100000000000001</v>
      </c>
      <c r="R38" s="19">
        <f>U38*14%</f>
        <v>21.14</v>
      </c>
      <c r="S38" s="19">
        <f>U38*11%</f>
        <v>16.61</v>
      </c>
      <c r="T38" s="19">
        <f>U38*10%</f>
        <v>15.100000000000001</v>
      </c>
      <c r="U38" s="19">
        <v>151</v>
      </c>
    </row>
    <row r="39" spans="1:22" ht="15.75" thickBot="1" x14ac:dyDescent="0.3">
      <c r="A39">
        <v>42</v>
      </c>
      <c r="B39" s="144"/>
      <c r="C39" s="9" t="s">
        <v>25</v>
      </c>
      <c r="D39" s="6" t="s">
        <v>38</v>
      </c>
      <c r="E39" s="6">
        <v>2</v>
      </c>
      <c r="F39" s="6">
        <v>6</v>
      </c>
      <c r="G39" s="7"/>
      <c r="H39" s="23">
        <v>22.7</v>
      </c>
      <c r="I39" s="29">
        <f>U39*5%-2</f>
        <v>4.6500000000000004</v>
      </c>
      <c r="J39" s="30">
        <f>U39*4%-1</f>
        <v>4.32</v>
      </c>
      <c r="K39" s="30">
        <f>U39*7%+1</f>
        <v>10.31</v>
      </c>
      <c r="L39" s="30">
        <f>U39*7%+1</f>
        <v>10.31</v>
      </c>
      <c r="M39" s="30">
        <f>U39*7%+1</f>
        <v>10.31</v>
      </c>
      <c r="N39" s="31">
        <f>U39*7%+1</f>
        <v>10.31</v>
      </c>
      <c r="O39" s="19">
        <f>U39*8%</f>
        <v>10.64</v>
      </c>
      <c r="P39" s="19">
        <f>U39*10%+1</f>
        <v>14.3</v>
      </c>
      <c r="Q39" s="19">
        <f>U39*10%+1</f>
        <v>14.3</v>
      </c>
      <c r="R39" s="19">
        <f>U39*14%</f>
        <v>18.62</v>
      </c>
      <c r="S39" s="19">
        <f>U39*11%</f>
        <v>14.63</v>
      </c>
      <c r="T39" s="19">
        <f>U39*10%+1</f>
        <v>14.3</v>
      </c>
      <c r="U39" s="19">
        <v>133</v>
      </c>
    </row>
    <row r="40" spans="1:22" ht="15.75" hidden="1" thickBot="1" x14ac:dyDescent="0.3">
      <c r="A40">
        <v>43</v>
      </c>
      <c r="B40" s="144"/>
      <c r="C40" s="10" t="s">
        <v>26</v>
      </c>
      <c r="D40" s="134" t="s">
        <v>27</v>
      </c>
      <c r="E40" s="135"/>
      <c r="F40" s="135"/>
      <c r="G40" s="135"/>
      <c r="H40" s="135"/>
      <c r="I40" s="135"/>
      <c r="J40" s="135"/>
      <c r="K40" s="135"/>
      <c r="L40" s="135"/>
      <c r="M40" s="135"/>
      <c r="N40" s="136"/>
      <c r="O40" s="21"/>
      <c r="P40" s="21"/>
      <c r="Q40" s="21"/>
      <c r="R40" s="21"/>
      <c r="S40" s="21"/>
      <c r="T40" s="21"/>
      <c r="U40" s="21"/>
    </row>
    <row r="41" spans="1:22" x14ac:dyDescent="0.25">
      <c r="A41">
        <v>44</v>
      </c>
      <c r="B41" s="144"/>
      <c r="C41" s="9">
        <v>27</v>
      </c>
      <c r="D41" s="6" t="s">
        <v>38</v>
      </c>
      <c r="E41" s="6">
        <v>2</v>
      </c>
      <c r="F41" s="6">
        <v>6</v>
      </c>
      <c r="G41" s="7"/>
      <c r="H41" s="23">
        <v>14.3</v>
      </c>
      <c r="I41" s="32">
        <f>U41*5%</f>
        <v>4.25</v>
      </c>
      <c r="J41" s="33">
        <f>U41*4%</f>
        <v>3.4</v>
      </c>
      <c r="K41" s="33">
        <f>U41*7%</f>
        <v>5.95</v>
      </c>
      <c r="L41" s="33">
        <f>U41*7%</f>
        <v>5.95</v>
      </c>
      <c r="M41" s="33">
        <f>U41*7%</f>
        <v>5.95</v>
      </c>
      <c r="N41" s="34">
        <f>U41*7%</f>
        <v>5.95</v>
      </c>
      <c r="O41" s="19">
        <f t="shared" ref="O41:O45" si="26">U41*8%</f>
        <v>6.8</v>
      </c>
      <c r="P41" s="19">
        <f t="shared" ref="P41:P45" si="27">U41*10%</f>
        <v>8.5</v>
      </c>
      <c r="Q41" s="19">
        <f t="shared" ref="Q41:Q45" si="28">U41*10%</f>
        <v>8.5</v>
      </c>
      <c r="R41" s="19">
        <f t="shared" ref="R41:R45" si="29">U41*14%</f>
        <v>11.9</v>
      </c>
      <c r="S41" s="19">
        <f t="shared" ref="S41:S45" si="30">U41*11%</f>
        <v>9.35</v>
      </c>
      <c r="T41" s="19">
        <f t="shared" ref="T41:T45" si="31">U41*10%</f>
        <v>8.5</v>
      </c>
      <c r="U41" s="19">
        <v>85</v>
      </c>
    </row>
    <row r="42" spans="1:22" x14ac:dyDescent="0.25">
      <c r="A42">
        <v>45</v>
      </c>
      <c r="B42" s="144"/>
      <c r="C42" s="9">
        <v>28</v>
      </c>
      <c r="D42" s="6" t="s">
        <v>39</v>
      </c>
      <c r="E42" s="6">
        <v>3</v>
      </c>
      <c r="F42" s="6">
        <v>12</v>
      </c>
      <c r="G42" s="7"/>
      <c r="H42" s="23">
        <v>21.9</v>
      </c>
      <c r="I42" s="27">
        <f>U42*5%</f>
        <v>13.100000000000001</v>
      </c>
      <c r="J42" s="13">
        <f>U42*4%</f>
        <v>10.48</v>
      </c>
      <c r="K42" s="13">
        <f>U42*7%</f>
        <v>18.340000000000003</v>
      </c>
      <c r="L42" s="13">
        <f>U42*7%</f>
        <v>18.340000000000003</v>
      </c>
      <c r="M42" s="13">
        <f>U42*7%</f>
        <v>18.340000000000003</v>
      </c>
      <c r="N42" s="28">
        <f>U42*7%</f>
        <v>18.340000000000003</v>
      </c>
      <c r="O42" s="19">
        <f t="shared" si="26"/>
        <v>20.96</v>
      </c>
      <c r="P42" s="19">
        <f t="shared" si="27"/>
        <v>26.200000000000003</v>
      </c>
      <c r="Q42" s="19">
        <f t="shared" si="28"/>
        <v>26.200000000000003</v>
      </c>
      <c r="R42" s="19">
        <f t="shared" si="29"/>
        <v>36.680000000000007</v>
      </c>
      <c r="S42" s="19">
        <f t="shared" si="30"/>
        <v>28.82</v>
      </c>
      <c r="T42" s="19">
        <f t="shared" si="31"/>
        <v>26.200000000000003</v>
      </c>
      <c r="U42" s="19">
        <v>262</v>
      </c>
    </row>
    <row r="43" spans="1:22" x14ac:dyDescent="0.25">
      <c r="A43">
        <v>46</v>
      </c>
      <c r="B43" s="144"/>
      <c r="C43" s="9">
        <v>29</v>
      </c>
      <c r="D43" s="6" t="s">
        <v>40</v>
      </c>
      <c r="E43" s="6" t="s">
        <v>28</v>
      </c>
      <c r="F43" s="6">
        <v>4</v>
      </c>
      <c r="G43" s="7"/>
      <c r="H43" s="23">
        <v>19.2</v>
      </c>
      <c r="I43" s="27">
        <f>U43*5%-1</f>
        <v>2.8000000000000003</v>
      </c>
      <c r="J43" s="13">
        <f>U43*4%</f>
        <v>3.04</v>
      </c>
      <c r="K43" s="13">
        <f>U43*7%</f>
        <v>5.32</v>
      </c>
      <c r="L43" s="13">
        <f>U43*7%</f>
        <v>5.32</v>
      </c>
      <c r="M43" s="13">
        <f>U43*7%</f>
        <v>5.32</v>
      </c>
      <c r="N43" s="28">
        <f>U43*7%</f>
        <v>5.32</v>
      </c>
      <c r="O43" s="19">
        <f t="shared" si="26"/>
        <v>6.08</v>
      </c>
      <c r="P43" s="19">
        <f t="shared" si="27"/>
        <v>7.6000000000000005</v>
      </c>
      <c r="Q43" s="19">
        <f t="shared" si="28"/>
        <v>7.6000000000000005</v>
      </c>
      <c r="R43" s="19">
        <f t="shared" si="29"/>
        <v>10.64</v>
      </c>
      <c r="S43" s="19">
        <f t="shared" si="30"/>
        <v>8.36</v>
      </c>
      <c r="T43" s="19">
        <f t="shared" si="31"/>
        <v>7.6000000000000005</v>
      </c>
      <c r="U43" s="19">
        <v>76</v>
      </c>
    </row>
    <row r="44" spans="1:22" x14ac:dyDescent="0.25">
      <c r="A44">
        <v>47</v>
      </c>
      <c r="B44" s="144"/>
      <c r="C44" s="9">
        <v>30</v>
      </c>
      <c r="D44" s="6" t="s">
        <v>40</v>
      </c>
      <c r="E44" s="6" t="s">
        <v>28</v>
      </c>
      <c r="F44" s="6">
        <v>4</v>
      </c>
      <c r="G44" s="7"/>
      <c r="H44" s="23">
        <v>24.3</v>
      </c>
      <c r="I44" s="27">
        <f>U44*5%-1</f>
        <v>3.75</v>
      </c>
      <c r="J44" s="13">
        <f>U44*4%-1</f>
        <v>2.8000000000000003</v>
      </c>
      <c r="K44" s="13">
        <f>U44*7%</f>
        <v>6.65</v>
      </c>
      <c r="L44" s="13">
        <f>U44*7%</f>
        <v>6.65</v>
      </c>
      <c r="M44" s="13">
        <f>U44*7%</f>
        <v>6.65</v>
      </c>
      <c r="N44" s="28">
        <f>U44*7%</f>
        <v>6.65</v>
      </c>
      <c r="O44" s="19">
        <f t="shared" si="26"/>
        <v>7.6000000000000005</v>
      </c>
      <c r="P44" s="19">
        <f t="shared" si="27"/>
        <v>9.5</v>
      </c>
      <c r="Q44" s="19">
        <f t="shared" si="28"/>
        <v>9.5</v>
      </c>
      <c r="R44" s="19">
        <f>U44*14%+1</f>
        <v>14.3</v>
      </c>
      <c r="S44" s="19">
        <f>U44*11%+1</f>
        <v>11.45</v>
      </c>
      <c r="T44" s="19">
        <f t="shared" si="31"/>
        <v>9.5</v>
      </c>
      <c r="U44" s="19">
        <v>95</v>
      </c>
    </row>
    <row r="45" spans="1:22" ht="15.75" thickBot="1" x14ac:dyDescent="0.3">
      <c r="A45">
        <v>48</v>
      </c>
      <c r="B45" s="144"/>
      <c r="C45" s="9">
        <v>31</v>
      </c>
      <c r="D45" s="6" t="s">
        <v>40</v>
      </c>
      <c r="E45" s="6" t="s">
        <v>28</v>
      </c>
      <c r="F45" s="6">
        <v>4</v>
      </c>
      <c r="G45" s="7"/>
      <c r="H45" s="23">
        <v>34</v>
      </c>
      <c r="I45" s="29">
        <f>U45*5%-1</f>
        <v>5.75</v>
      </c>
      <c r="J45" s="30">
        <f>U45*4%</f>
        <v>5.4</v>
      </c>
      <c r="K45" s="30">
        <f>U45*7%+1</f>
        <v>10.450000000000001</v>
      </c>
      <c r="L45" s="30">
        <f>U45*7%+1</f>
        <v>10.450000000000001</v>
      </c>
      <c r="M45" s="30">
        <f>U45*7%+1</f>
        <v>10.450000000000001</v>
      </c>
      <c r="N45" s="31">
        <f>U45*7%+1</f>
        <v>10.450000000000001</v>
      </c>
      <c r="O45" s="19">
        <f t="shared" si="26"/>
        <v>10.8</v>
      </c>
      <c r="P45" s="19">
        <f t="shared" si="27"/>
        <v>13.5</v>
      </c>
      <c r="Q45" s="19">
        <f t="shared" si="28"/>
        <v>13.5</v>
      </c>
      <c r="R45" s="19">
        <f t="shared" si="29"/>
        <v>18.900000000000002</v>
      </c>
      <c r="S45" s="19">
        <f t="shared" si="30"/>
        <v>14.85</v>
      </c>
      <c r="T45" s="19">
        <f t="shared" si="31"/>
        <v>13.5</v>
      </c>
      <c r="U45" s="19">
        <v>135</v>
      </c>
    </row>
    <row r="46" spans="1:22" hidden="1" x14ac:dyDescent="0.25">
      <c r="A46">
        <v>49</v>
      </c>
      <c r="B46" s="143"/>
      <c r="C46" s="10">
        <v>32</v>
      </c>
      <c r="D46" s="131" t="s">
        <v>29</v>
      </c>
      <c r="E46" s="132"/>
      <c r="F46" s="132"/>
      <c r="G46" s="132"/>
      <c r="H46" s="132"/>
      <c r="I46" s="132"/>
      <c r="J46" s="132"/>
      <c r="K46" s="132"/>
      <c r="L46" s="132"/>
      <c r="M46" s="132"/>
      <c r="N46" s="133"/>
      <c r="O46" s="21"/>
      <c r="P46" s="21"/>
      <c r="Q46" s="21"/>
      <c r="R46" s="21"/>
      <c r="S46" s="21"/>
      <c r="T46" s="21"/>
      <c r="U46" s="21"/>
    </row>
    <row r="47" spans="1:22" s="1" customFormat="1" x14ac:dyDescent="0.25">
      <c r="A47">
        <v>50</v>
      </c>
      <c r="G47" s="11" t="s">
        <v>42</v>
      </c>
      <c r="H47" s="8">
        <f>SUBTOTAL(9,H38:H46)</f>
        <v>174.6</v>
      </c>
      <c r="I47" s="15">
        <f>SUBTOTAL(9,I38:I46)+1</f>
        <v>41.850000000000009</v>
      </c>
      <c r="J47" s="15">
        <f>SUBTOTAL(9,J38:J46)</f>
        <v>34.480000000000004</v>
      </c>
      <c r="K47" s="15">
        <f>SUBTOTAL(9,K38:K46)-2</f>
        <v>65.59</v>
      </c>
      <c r="L47" s="15">
        <f>SUBTOTAL(9,L38:L46)-2</f>
        <v>65.59</v>
      </c>
      <c r="M47" s="15">
        <f>SUBTOTAL(9,M38:M46)-2</f>
        <v>65.59</v>
      </c>
      <c r="N47" s="15">
        <f>SUBTOTAL(9,N38:N46)-2</f>
        <v>65.59</v>
      </c>
      <c r="O47" s="20">
        <f>SUBTOTAL(9,O38:O46)+1</f>
        <v>75.959999999999994</v>
      </c>
      <c r="P47" s="20">
        <f>SUBTOTAL(9,P38:P46)</f>
        <v>94.7</v>
      </c>
      <c r="Q47" s="20">
        <f>SUBTOTAL(9,Q38:Q46)</f>
        <v>94.7</v>
      </c>
      <c r="R47" s="20">
        <f>SUBTOTAL(9,R38:R46)+1</f>
        <v>133.18</v>
      </c>
      <c r="S47" s="20">
        <f>SUBTOTAL(9,S38:S46)</f>
        <v>104.07</v>
      </c>
      <c r="T47" s="20">
        <f>SUBTOTAL(9,T38:T46)</f>
        <v>94.7</v>
      </c>
      <c r="U47" s="20">
        <f>SUBTOTAL(9,U38:U46)+1</f>
        <v>938</v>
      </c>
    </row>
    <row r="48" spans="1:22" x14ac:dyDescent="0.25">
      <c r="A48">
        <v>52</v>
      </c>
      <c r="O48" s="21"/>
      <c r="P48" s="21"/>
      <c r="Q48" s="21"/>
      <c r="R48" s="21"/>
      <c r="S48" s="21"/>
      <c r="T48" s="21"/>
      <c r="U48" s="21"/>
    </row>
    <row r="49" spans="1:23" s="5" customFormat="1" ht="30.75" customHeight="1" x14ac:dyDescent="0.25">
      <c r="A49">
        <v>53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4" t="s">
        <v>6</v>
      </c>
      <c r="H49" s="22" t="s">
        <v>7</v>
      </c>
      <c r="I49" s="24" t="s">
        <v>8</v>
      </c>
      <c r="J49" s="25" t="s">
        <v>9</v>
      </c>
      <c r="K49" s="25" t="s">
        <v>10</v>
      </c>
      <c r="L49" s="25" t="s">
        <v>11</v>
      </c>
      <c r="M49" s="25" t="s">
        <v>12</v>
      </c>
      <c r="N49" s="26" t="s">
        <v>13</v>
      </c>
      <c r="O49" s="18" t="s">
        <v>14</v>
      </c>
      <c r="P49" s="18" t="s">
        <v>15</v>
      </c>
      <c r="Q49" s="18" t="s">
        <v>16</v>
      </c>
      <c r="R49" s="18" t="s">
        <v>17</v>
      </c>
      <c r="S49" s="18" t="s">
        <v>18</v>
      </c>
      <c r="T49" s="18" t="s">
        <v>19</v>
      </c>
      <c r="U49" s="18" t="s">
        <v>20</v>
      </c>
    </row>
    <row r="50" spans="1:23" x14ac:dyDescent="0.25">
      <c r="A50">
        <v>54</v>
      </c>
      <c r="B50" s="142" t="s">
        <v>30</v>
      </c>
      <c r="C50" s="6">
        <v>33</v>
      </c>
      <c r="D50" s="6" t="s">
        <v>39</v>
      </c>
      <c r="E50" s="6">
        <v>3</v>
      </c>
      <c r="F50" s="6">
        <v>15</v>
      </c>
      <c r="G50" s="7">
        <v>1.25</v>
      </c>
      <c r="H50" s="23">
        <v>28.4</v>
      </c>
      <c r="I50" s="27">
        <f>U50*5%+1</f>
        <v>22.35</v>
      </c>
      <c r="J50" s="13">
        <f>U50*4%</f>
        <v>17.080000000000002</v>
      </c>
      <c r="K50" s="13">
        <f>U50*7%</f>
        <v>29.890000000000004</v>
      </c>
      <c r="L50" s="13">
        <f>U50*7%</f>
        <v>29.890000000000004</v>
      </c>
      <c r="M50" s="13">
        <f>U50*7%</f>
        <v>29.890000000000004</v>
      </c>
      <c r="N50" s="28">
        <f>U50*7%</f>
        <v>29.890000000000004</v>
      </c>
      <c r="O50" s="19">
        <f>U50*8%</f>
        <v>34.160000000000004</v>
      </c>
      <c r="P50" s="19">
        <f>U50*10%</f>
        <v>42.7</v>
      </c>
      <c r="Q50" s="19">
        <f>U50*10%</f>
        <v>42.7</v>
      </c>
      <c r="R50" s="19">
        <f>U50*14%</f>
        <v>59.780000000000008</v>
      </c>
      <c r="S50" s="19">
        <f>U50*11%</f>
        <v>46.97</v>
      </c>
      <c r="T50" s="19">
        <f>U50*10%</f>
        <v>42.7</v>
      </c>
      <c r="U50" s="19">
        <v>427</v>
      </c>
    </row>
    <row r="51" spans="1:23" ht="15.75" thickBot="1" x14ac:dyDescent="0.3">
      <c r="A51">
        <v>55</v>
      </c>
      <c r="B51" s="143"/>
      <c r="C51" s="6">
        <v>39</v>
      </c>
      <c r="D51" s="6" t="s">
        <v>41</v>
      </c>
      <c r="E51" s="6">
        <v>8</v>
      </c>
      <c r="F51" s="6">
        <v>6</v>
      </c>
      <c r="G51" s="7">
        <v>0.5</v>
      </c>
      <c r="H51" s="23">
        <v>4.5</v>
      </c>
      <c r="I51" s="35">
        <f>U51*5%-1</f>
        <v>0.35000000000000009</v>
      </c>
      <c r="J51" s="36">
        <f>U51*4%-1</f>
        <v>8.0000000000000071E-2</v>
      </c>
      <c r="K51" s="30">
        <f>U51*7%</f>
        <v>1.8900000000000001</v>
      </c>
      <c r="L51" s="30">
        <f>U51*7%</f>
        <v>1.8900000000000001</v>
      </c>
      <c r="M51" s="30">
        <f>U51*7%</f>
        <v>1.8900000000000001</v>
      </c>
      <c r="N51" s="31">
        <f>U51*7%</f>
        <v>1.8900000000000001</v>
      </c>
      <c r="O51" s="19">
        <f>U51*8%</f>
        <v>2.16</v>
      </c>
      <c r="P51" s="19">
        <f>U51*10%</f>
        <v>2.7</v>
      </c>
      <c r="Q51" s="19">
        <f>U51*10%</f>
        <v>2.7</v>
      </c>
      <c r="R51" s="19">
        <f>U51*14%</f>
        <v>3.7800000000000002</v>
      </c>
      <c r="S51" s="19">
        <f>U51*11%</f>
        <v>2.97</v>
      </c>
      <c r="T51" s="19">
        <f>U51*10%</f>
        <v>2.7</v>
      </c>
      <c r="U51" s="19">
        <v>27</v>
      </c>
    </row>
    <row r="52" spans="1:23" s="1" customFormat="1" x14ac:dyDescent="0.25">
      <c r="G52" s="11" t="s">
        <v>42</v>
      </c>
      <c r="H52" s="8">
        <f>SUBTOTAL(9,H47:H51)</f>
        <v>32.9</v>
      </c>
      <c r="I52" s="15">
        <f>SUBTOTAL(9,I50:I51)-1</f>
        <v>21.700000000000003</v>
      </c>
      <c r="J52" s="15">
        <f t="shared" ref="J52:U52" si="32">SUBTOTAL(9,J50:J51)</f>
        <v>17.160000000000004</v>
      </c>
      <c r="K52" s="15">
        <f t="shared" si="32"/>
        <v>31.780000000000005</v>
      </c>
      <c r="L52" s="15">
        <f t="shared" si="32"/>
        <v>31.780000000000005</v>
      </c>
      <c r="M52" s="15">
        <f t="shared" si="32"/>
        <v>31.780000000000005</v>
      </c>
      <c r="N52" s="16">
        <f t="shared" si="32"/>
        <v>31.780000000000005</v>
      </c>
      <c r="O52" s="20">
        <f t="shared" si="32"/>
        <v>36.320000000000007</v>
      </c>
      <c r="P52" s="20">
        <f t="shared" si="32"/>
        <v>45.400000000000006</v>
      </c>
      <c r="Q52" s="20">
        <f t="shared" si="32"/>
        <v>45.400000000000006</v>
      </c>
      <c r="R52" s="20">
        <f t="shared" si="32"/>
        <v>63.560000000000009</v>
      </c>
      <c r="S52" s="20">
        <f t="shared" si="32"/>
        <v>49.94</v>
      </c>
      <c r="T52" s="20">
        <f t="shared" si="32"/>
        <v>45.400000000000006</v>
      </c>
      <c r="U52" s="20">
        <f t="shared" si="32"/>
        <v>454</v>
      </c>
    </row>
    <row r="53" spans="1:23" x14ac:dyDescent="0.25">
      <c r="O53" s="21"/>
      <c r="P53" s="21"/>
      <c r="Q53" s="21"/>
      <c r="R53" s="21"/>
      <c r="S53" s="21"/>
      <c r="T53" s="21"/>
      <c r="U53" s="21"/>
    </row>
    <row r="54" spans="1:23" ht="15.75" thickBot="1" x14ac:dyDescent="0.3">
      <c r="B54" s="1" t="s">
        <v>45</v>
      </c>
      <c r="O54" s="21"/>
      <c r="P54" s="21"/>
      <c r="Q54" s="21"/>
      <c r="R54" s="21"/>
      <c r="S54" s="21"/>
      <c r="T54" s="21"/>
      <c r="U54" s="21"/>
    </row>
    <row r="55" spans="1:23" s="5" customFormat="1" ht="30.75" customHeight="1" x14ac:dyDescent="0.25">
      <c r="A55">
        <v>4</v>
      </c>
      <c r="B55" s="3" t="s">
        <v>1</v>
      </c>
      <c r="C55" s="3" t="s">
        <v>2</v>
      </c>
      <c r="D55" s="3" t="s">
        <v>3</v>
      </c>
      <c r="E55" s="3" t="s">
        <v>4</v>
      </c>
      <c r="F55" s="3" t="s">
        <v>5</v>
      </c>
      <c r="G55" s="4" t="s">
        <v>6</v>
      </c>
      <c r="H55" s="22" t="s">
        <v>7</v>
      </c>
      <c r="I55" s="24" t="s">
        <v>14</v>
      </c>
      <c r="J55" s="25" t="s">
        <v>47</v>
      </c>
      <c r="K55" s="25" t="s">
        <v>51</v>
      </c>
      <c r="L55" s="39" t="s">
        <v>48</v>
      </c>
      <c r="M55" s="39" t="s">
        <v>49</v>
      </c>
      <c r="N55" s="26" t="s">
        <v>50</v>
      </c>
      <c r="O55" s="37" t="s">
        <v>20</v>
      </c>
      <c r="W55" s="3" t="s">
        <v>46</v>
      </c>
    </row>
    <row r="56" spans="1:23" x14ac:dyDescent="0.25">
      <c r="A56">
        <v>5</v>
      </c>
      <c r="B56" s="142" t="s">
        <v>21</v>
      </c>
      <c r="C56" s="6">
        <v>1</v>
      </c>
      <c r="D56" s="6" t="s">
        <v>31</v>
      </c>
      <c r="E56" s="6">
        <v>11</v>
      </c>
      <c r="F56" s="6">
        <v>20</v>
      </c>
      <c r="G56" s="7">
        <v>1.67</v>
      </c>
      <c r="H56" s="23">
        <v>53.09</v>
      </c>
      <c r="I56" s="27">
        <f t="shared" ref="I56:I62" si="33">O56*8%</f>
        <v>80.72</v>
      </c>
      <c r="J56" s="13">
        <f t="shared" ref="J56:J62" si="34">O56*10%</f>
        <v>100.9</v>
      </c>
      <c r="K56" s="13">
        <f t="shared" ref="K56:K62" si="35">O56*10%</f>
        <v>100.9</v>
      </c>
      <c r="L56" s="14">
        <f>O56*14%+1</f>
        <v>142.26000000000002</v>
      </c>
      <c r="M56" s="14">
        <f>O56*11%</f>
        <v>110.99</v>
      </c>
      <c r="N56" s="28">
        <f t="shared" ref="N56:N62" si="36">O56*10%</f>
        <v>100.9</v>
      </c>
      <c r="O56" s="38">
        <v>1009</v>
      </c>
      <c r="R56"/>
      <c r="S56"/>
      <c r="T56"/>
      <c r="W56" s="43">
        <f>O56/H56</f>
        <v>19.005462422301751</v>
      </c>
    </row>
    <row r="57" spans="1:23" x14ac:dyDescent="0.25">
      <c r="A57">
        <v>6</v>
      </c>
      <c r="B57" s="144"/>
      <c r="C57" s="6">
        <v>2</v>
      </c>
      <c r="D57" s="6" t="s">
        <v>31</v>
      </c>
      <c r="E57" s="6">
        <v>11</v>
      </c>
      <c r="F57" s="6">
        <v>20</v>
      </c>
      <c r="G57" s="7">
        <v>1.67</v>
      </c>
      <c r="H57" s="23">
        <v>60.27</v>
      </c>
      <c r="I57" s="27">
        <f t="shared" si="33"/>
        <v>92.08</v>
      </c>
      <c r="J57" s="13">
        <f t="shared" si="34"/>
        <v>115.10000000000001</v>
      </c>
      <c r="K57" s="13">
        <f t="shared" si="35"/>
        <v>115.10000000000001</v>
      </c>
      <c r="L57" s="14">
        <f t="shared" ref="L57:L62" si="37">O57*14%</f>
        <v>161.14000000000001</v>
      </c>
      <c r="M57" s="14">
        <f>O57*11%-1</f>
        <v>125.61</v>
      </c>
      <c r="N57" s="28">
        <f t="shared" si="36"/>
        <v>115.10000000000001</v>
      </c>
      <c r="O57" s="38">
        <v>1151</v>
      </c>
      <c r="R57"/>
      <c r="S57"/>
      <c r="T57"/>
      <c r="W57" s="43">
        <f t="shared" ref="W57:W67" si="38">O57/H57</f>
        <v>19.097395055583206</v>
      </c>
    </row>
    <row r="58" spans="1:23" x14ac:dyDescent="0.25">
      <c r="A58">
        <v>7</v>
      </c>
      <c r="B58" s="144"/>
      <c r="C58" s="6">
        <v>3</v>
      </c>
      <c r="D58" s="6" t="s">
        <v>31</v>
      </c>
      <c r="E58" s="6">
        <v>11</v>
      </c>
      <c r="F58" s="6">
        <v>20</v>
      </c>
      <c r="G58" s="7">
        <v>1.67</v>
      </c>
      <c r="H58" s="23">
        <v>69.040000000000006</v>
      </c>
      <c r="I58" s="27">
        <f t="shared" si="33"/>
        <v>104.96000000000001</v>
      </c>
      <c r="J58" s="13">
        <f t="shared" si="34"/>
        <v>131.20000000000002</v>
      </c>
      <c r="K58" s="13">
        <f t="shared" si="35"/>
        <v>131.20000000000002</v>
      </c>
      <c r="L58" s="14">
        <f t="shared" si="37"/>
        <v>183.68</v>
      </c>
      <c r="M58" s="14">
        <f>O58*11%</f>
        <v>144.32</v>
      </c>
      <c r="N58" s="28">
        <f t="shared" si="36"/>
        <v>131.20000000000002</v>
      </c>
      <c r="O58" s="38">
        <v>1312</v>
      </c>
      <c r="R58"/>
      <c r="S58"/>
      <c r="T58"/>
      <c r="W58" s="43">
        <f t="shared" si="38"/>
        <v>19.003476245654692</v>
      </c>
    </row>
    <row r="59" spans="1:23" x14ac:dyDescent="0.25">
      <c r="A59">
        <v>8</v>
      </c>
      <c r="B59" s="144"/>
      <c r="C59" s="6">
        <v>4</v>
      </c>
      <c r="D59" s="6" t="s">
        <v>31</v>
      </c>
      <c r="E59" s="6">
        <v>11</v>
      </c>
      <c r="F59" s="6">
        <v>20</v>
      </c>
      <c r="G59" s="7">
        <v>1.67</v>
      </c>
      <c r="H59" s="23">
        <v>70.510000000000005</v>
      </c>
      <c r="I59" s="27">
        <f t="shared" si="33"/>
        <v>107.28</v>
      </c>
      <c r="J59" s="13">
        <f t="shared" si="34"/>
        <v>134.1</v>
      </c>
      <c r="K59" s="13">
        <f t="shared" si="35"/>
        <v>134.1</v>
      </c>
      <c r="L59" s="14">
        <f t="shared" si="37"/>
        <v>187.74</v>
      </c>
      <c r="M59" s="14">
        <f>O59*11%-1</f>
        <v>146.51</v>
      </c>
      <c r="N59" s="28">
        <f t="shared" si="36"/>
        <v>134.1</v>
      </c>
      <c r="O59" s="38">
        <v>1341</v>
      </c>
      <c r="R59"/>
      <c r="S59"/>
      <c r="T59"/>
      <c r="W59" s="43">
        <f t="shared" si="38"/>
        <v>19.018578924975181</v>
      </c>
    </row>
    <row r="60" spans="1:23" x14ac:dyDescent="0.25">
      <c r="A60">
        <v>9</v>
      </c>
      <c r="B60" s="144"/>
      <c r="C60" s="6">
        <v>5</v>
      </c>
      <c r="D60" s="6" t="s">
        <v>31</v>
      </c>
      <c r="E60" s="6">
        <v>11</v>
      </c>
      <c r="F60" s="6">
        <v>20</v>
      </c>
      <c r="G60" s="7">
        <v>1.67</v>
      </c>
      <c r="H60" s="23">
        <v>50.4</v>
      </c>
      <c r="I60" s="27">
        <f t="shared" si="33"/>
        <v>76.64</v>
      </c>
      <c r="J60" s="13">
        <f t="shared" si="34"/>
        <v>95.800000000000011</v>
      </c>
      <c r="K60" s="13">
        <f t="shared" si="35"/>
        <v>95.800000000000011</v>
      </c>
      <c r="L60" s="14">
        <f t="shared" si="37"/>
        <v>134.12</v>
      </c>
      <c r="M60" s="14">
        <f>O60*11%</f>
        <v>105.38</v>
      </c>
      <c r="N60" s="28">
        <f t="shared" si="36"/>
        <v>95.800000000000011</v>
      </c>
      <c r="O60" s="38">
        <v>958</v>
      </c>
      <c r="R60"/>
      <c r="S60"/>
      <c r="T60"/>
      <c r="W60" s="43">
        <f t="shared" si="38"/>
        <v>19.00793650793651</v>
      </c>
    </row>
    <row r="61" spans="1:23" x14ac:dyDescent="0.25">
      <c r="A61">
        <v>10</v>
      </c>
      <c r="B61" s="144"/>
      <c r="C61" s="6">
        <v>6</v>
      </c>
      <c r="D61" s="6" t="s">
        <v>31</v>
      </c>
      <c r="E61" s="6">
        <v>11</v>
      </c>
      <c r="F61" s="6">
        <v>20</v>
      </c>
      <c r="G61" s="7">
        <v>1.67</v>
      </c>
      <c r="H61" s="23">
        <v>58.6</v>
      </c>
      <c r="I61" s="27">
        <f t="shared" si="33"/>
        <v>89.12</v>
      </c>
      <c r="J61" s="13">
        <f t="shared" si="34"/>
        <v>111.4</v>
      </c>
      <c r="K61" s="13">
        <f t="shared" si="35"/>
        <v>111.4</v>
      </c>
      <c r="L61" s="14">
        <f t="shared" si="37"/>
        <v>155.96</v>
      </c>
      <c r="M61" s="14">
        <f>O61*11%</f>
        <v>122.54</v>
      </c>
      <c r="N61" s="28">
        <f t="shared" si="36"/>
        <v>111.4</v>
      </c>
      <c r="O61" s="38">
        <v>1114</v>
      </c>
      <c r="R61"/>
      <c r="S61"/>
      <c r="T61"/>
      <c r="W61" s="43">
        <f t="shared" si="38"/>
        <v>19.010238907849828</v>
      </c>
    </row>
    <row r="62" spans="1:23" x14ac:dyDescent="0.25">
      <c r="A62">
        <v>11</v>
      </c>
      <c r="B62" s="144"/>
      <c r="C62" s="6">
        <v>7</v>
      </c>
      <c r="D62" s="6" t="s">
        <v>31</v>
      </c>
      <c r="E62" s="6">
        <v>11</v>
      </c>
      <c r="F62" s="6">
        <v>17</v>
      </c>
      <c r="G62" s="7">
        <v>1.42</v>
      </c>
      <c r="H62" s="23">
        <v>23.6</v>
      </c>
      <c r="I62" s="27">
        <f t="shared" si="33"/>
        <v>30.48</v>
      </c>
      <c r="J62" s="13">
        <f t="shared" si="34"/>
        <v>38.1</v>
      </c>
      <c r="K62" s="13">
        <f t="shared" si="35"/>
        <v>38.1</v>
      </c>
      <c r="L62" s="14">
        <f t="shared" si="37"/>
        <v>53.34</v>
      </c>
      <c r="M62" s="14">
        <f>O62*11%</f>
        <v>41.910000000000004</v>
      </c>
      <c r="N62" s="28">
        <f t="shared" si="36"/>
        <v>38.1</v>
      </c>
      <c r="O62" s="38">
        <v>381</v>
      </c>
      <c r="R62"/>
      <c r="S62"/>
      <c r="T62"/>
      <c r="W62" s="43">
        <f t="shared" si="38"/>
        <v>16.14406779661017</v>
      </c>
    </row>
    <row r="63" spans="1:23" x14ac:dyDescent="0.25">
      <c r="A63">
        <v>12</v>
      </c>
      <c r="B63" s="144"/>
      <c r="C63" s="6">
        <v>8</v>
      </c>
      <c r="D63" s="6" t="s">
        <v>31</v>
      </c>
      <c r="E63" s="6">
        <v>11</v>
      </c>
      <c r="F63" s="6">
        <v>20</v>
      </c>
      <c r="G63" s="7">
        <v>1.67</v>
      </c>
      <c r="H63" s="23">
        <v>61.6</v>
      </c>
      <c r="I63" s="27">
        <f>O63*8%+2</f>
        <v>94.4</v>
      </c>
      <c r="J63" s="13">
        <f>O63*10%+1</f>
        <v>116.5</v>
      </c>
      <c r="K63" s="13">
        <f>O63*10%+1</f>
        <v>116.5</v>
      </c>
      <c r="L63" s="14">
        <f>O63*14%+1</f>
        <v>162.70000000000002</v>
      </c>
      <c r="M63" s="14">
        <f>O63*11%+2</f>
        <v>129.05000000000001</v>
      </c>
      <c r="N63" s="28">
        <f>O63*10%+1</f>
        <v>116.5</v>
      </c>
      <c r="O63" s="38">
        <v>1155</v>
      </c>
      <c r="R63"/>
      <c r="S63"/>
      <c r="T63"/>
      <c r="W63" s="43">
        <f t="shared" si="38"/>
        <v>18.75</v>
      </c>
    </row>
    <row r="64" spans="1:23" x14ac:dyDescent="0.25">
      <c r="A64">
        <v>13</v>
      </c>
      <c r="B64" s="144"/>
      <c r="C64" s="6">
        <v>9</v>
      </c>
      <c r="D64" s="6" t="s">
        <v>31</v>
      </c>
      <c r="E64" s="6">
        <v>11</v>
      </c>
      <c r="F64" s="6">
        <v>18</v>
      </c>
      <c r="G64" s="7">
        <v>1.5</v>
      </c>
      <c r="H64" s="23">
        <v>38.299999999999997</v>
      </c>
      <c r="I64" s="27">
        <f>O64*8%-1</f>
        <v>51.64</v>
      </c>
      <c r="J64" s="13">
        <f>O64*10%</f>
        <v>65.8</v>
      </c>
      <c r="K64" s="13">
        <f>O64*10%</f>
        <v>65.8</v>
      </c>
      <c r="L64" s="14">
        <f>O64*14%</f>
        <v>92.12</v>
      </c>
      <c r="M64" s="14">
        <f>O64*11%</f>
        <v>72.38</v>
      </c>
      <c r="N64" s="28">
        <f>O64*10%</f>
        <v>65.8</v>
      </c>
      <c r="O64" s="38">
        <v>658</v>
      </c>
      <c r="R64"/>
      <c r="S64"/>
      <c r="T64"/>
      <c r="W64" s="43">
        <f t="shared" si="38"/>
        <v>17.180156657963447</v>
      </c>
    </row>
    <row r="65" spans="1:23" x14ac:dyDescent="0.25">
      <c r="A65">
        <v>14</v>
      </c>
      <c r="B65" s="144"/>
      <c r="C65" s="6">
        <v>11</v>
      </c>
      <c r="D65" s="6" t="s">
        <v>33</v>
      </c>
      <c r="E65" s="6">
        <v>10.5</v>
      </c>
      <c r="F65" s="6">
        <v>19</v>
      </c>
      <c r="G65" s="7">
        <v>1.58</v>
      </c>
      <c r="H65" s="23">
        <v>44.5</v>
      </c>
      <c r="I65" s="27">
        <f>O65*8%+1</f>
        <v>65.320000000000007</v>
      </c>
      <c r="J65" s="13">
        <f>O65*10%+1</f>
        <v>81.400000000000006</v>
      </c>
      <c r="K65" s="13">
        <f>O65*10%+1</f>
        <v>81.400000000000006</v>
      </c>
      <c r="L65" s="14">
        <f>O65*14%-1</f>
        <v>111.56000000000002</v>
      </c>
      <c r="M65" s="14">
        <f>O65*11%</f>
        <v>88.44</v>
      </c>
      <c r="N65" s="28">
        <f>O65*10%+1</f>
        <v>81.400000000000006</v>
      </c>
      <c r="O65" s="38">
        <v>804</v>
      </c>
      <c r="R65"/>
      <c r="S65"/>
      <c r="T65"/>
      <c r="W65" s="43">
        <f t="shared" si="38"/>
        <v>18.067415730337078</v>
      </c>
    </row>
    <row r="66" spans="1:23" x14ac:dyDescent="0.25">
      <c r="A66">
        <v>15</v>
      </c>
      <c r="B66" s="144"/>
      <c r="C66" s="6">
        <v>12</v>
      </c>
      <c r="D66" s="6" t="s">
        <v>34</v>
      </c>
      <c r="E66" s="6">
        <v>10</v>
      </c>
      <c r="F66" s="6">
        <v>20</v>
      </c>
      <c r="G66" s="7">
        <v>1.67</v>
      </c>
      <c r="H66" s="23">
        <v>71</v>
      </c>
      <c r="I66" s="27">
        <f>O66*8%</f>
        <v>107.84</v>
      </c>
      <c r="J66" s="13">
        <f>O66*10%</f>
        <v>134.80000000000001</v>
      </c>
      <c r="K66" s="13">
        <f>O66*10%</f>
        <v>134.80000000000001</v>
      </c>
      <c r="L66" s="14">
        <f>O66*14%</f>
        <v>188.72000000000003</v>
      </c>
      <c r="M66" s="14">
        <f>O66*11%</f>
        <v>148.28</v>
      </c>
      <c r="N66" s="28">
        <f>O66*10%</f>
        <v>134.80000000000001</v>
      </c>
      <c r="O66" s="38">
        <v>1348</v>
      </c>
      <c r="R66"/>
      <c r="S66"/>
      <c r="T66"/>
      <c r="W66" s="43">
        <f t="shared" si="38"/>
        <v>18.985915492957748</v>
      </c>
    </row>
    <row r="67" spans="1:23" ht="15.75" thickBot="1" x14ac:dyDescent="0.3">
      <c r="A67">
        <v>16</v>
      </c>
      <c r="B67" s="143"/>
      <c r="C67" s="6">
        <v>23</v>
      </c>
      <c r="D67" s="6" t="s">
        <v>34</v>
      </c>
      <c r="E67" s="6">
        <v>10</v>
      </c>
      <c r="F67" s="6">
        <v>21</v>
      </c>
      <c r="G67" s="7">
        <v>1.75</v>
      </c>
      <c r="H67" s="23">
        <v>14.6</v>
      </c>
      <c r="I67" s="29">
        <f>O67*8%+1</f>
        <v>24.12</v>
      </c>
      <c r="J67" s="30">
        <f>O67*10%</f>
        <v>28.900000000000002</v>
      </c>
      <c r="K67" s="30">
        <f>O67*10%</f>
        <v>28.900000000000002</v>
      </c>
      <c r="L67" s="40">
        <f>O67*14%+1</f>
        <v>41.46</v>
      </c>
      <c r="M67" s="40">
        <f>O67*11%</f>
        <v>31.79</v>
      </c>
      <c r="N67" s="31">
        <f>O67*10%</f>
        <v>28.900000000000002</v>
      </c>
      <c r="O67" s="38">
        <v>289</v>
      </c>
      <c r="R67"/>
      <c r="S67"/>
      <c r="T67"/>
      <c r="W67" s="43">
        <f t="shared" si="38"/>
        <v>19.794520547945204</v>
      </c>
    </row>
    <row r="68" spans="1:23" s="1" customFormat="1" x14ac:dyDescent="0.25">
      <c r="A68">
        <v>17</v>
      </c>
      <c r="G68" s="11" t="s">
        <v>42</v>
      </c>
      <c r="H68" s="8">
        <f>SUBTOTAL(9,H56:H67)</f>
        <v>615.5100000000001</v>
      </c>
      <c r="I68" s="15">
        <f>SUBTOTAL(9,I56:I67)-1</f>
        <v>923.6</v>
      </c>
      <c r="J68" s="15">
        <f t="shared" ref="J68:N68" si="39">SUBTOTAL(9,J56:J67)</f>
        <v>1154.0000000000002</v>
      </c>
      <c r="K68" s="15">
        <f t="shared" si="39"/>
        <v>1154.0000000000002</v>
      </c>
      <c r="L68" s="16">
        <f t="shared" si="39"/>
        <v>1614.8</v>
      </c>
      <c r="M68" s="16">
        <f t="shared" si="39"/>
        <v>1267.1999999999998</v>
      </c>
      <c r="N68" s="16">
        <f t="shared" si="39"/>
        <v>1154.0000000000002</v>
      </c>
      <c r="O68" s="15">
        <f>SUBTOTAL(9,O56:O67)</f>
        <v>11520</v>
      </c>
      <c r="W68" s="44">
        <f>O68/H68</f>
        <v>18.716186576984935</v>
      </c>
    </row>
    <row r="69" spans="1:23" ht="15.75" thickBot="1" x14ac:dyDescent="0.3">
      <c r="A69">
        <v>18</v>
      </c>
      <c r="L69" s="12"/>
      <c r="M69" s="12"/>
      <c r="R69"/>
      <c r="S69"/>
      <c r="T69"/>
      <c r="W69" s="45"/>
    </row>
    <row r="70" spans="1:23" s="5" customFormat="1" ht="30.75" customHeight="1" x14ac:dyDescent="0.25">
      <c r="A70">
        <v>19</v>
      </c>
      <c r="B70" s="3" t="s">
        <v>1</v>
      </c>
      <c r="C70" s="3" t="s">
        <v>2</v>
      </c>
      <c r="D70" s="3" t="s">
        <v>3</v>
      </c>
      <c r="E70" s="3" t="s">
        <v>4</v>
      </c>
      <c r="F70" s="3" t="s">
        <v>5</v>
      </c>
      <c r="G70" s="4" t="s">
        <v>6</v>
      </c>
      <c r="H70" s="22" t="s">
        <v>7</v>
      </c>
      <c r="I70" s="24" t="s">
        <v>14</v>
      </c>
      <c r="J70" s="25" t="s">
        <v>47</v>
      </c>
      <c r="K70" s="25" t="s">
        <v>51</v>
      </c>
      <c r="L70" s="39" t="s">
        <v>48</v>
      </c>
      <c r="M70" s="39" t="s">
        <v>49</v>
      </c>
      <c r="N70" s="26" t="s">
        <v>50</v>
      </c>
      <c r="O70" s="37" t="s">
        <v>20</v>
      </c>
      <c r="W70" s="3" t="s">
        <v>46</v>
      </c>
    </row>
    <row r="71" spans="1:23" x14ac:dyDescent="0.25">
      <c r="A71">
        <v>20</v>
      </c>
      <c r="B71" s="142" t="s">
        <v>22</v>
      </c>
      <c r="C71" s="6">
        <v>10</v>
      </c>
      <c r="D71" s="6" t="s">
        <v>35</v>
      </c>
      <c r="E71" s="6">
        <v>9.5</v>
      </c>
      <c r="F71" s="6">
        <v>19</v>
      </c>
      <c r="G71" s="7">
        <v>1.58</v>
      </c>
      <c r="H71" s="23">
        <v>19.100000000000001</v>
      </c>
      <c r="I71" s="27">
        <f>O71*8%+1</f>
        <v>28.44</v>
      </c>
      <c r="J71" s="13">
        <f t="shared" ref="J71:J77" si="40">O71*10%</f>
        <v>34.300000000000004</v>
      </c>
      <c r="K71" s="13">
        <f t="shared" ref="K71:K77" si="41">O71*10%</f>
        <v>34.300000000000004</v>
      </c>
      <c r="L71" s="14">
        <f>O71*14%</f>
        <v>48.02</v>
      </c>
      <c r="M71" s="14">
        <f t="shared" ref="M71:M77" si="42">O71*11%</f>
        <v>37.729999999999997</v>
      </c>
      <c r="N71" s="28">
        <f t="shared" ref="N71:N77" si="43">O71*10%</f>
        <v>34.300000000000004</v>
      </c>
      <c r="O71" s="38">
        <v>343</v>
      </c>
      <c r="R71"/>
      <c r="S71"/>
      <c r="T71"/>
      <c r="W71" s="43">
        <f t="shared" ref="W71:W77" si="44">O71/H71</f>
        <v>17.958115183246072</v>
      </c>
    </row>
    <row r="72" spans="1:23" x14ac:dyDescent="0.25">
      <c r="A72">
        <v>21</v>
      </c>
      <c r="B72" s="144"/>
      <c r="C72" s="6">
        <v>13</v>
      </c>
      <c r="D72" s="6" t="s">
        <v>36</v>
      </c>
      <c r="E72" s="6">
        <v>10</v>
      </c>
      <c r="F72" s="6">
        <v>22</v>
      </c>
      <c r="G72" s="7">
        <v>1.83</v>
      </c>
      <c r="H72" s="23">
        <v>60.8</v>
      </c>
      <c r="I72" s="27">
        <f>O72*8%</f>
        <v>101.76</v>
      </c>
      <c r="J72" s="13">
        <f t="shared" si="40"/>
        <v>127.2</v>
      </c>
      <c r="K72" s="13">
        <f t="shared" si="41"/>
        <v>127.2</v>
      </c>
      <c r="L72" s="14">
        <f>O72*14%</f>
        <v>178.08</v>
      </c>
      <c r="M72" s="14">
        <f t="shared" si="42"/>
        <v>139.91999999999999</v>
      </c>
      <c r="N72" s="28">
        <f t="shared" si="43"/>
        <v>127.2</v>
      </c>
      <c r="O72" s="38">
        <v>1272</v>
      </c>
      <c r="R72"/>
      <c r="S72"/>
      <c r="T72"/>
      <c r="W72" s="43">
        <f t="shared" si="44"/>
        <v>20.921052631578949</v>
      </c>
    </row>
    <row r="73" spans="1:23" x14ac:dyDescent="0.25">
      <c r="A73">
        <v>22</v>
      </c>
      <c r="B73" s="144"/>
      <c r="C73" s="6">
        <v>14</v>
      </c>
      <c r="D73" s="6" t="s">
        <v>36</v>
      </c>
      <c r="E73" s="6">
        <v>10</v>
      </c>
      <c r="F73" s="6">
        <v>21</v>
      </c>
      <c r="G73" s="7">
        <v>1.75</v>
      </c>
      <c r="H73" s="23">
        <v>41.6</v>
      </c>
      <c r="I73" s="27">
        <f>O73*8%+1</f>
        <v>67.400000000000006</v>
      </c>
      <c r="J73" s="13">
        <f t="shared" si="40"/>
        <v>83</v>
      </c>
      <c r="K73" s="13">
        <f t="shared" si="41"/>
        <v>83</v>
      </c>
      <c r="L73" s="14">
        <f>O73*14%</f>
        <v>116.20000000000002</v>
      </c>
      <c r="M73" s="14">
        <f t="shared" si="42"/>
        <v>91.3</v>
      </c>
      <c r="N73" s="28">
        <f t="shared" si="43"/>
        <v>83</v>
      </c>
      <c r="O73" s="38">
        <v>830</v>
      </c>
      <c r="R73"/>
      <c r="S73"/>
      <c r="T73"/>
      <c r="W73" s="43">
        <f t="shared" si="44"/>
        <v>19.951923076923077</v>
      </c>
    </row>
    <row r="74" spans="1:23" x14ac:dyDescent="0.25">
      <c r="A74">
        <v>23</v>
      </c>
      <c r="B74" s="144"/>
      <c r="C74" s="6">
        <v>15</v>
      </c>
      <c r="D74" s="6" t="s">
        <v>36</v>
      </c>
      <c r="E74" s="6">
        <v>10</v>
      </c>
      <c r="F74" s="6">
        <v>20</v>
      </c>
      <c r="G74" s="7">
        <v>1.67</v>
      </c>
      <c r="H74" s="23">
        <v>49.17</v>
      </c>
      <c r="I74" s="27">
        <f>O74*8%</f>
        <v>75.12</v>
      </c>
      <c r="J74" s="13">
        <f t="shared" si="40"/>
        <v>93.9</v>
      </c>
      <c r="K74" s="13">
        <f t="shared" si="41"/>
        <v>93.9</v>
      </c>
      <c r="L74" s="14">
        <f>O74*14%</f>
        <v>131.46</v>
      </c>
      <c r="M74" s="14">
        <f t="shared" si="42"/>
        <v>103.29</v>
      </c>
      <c r="N74" s="28">
        <f t="shared" si="43"/>
        <v>93.9</v>
      </c>
      <c r="O74" s="38">
        <v>939</v>
      </c>
      <c r="R74"/>
      <c r="S74"/>
      <c r="T74"/>
      <c r="W74" s="43">
        <f t="shared" si="44"/>
        <v>19.097010372178158</v>
      </c>
    </row>
    <row r="75" spans="1:23" x14ac:dyDescent="0.25">
      <c r="A75">
        <v>24</v>
      </c>
      <c r="B75" s="144"/>
      <c r="C75" s="6">
        <v>16</v>
      </c>
      <c r="D75" s="6" t="s">
        <v>36</v>
      </c>
      <c r="E75" s="6">
        <v>9.5</v>
      </c>
      <c r="F75" s="6">
        <v>20</v>
      </c>
      <c r="G75" s="7">
        <v>1.67</v>
      </c>
      <c r="H75" s="23">
        <v>52.61</v>
      </c>
      <c r="I75" s="27">
        <f>O75*8%-1</f>
        <v>79.64</v>
      </c>
      <c r="J75" s="13">
        <f t="shared" si="40"/>
        <v>100.80000000000001</v>
      </c>
      <c r="K75" s="13">
        <f t="shared" si="41"/>
        <v>100.80000000000001</v>
      </c>
      <c r="L75" s="14">
        <f>O75*14%+1</f>
        <v>142.12</v>
      </c>
      <c r="M75" s="14">
        <f t="shared" si="42"/>
        <v>110.88</v>
      </c>
      <c r="N75" s="28">
        <f t="shared" si="43"/>
        <v>100.80000000000001</v>
      </c>
      <c r="O75" s="38">
        <v>1008</v>
      </c>
      <c r="R75"/>
      <c r="S75"/>
      <c r="T75"/>
      <c r="W75" s="43">
        <f t="shared" si="44"/>
        <v>19.159855540771716</v>
      </c>
    </row>
    <row r="76" spans="1:23" x14ac:dyDescent="0.25">
      <c r="A76">
        <v>25</v>
      </c>
      <c r="B76" s="144"/>
      <c r="C76" s="6">
        <v>17</v>
      </c>
      <c r="D76" s="6" t="s">
        <v>35</v>
      </c>
      <c r="E76" s="6">
        <v>9.5</v>
      </c>
      <c r="F76" s="6">
        <v>22</v>
      </c>
      <c r="G76" s="7">
        <v>1.83</v>
      </c>
      <c r="H76" s="23">
        <v>45.58</v>
      </c>
      <c r="I76" s="27">
        <f>O76*8%-1</f>
        <v>75.56</v>
      </c>
      <c r="J76" s="13">
        <f t="shared" si="40"/>
        <v>95.7</v>
      </c>
      <c r="K76" s="13">
        <f t="shared" si="41"/>
        <v>95.7</v>
      </c>
      <c r="L76" s="14">
        <f>O76*14%</f>
        <v>133.98000000000002</v>
      </c>
      <c r="M76" s="14">
        <f t="shared" si="42"/>
        <v>105.27</v>
      </c>
      <c r="N76" s="28">
        <f t="shared" si="43"/>
        <v>95.7</v>
      </c>
      <c r="O76" s="38">
        <v>957</v>
      </c>
      <c r="R76"/>
      <c r="S76"/>
      <c r="T76"/>
      <c r="W76" s="43">
        <f t="shared" si="44"/>
        <v>20.996050899517332</v>
      </c>
    </row>
    <row r="77" spans="1:23" ht="15.75" thickBot="1" x14ac:dyDescent="0.3">
      <c r="A77">
        <v>26</v>
      </c>
      <c r="B77" s="143"/>
      <c r="C77" s="6">
        <v>18</v>
      </c>
      <c r="D77" s="6" t="s">
        <v>35</v>
      </c>
      <c r="E77" s="6">
        <v>9.5</v>
      </c>
      <c r="F77" s="6">
        <v>22</v>
      </c>
      <c r="G77" s="7">
        <v>1.83</v>
      </c>
      <c r="H77" s="23">
        <v>40.799999999999997</v>
      </c>
      <c r="I77" s="29">
        <f>O77*8%</f>
        <v>68.48</v>
      </c>
      <c r="J77" s="30">
        <f t="shared" si="40"/>
        <v>85.600000000000009</v>
      </c>
      <c r="K77" s="30">
        <f t="shared" si="41"/>
        <v>85.600000000000009</v>
      </c>
      <c r="L77" s="40">
        <f>O77*14%-1</f>
        <v>118.84000000000002</v>
      </c>
      <c r="M77" s="40">
        <f t="shared" si="42"/>
        <v>94.16</v>
      </c>
      <c r="N77" s="31">
        <f t="shared" si="43"/>
        <v>85.600000000000009</v>
      </c>
      <c r="O77" s="38">
        <v>856</v>
      </c>
      <c r="R77"/>
      <c r="S77"/>
      <c r="T77"/>
      <c r="W77" s="43">
        <f t="shared" si="44"/>
        <v>20.980392156862745</v>
      </c>
    </row>
    <row r="78" spans="1:23" s="1" customFormat="1" x14ac:dyDescent="0.25">
      <c r="A78">
        <v>27</v>
      </c>
      <c r="G78" s="11" t="s">
        <v>42</v>
      </c>
      <c r="H78" s="8">
        <f>SUBTOTAL(9,H71:H77)</f>
        <v>309.66000000000003</v>
      </c>
      <c r="I78" s="15">
        <f>SUBTOTAL(9,I71:I77)</f>
        <v>496.40000000000003</v>
      </c>
      <c r="J78" s="15">
        <f>SUBTOTAL(9,J71:J77)</f>
        <v>620.5</v>
      </c>
      <c r="K78" s="15">
        <f>SUBTOTAL(9,K71:K77)</f>
        <v>620.5</v>
      </c>
      <c r="L78" s="16">
        <f>SUBTOTAL(9,L71:L77)-1</f>
        <v>867.70000000000016</v>
      </c>
      <c r="M78" s="16">
        <f>SUBTOTAL(9,M71:M77)-1</f>
        <v>681.55</v>
      </c>
      <c r="N78" s="16">
        <f>SUBTOTAL(9,N71:N77)</f>
        <v>620.5</v>
      </c>
      <c r="O78" s="15">
        <f>SUBTOTAL(9,O71:O77)-1</f>
        <v>6204</v>
      </c>
      <c r="W78" s="44">
        <f>O78/H78</f>
        <v>20.034876961829102</v>
      </c>
    </row>
    <row r="79" spans="1:23" ht="15.75" thickBot="1" x14ac:dyDescent="0.3">
      <c r="A79">
        <v>28</v>
      </c>
      <c r="B79" s="1" t="s">
        <v>45</v>
      </c>
      <c r="L79" s="12"/>
      <c r="M79" s="12"/>
      <c r="R79"/>
      <c r="S79"/>
      <c r="T79"/>
      <c r="W79" s="45"/>
    </row>
    <row r="80" spans="1:23" s="5" customFormat="1" ht="30.75" customHeight="1" x14ac:dyDescent="0.25">
      <c r="A80">
        <v>29</v>
      </c>
      <c r="B80" s="3" t="s">
        <v>1</v>
      </c>
      <c r="C80" s="3" t="s">
        <v>2</v>
      </c>
      <c r="D80" s="3" t="s">
        <v>3</v>
      </c>
      <c r="E80" s="3" t="s">
        <v>4</v>
      </c>
      <c r="F80" s="3" t="s">
        <v>5</v>
      </c>
      <c r="G80" s="4" t="s">
        <v>6</v>
      </c>
      <c r="H80" s="22" t="s">
        <v>7</v>
      </c>
      <c r="I80" s="24" t="s">
        <v>14</v>
      </c>
      <c r="J80" s="25" t="s">
        <v>47</v>
      </c>
      <c r="K80" s="25" t="s">
        <v>51</v>
      </c>
      <c r="L80" s="39" t="s">
        <v>48</v>
      </c>
      <c r="M80" s="39" t="s">
        <v>49</v>
      </c>
      <c r="N80" s="26" t="s">
        <v>50</v>
      </c>
      <c r="O80" s="37" t="s">
        <v>20</v>
      </c>
      <c r="W80" s="3" t="s">
        <v>46</v>
      </c>
    </row>
    <row r="81" spans="1:23" x14ac:dyDescent="0.25">
      <c r="A81">
        <v>30</v>
      </c>
      <c r="B81" s="142" t="s">
        <v>23</v>
      </c>
      <c r="C81" s="6">
        <v>19</v>
      </c>
      <c r="D81" s="6" t="s">
        <v>35</v>
      </c>
      <c r="E81" s="6">
        <v>9.5</v>
      </c>
      <c r="F81" s="6">
        <v>21</v>
      </c>
      <c r="G81" s="7">
        <v>1.75</v>
      </c>
      <c r="H81" s="23">
        <v>50.6</v>
      </c>
      <c r="I81" s="27">
        <f>O81*8%</f>
        <v>80.64</v>
      </c>
      <c r="J81" s="13">
        <f>O81*10%</f>
        <v>100.80000000000001</v>
      </c>
      <c r="K81" s="13">
        <f>O81*10%</f>
        <v>100.80000000000001</v>
      </c>
      <c r="L81" s="14">
        <f>O81*14%+1</f>
        <v>142.12</v>
      </c>
      <c r="M81" s="14">
        <f>O81*11%</f>
        <v>110.88</v>
      </c>
      <c r="N81" s="28">
        <f>O81*10%</f>
        <v>100.80000000000001</v>
      </c>
      <c r="O81" s="38">
        <v>1008</v>
      </c>
      <c r="R81"/>
      <c r="S81"/>
      <c r="T81"/>
      <c r="W81" s="43">
        <f t="shared" ref="W81:W85" si="45">O81/H81</f>
        <v>19.920948616600789</v>
      </c>
    </row>
    <row r="82" spans="1:23" x14ac:dyDescent="0.25">
      <c r="A82">
        <v>31</v>
      </c>
      <c r="B82" s="144"/>
      <c r="C82" s="6">
        <v>20</v>
      </c>
      <c r="D82" s="6" t="s">
        <v>37</v>
      </c>
      <c r="E82" s="6">
        <v>9</v>
      </c>
      <c r="F82" s="6">
        <v>21</v>
      </c>
      <c r="G82" s="7">
        <v>1.75</v>
      </c>
      <c r="H82" s="23">
        <v>61.98</v>
      </c>
      <c r="I82" s="27">
        <f>O82*8%</f>
        <v>98.88</v>
      </c>
      <c r="J82" s="13">
        <f>O82*10%</f>
        <v>123.60000000000001</v>
      </c>
      <c r="K82" s="13">
        <f>O82*10%</f>
        <v>123.60000000000001</v>
      </c>
      <c r="L82" s="14">
        <f>O82*14%+1</f>
        <v>174.04000000000002</v>
      </c>
      <c r="M82" s="14">
        <f>O82*11%</f>
        <v>135.96</v>
      </c>
      <c r="N82" s="28">
        <f>O82*10%</f>
        <v>123.60000000000001</v>
      </c>
      <c r="O82" s="38">
        <v>1236</v>
      </c>
      <c r="R82"/>
      <c r="S82"/>
      <c r="T82"/>
      <c r="W82" s="43">
        <f t="shared" si="45"/>
        <v>19.941916747337853</v>
      </c>
    </row>
    <row r="83" spans="1:23" x14ac:dyDescent="0.25">
      <c r="A83">
        <v>32</v>
      </c>
      <c r="B83" s="144"/>
      <c r="C83" s="6">
        <v>21</v>
      </c>
      <c r="D83" s="6" t="s">
        <v>37</v>
      </c>
      <c r="E83" s="6">
        <v>9</v>
      </c>
      <c r="F83" s="6">
        <v>23</v>
      </c>
      <c r="G83" s="7">
        <v>1.92</v>
      </c>
      <c r="H83" s="23">
        <v>71.59</v>
      </c>
      <c r="I83" s="27">
        <f>O83*8%</f>
        <v>126.08</v>
      </c>
      <c r="J83" s="13">
        <f>O83*10%</f>
        <v>157.60000000000002</v>
      </c>
      <c r="K83" s="13">
        <f>O83*10%</f>
        <v>157.60000000000002</v>
      </c>
      <c r="L83" s="14">
        <f>O83*14%-1</f>
        <v>219.64000000000001</v>
      </c>
      <c r="M83" s="14">
        <f>O83*11%+1</f>
        <v>174.36</v>
      </c>
      <c r="N83" s="28">
        <f>O83*10%</f>
        <v>157.60000000000002</v>
      </c>
      <c r="O83" s="38">
        <v>1576</v>
      </c>
      <c r="R83"/>
      <c r="S83"/>
      <c r="T83"/>
      <c r="W83" s="43">
        <f t="shared" si="45"/>
        <v>22.014247799972061</v>
      </c>
    </row>
    <row r="84" spans="1:23" x14ac:dyDescent="0.25">
      <c r="A84">
        <v>33</v>
      </c>
      <c r="B84" s="144"/>
      <c r="C84" s="6">
        <v>22</v>
      </c>
      <c r="D84" s="6" t="s">
        <v>37</v>
      </c>
      <c r="E84" s="6">
        <v>9</v>
      </c>
      <c r="F84" s="6">
        <v>21</v>
      </c>
      <c r="G84" s="7">
        <v>1.75</v>
      </c>
      <c r="H84" s="23">
        <v>52.08</v>
      </c>
      <c r="I84" s="27">
        <f>O84*8%</f>
        <v>83.68</v>
      </c>
      <c r="J84" s="13">
        <f>O84*10%</f>
        <v>104.60000000000001</v>
      </c>
      <c r="K84" s="13">
        <f>O84*10%</f>
        <v>104.60000000000001</v>
      </c>
      <c r="L84" s="14">
        <f>O84*14%</f>
        <v>146.44000000000003</v>
      </c>
      <c r="M84" s="14">
        <f>O84*11%</f>
        <v>115.06</v>
      </c>
      <c r="N84" s="28">
        <f>O84*10%</f>
        <v>104.60000000000001</v>
      </c>
      <c r="O84" s="38">
        <v>1046</v>
      </c>
      <c r="R84"/>
      <c r="S84"/>
      <c r="T84"/>
      <c r="W84" s="43">
        <f t="shared" si="45"/>
        <v>20.084485407066055</v>
      </c>
    </row>
    <row r="85" spans="1:23" ht="15.75" thickBot="1" x14ac:dyDescent="0.3">
      <c r="A85">
        <v>34</v>
      </c>
      <c r="B85" s="143"/>
      <c r="C85" s="6">
        <v>24</v>
      </c>
      <c r="D85" s="6" t="s">
        <v>37</v>
      </c>
      <c r="E85" s="6">
        <v>9</v>
      </c>
      <c r="F85" s="6">
        <v>18</v>
      </c>
      <c r="G85" s="7">
        <v>1.5</v>
      </c>
      <c r="H85" s="23">
        <v>44.67</v>
      </c>
      <c r="I85" s="29">
        <f>O85*8%</f>
        <v>60.88</v>
      </c>
      <c r="J85" s="30">
        <f>O85*10%</f>
        <v>76.100000000000009</v>
      </c>
      <c r="K85" s="30">
        <f>O85*10%</f>
        <v>76.100000000000009</v>
      </c>
      <c r="L85" s="40">
        <f>O85*14%</f>
        <v>106.54</v>
      </c>
      <c r="M85" s="40">
        <f>O85*11%+1</f>
        <v>84.71</v>
      </c>
      <c r="N85" s="31">
        <f>O85*10%</f>
        <v>76.100000000000009</v>
      </c>
      <c r="O85" s="38">
        <v>761</v>
      </c>
      <c r="R85"/>
      <c r="S85"/>
      <c r="T85"/>
      <c r="W85" s="43">
        <f t="shared" si="45"/>
        <v>17.036042086411459</v>
      </c>
    </row>
    <row r="86" spans="1:23" s="1" customFormat="1" x14ac:dyDescent="0.25">
      <c r="A86">
        <v>35</v>
      </c>
      <c r="G86" s="11" t="s">
        <v>42</v>
      </c>
      <c r="H86" s="8">
        <f>SUBTOTAL(9,H81:H85)</f>
        <v>280.92</v>
      </c>
      <c r="I86" s="15">
        <f>SUBTOTAL(9,I81:I85)+1</f>
        <v>451.15999999999997</v>
      </c>
      <c r="J86" s="15">
        <f>SUBTOTAL(9,J81:J85)+1</f>
        <v>563.70000000000005</v>
      </c>
      <c r="K86" s="15">
        <f>SUBTOTAL(9,K81:K85)+1</f>
        <v>563.70000000000005</v>
      </c>
      <c r="L86" s="16">
        <f t="shared" ref="L86:M86" si="46">SUBTOTAL(9,L81:L85)</f>
        <v>788.78000000000009</v>
      </c>
      <c r="M86" s="16">
        <f t="shared" si="46"/>
        <v>620.97</v>
      </c>
      <c r="N86" s="16">
        <f>SUBTOTAL(9,N81:N85)+1</f>
        <v>563.70000000000005</v>
      </c>
      <c r="O86" s="15">
        <f>SUBTOTAL(9,O78:O85)</f>
        <v>5627</v>
      </c>
      <c r="P86"/>
      <c r="W86" s="44">
        <f>O86/H86</f>
        <v>20.030613697849919</v>
      </c>
    </row>
    <row r="87" spans="1:23" ht="15.75" thickBot="1" x14ac:dyDescent="0.3">
      <c r="A87">
        <v>36</v>
      </c>
      <c r="L87" s="12"/>
      <c r="M87" s="12"/>
      <c r="R87"/>
      <c r="S87"/>
      <c r="T87"/>
      <c r="W87" s="45"/>
    </row>
    <row r="88" spans="1:23" s="5" customFormat="1" ht="30.75" customHeight="1" x14ac:dyDescent="0.25">
      <c r="A88">
        <v>40</v>
      </c>
      <c r="B88" s="3" t="s">
        <v>1</v>
      </c>
      <c r="C88" s="3" t="s">
        <v>2</v>
      </c>
      <c r="D88" s="3" t="s">
        <v>3</v>
      </c>
      <c r="E88" s="3" t="s">
        <v>4</v>
      </c>
      <c r="F88" s="3" t="s">
        <v>5</v>
      </c>
      <c r="G88" s="4" t="s">
        <v>6</v>
      </c>
      <c r="H88" s="22" t="s">
        <v>7</v>
      </c>
      <c r="I88" s="24" t="s">
        <v>14</v>
      </c>
      <c r="J88" s="25" t="s">
        <v>47</v>
      </c>
      <c r="K88" s="25" t="s">
        <v>51</v>
      </c>
      <c r="L88" s="39" t="s">
        <v>48</v>
      </c>
      <c r="M88" s="39" t="s">
        <v>49</v>
      </c>
      <c r="N88" s="26" t="s">
        <v>50</v>
      </c>
      <c r="O88" s="37" t="s">
        <v>20</v>
      </c>
      <c r="W88" s="3" t="s">
        <v>46</v>
      </c>
    </row>
    <row r="89" spans="1:23" x14ac:dyDescent="0.25">
      <c r="A89">
        <v>41</v>
      </c>
      <c r="B89" s="142" t="s">
        <v>24</v>
      </c>
      <c r="C89" s="9">
        <v>25</v>
      </c>
      <c r="D89" s="6" t="s">
        <v>38</v>
      </c>
      <c r="E89" s="6">
        <v>2</v>
      </c>
      <c r="F89" s="6">
        <v>4</v>
      </c>
      <c r="G89" s="7"/>
      <c r="H89" s="23">
        <v>38.200000000000003</v>
      </c>
      <c r="I89" s="27">
        <f>O89*8%</f>
        <v>12.08</v>
      </c>
      <c r="J89" s="13">
        <f>O89*10%</f>
        <v>15.100000000000001</v>
      </c>
      <c r="K89" s="13">
        <f>O89*10%</f>
        <v>15.100000000000001</v>
      </c>
      <c r="L89" s="14">
        <f>O89*14%</f>
        <v>21.14</v>
      </c>
      <c r="M89" s="14">
        <f>O89*11%</f>
        <v>16.61</v>
      </c>
      <c r="N89" s="28">
        <f>O89*10%</f>
        <v>15.100000000000001</v>
      </c>
      <c r="O89" s="38">
        <v>151</v>
      </c>
      <c r="R89"/>
      <c r="S89"/>
      <c r="T89"/>
      <c r="W89" s="43">
        <f t="shared" ref="W89:W90" si="47">O89/H89</f>
        <v>3.9528795811518322</v>
      </c>
    </row>
    <row r="90" spans="1:23" ht="15.75" thickBot="1" x14ac:dyDescent="0.3">
      <c r="A90">
        <v>42</v>
      </c>
      <c r="B90" s="144"/>
      <c r="C90" s="9" t="s">
        <v>25</v>
      </c>
      <c r="D90" s="6" t="s">
        <v>38</v>
      </c>
      <c r="E90" s="6">
        <v>2</v>
      </c>
      <c r="F90" s="6">
        <v>6</v>
      </c>
      <c r="G90" s="7"/>
      <c r="H90" s="23">
        <v>22.7</v>
      </c>
      <c r="I90" s="29">
        <f>O90*8%</f>
        <v>10.64</v>
      </c>
      <c r="J90" s="30">
        <f>O90*10%+1</f>
        <v>14.3</v>
      </c>
      <c r="K90" s="30">
        <f>O90*10%+1</f>
        <v>14.3</v>
      </c>
      <c r="L90" s="40">
        <f>O90*14%</f>
        <v>18.62</v>
      </c>
      <c r="M90" s="40">
        <f>O90*11%</f>
        <v>14.63</v>
      </c>
      <c r="N90" s="31">
        <f>O90*10%+1</f>
        <v>14.3</v>
      </c>
      <c r="O90" s="38">
        <v>133</v>
      </c>
      <c r="R90"/>
      <c r="S90"/>
      <c r="T90"/>
      <c r="W90" s="43">
        <f t="shared" si="47"/>
        <v>5.8590308370044051</v>
      </c>
    </row>
    <row r="91" spans="1:23" ht="15.75" hidden="1" thickBot="1" x14ac:dyDescent="0.3">
      <c r="A91">
        <v>43</v>
      </c>
      <c r="B91" s="144"/>
      <c r="C91" s="10" t="s">
        <v>26</v>
      </c>
      <c r="D91" s="137" t="s">
        <v>27</v>
      </c>
      <c r="E91" s="138"/>
      <c r="F91" s="138"/>
      <c r="G91" s="138"/>
      <c r="H91" s="138"/>
      <c r="I91" s="135"/>
      <c r="J91" s="135"/>
      <c r="K91" s="135"/>
      <c r="L91" s="135"/>
      <c r="M91" s="135"/>
      <c r="N91" s="135"/>
      <c r="O91" s="139"/>
      <c r="R91"/>
      <c r="S91"/>
      <c r="T91"/>
      <c r="W91" s="43"/>
    </row>
    <row r="92" spans="1:23" x14ac:dyDescent="0.25">
      <c r="A92">
        <v>44</v>
      </c>
      <c r="B92" s="144"/>
      <c r="C92" s="9">
        <v>27</v>
      </c>
      <c r="D92" s="6" t="s">
        <v>38</v>
      </c>
      <c r="E92" s="6">
        <v>2</v>
      </c>
      <c r="F92" s="6">
        <v>6</v>
      </c>
      <c r="G92" s="7"/>
      <c r="H92" s="60">
        <v>14.3</v>
      </c>
      <c r="I92" s="32">
        <f>O92*8%</f>
        <v>6.8</v>
      </c>
      <c r="J92" s="33">
        <f>O92*10%</f>
        <v>8.5</v>
      </c>
      <c r="K92" s="33">
        <f>O92*10%</f>
        <v>8.5</v>
      </c>
      <c r="L92" s="41">
        <f>O92*14%</f>
        <v>11.9</v>
      </c>
      <c r="M92" s="41">
        <f>O92*11%</f>
        <v>9.35</v>
      </c>
      <c r="N92" s="34">
        <f>O92*10%</f>
        <v>8.5</v>
      </c>
      <c r="O92" s="38">
        <v>85</v>
      </c>
      <c r="R92"/>
      <c r="S92"/>
      <c r="T92"/>
      <c r="W92" s="43">
        <f t="shared" ref="W92:W96" si="48">O92/H92</f>
        <v>5.9440559440559442</v>
      </c>
    </row>
    <row r="93" spans="1:23" x14ac:dyDescent="0.25">
      <c r="A93">
        <v>45</v>
      </c>
      <c r="B93" s="144"/>
      <c r="C93" s="9">
        <v>28</v>
      </c>
      <c r="D93" s="6" t="s">
        <v>39</v>
      </c>
      <c r="E93" s="6">
        <v>3</v>
      </c>
      <c r="F93" s="6">
        <v>12</v>
      </c>
      <c r="G93" s="7"/>
      <c r="H93" s="60">
        <v>21.9</v>
      </c>
      <c r="I93" s="27">
        <f>O93*8%</f>
        <v>20.96</v>
      </c>
      <c r="J93" s="13">
        <f>O93*10%</f>
        <v>26.200000000000003</v>
      </c>
      <c r="K93" s="13">
        <f>O93*10%</f>
        <v>26.200000000000003</v>
      </c>
      <c r="L93" s="14">
        <f>O93*14%</f>
        <v>36.680000000000007</v>
      </c>
      <c r="M93" s="14">
        <f>O93*11%</f>
        <v>28.82</v>
      </c>
      <c r="N93" s="28">
        <f>O93*10%</f>
        <v>26.200000000000003</v>
      </c>
      <c r="O93" s="38">
        <v>262</v>
      </c>
      <c r="R93"/>
      <c r="S93"/>
      <c r="T93"/>
      <c r="W93" s="43">
        <f t="shared" si="48"/>
        <v>11.963470319634704</v>
      </c>
    </row>
    <row r="94" spans="1:23" x14ac:dyDescent="0.25">
      <c r="A94">
        <v>46</v>
      </c>
      <c r="B94" s="144"/>
      <c r="C94" s="9">
        <v>29</v>
      </c>
      <c r="D94" s="6" t="s">
        <v>40</v>
      </c>
      <c r="E94" s="6" t="s">
        <v>28</v>
      </c>
      <c r="F94" s="6">
        <v>4</v>
      </c>
      <c r="G94" s="7"/>
      <c r="H94" s="60">
        <v>19.2</v>
      </c>
      <c r="I94" s="27">
        <f>O94*8%</f>
        <v>6.08</v>
      </c>
      <c r="J94" s="13">
        <f>O94*10%</f>
        <v>7.6000000000000005</v>
      </c>
      <c r="K94" s="13">
        <f>O94*10%</f>
        <v>7.6000000000000005</v>
      </c>
      <c r="L94" s="14">
        <f>O94*14%</f>
        <v>10.64</v>
      </c>
      <c r="M94" s="14">
        <f>O94*11%</f>
        <v>8.36</v>
      </c>
      <c r="N94" s="28">
        <f>O94*10%</f>
        <v>7.6000000000000005</v>
      </c>
      <c r="O94" s="38">
        <v>76</v>
      </c>
      <c r="R94"/>
      <c r="S94"/>
      <c r="T94"/>
      <c r="W94" s="43">
        <f t="shared" si="48"/>
        <v>3.9583333333333335</v>
      </c>
    </row>
    <row r="95" spans="1:23" x14ac:dyDescent="0.25">
      <c r="A95">
        <v>47</v>
      </c>
      <c r="B95" s="144"/>
      <c r="C95" s="9">
        <v>30</v>
      </c>
      <c r="D95" s="6" t="s">
        <v>40</v>
      </c>
      <c r="E95" s="6" t="s">
        <v>28</v>
      </c>
      <c r="F95" s="6">
        <v>4</v>
      </c>
      <c r="G95" s="7"/>
      <c r="H95" s="60">
        <v>24.3</v>
      </c>
      <c r="I95" s="27">
        <f>O95*8%</f>
        <v>7.6000000000000005</v>
      </c>
      <c r="J95" s="13">
        <f>O95*10%</f>
        <v>9.5</v>
      </c>
      <c r="K95" s="13">
        <f>O95*10%</f>
        <v>9.5</v>
      </c>
      <c r="L95" s="14">
        <f>O95*14%+1</f>
        <v>14.3</v>
      </c>
      <c r="M95" s="14">
        <f>O95*11%+1</f>
        <v>11.45</v>
      </c>
      <c r="N95" s="28">
        <f>O95*10%</f>
        <v>9.5</v>
      </c>
      <c r="O95" s="38">
        <v>95</v>
      </c>
      <c r="R95"/>
      <c r="S95"/>
      <c r="T95"/>
      <c r="W95" s="43">
        <f t="shared" si="48"/>
        <v>3.9094650205761314</v>
      </c>
    </row>
    <row r="96" spans="1:23" ht="15.75" thickBot="1" x14ac:dyDescent="0.3">
      <c r="A96">
        <v>48</v>
      </c>
      <c r="B96" s="144"/>
      <c r="C96" s="9">
        <v>31</v>
      </c>
      <c r="D96" s="6" t="s">
        <v>40</v>
      </c>
      <c r="E96" s="6" t="s">
        <v>28</v>
      </c>
      <c r="F96" s="6">
        <v>4</v>
      </c>
      <c r="G96" s="7"/>
      <c r="H96" s="60">
        <v>34</v>
      </c>
      <c r="I96" s="29">
        <f>O96*8%</f>
        <v>10.8</v>
      </c>
      <c r="J96" s="30">
        <f>O96*10%</f>
        <v>13.5</v>
      </c>
      <c r="K96" s="30">
        <f>O96*10%</f>
        <v>13.5</v>
      </c>
      <c r="L96" s="40">
        <f>O96*14%</f>
        <v>18.900000000000002</v>
      </c>
      <c r="M96" s="40">
        <f>O96*11%</f>
        <v>14.85</v>
      </c>
      <c r="N96" s="31">
        <f>O96*10%</f>
        <v>13.5</v>
      </c>
      <c r="O96" s="46">
        <v>135</v>
      </c>
      <c r="R96"/>
      <c r="S96"/>
      <c r="T96"/>
      <c r="W96" s="47">
        <f t="shared" si="48"/>
        <v>3.9705882352941178</v>
      </c>
    </row>
    <row r="97" spans="1:23" hidden="1" x14ac:dyDescent="0.25">
      <c r="A97">
        <v>49</v>
      </c>
      <c r="B97" s="143"/>
      <c r="C97" s="10">
        <v>32</v>
      </c>
      <c r="D97" s="140" t="s">
        <v>29</v>
      </c>
      <c r="E97" s="140"/>
      <c r="F97" s="140"/>
      <c r="G97" s="140"/>
      <c r="H97" s="140"/>
      <c r="I97" s="141"/>
      <c r="J97" s="141"/>
      <c r="K97" s="141"/>
      <c r="L97" s="141"/>
      <c r="M97" s="141"/>
      <c r="N97" s="141"/>
      <c r="O97" s="140"/>
      <c r="P97" s="140"/>
      <c r="Q97" s="140"/>
      <c r="R97" s="140"/>
      <c r="S97" s="140"/>
      <c r="T97" s="140"/>
      <c r="U97" s="140"/>
      <c r="V97" s="140"/>
      <c r="W97" s="140"/>
    </row>
    <row r="98" spans="1:23" s="1" customFormat="1" x14ac:dyDescent="0.25">
      <c r="A98">
        <v>50</v>
      </c>
      <c r="G98" s="11" t="s">
        <v>42</v>
      </c>
      <c r="H98" s="8">
        <f>SUBTOTAL(9,H89:H97)</f>
        <v>174.6</v>
      </c>
      <c r="I98" s="15">
        <f>SUBTOTAL(9,I89:I97)+1</f>
        <v>75.959999999999994</v>
      </c>
      <c r="J98" s="15">
        <f t="shared" ref="J98:K98" si="49">SUBTOTAL(9,J89:J97)</f>
        <v>94.7</v>
      </c>
      <c r="K98" s="15">
        <f t="shared" si="49"/>
        <v>94.7</v>
      </c>
      <c r="L98" s="16">
        <f>SUBTOTAL(9,L89:L97)+1</f>
        <v>133.18</v>
      </c>
      <c r="M98" s="16">
        <f t="shared" ref="M98:N98" si="50">SUBTOTAL(9,M89:M97)</f>
        <v>104.07</v>
      </c>
      <c r="N98" s="16">
        <f t="shared" si="50"/>
        <v>94.7</v>
      </c>
      <c r="O98" s="15">
        <f>SUBTOTAL(9,O89:O97)+1</f>
        <v>938</v>
      </c>
      <c r="W98" s="44">
        <f>O98/H98</f>
        <v>5.3722794959908367</v>
      </c>
    </row>
    <row r="99" spans="1:23" x14ac:dyDescent="0.25">
      <c r="A99">
        <v>51</v>
      </c>
      <c r="L99" s="12"/>
      <c r="M99" s="12"/>
      <c r="R99"/>
      <c r="S99"/>
      <c r="T99"/>
      <c r="W99" s="45"/>
    </row>
    <row r="100" spans="1:23" ht="15.75" thickBot="1" x14ac:dyDescent="0.3">
      <c r="A100">
        <v>52</v>
      </c>
      <c r="L100" s="12"/>
      <c r="M100" s="12"/>
      <c r="R100"/>
      <c r="S100"/>
      <c r="T100"/>
      <c r="W100" s="45"/>
    </row>
    <row r="101" spans="1:23" s="5" customFormat="1" ht="30.75" customHeight="1" x14ac:dyDescent="0.25">
      <c r="A101">
        <v>53</v>
      </c>
      <c r="B101" s="3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4" t="s">
        <v>6</v>
      </c>
      <c r="H101" s="22" t="s">
        <v>7</v>
      </c>
      <c r="I101" s="24" t="s">
        <v>14</v>
      </c>
      <c r="J101" s="25" t="s">
        <v>47</v>
      </c>
      <c r="K101" s="25" t="s">
        <v>51</v>
      </c>
      <c r="L101" s="39" t="s">
        <v>48</v>
      </c>
      <c r="M101" s="39" t="s">
        <v>49</v>
      </c>
      <c r="N101" s="26" t="s">
        <v>50</v>
      </c>
      <c r="O101" s="37" t="s">
        <v>20</v>
      </c>
      <c r="W101" s="3" t="s">
        <v>46</v>
      </c>
    </row>
    <row r="102" spans="1:23" x14ac:dyDescent="0.25">
      <c r="A102">
        <v>54</v>
      </c>
      <c r="B102" s="142" t="s">
        <v>30</v>
      </c>
      <c r="C102" s="6">
        <v>33</v>
      </c>
      <c r="D102" s="6" t="s">
        <v>39</v>
      </c>
      <c r="E102" s="6">
        <v>3</v>
      </c>
      <c r="F102" s="6">
        <v>15</v>
      </c>
      <c r="G102" s="7">
        <v>1.25</v>
      </c>
      <c r="H102" s="23">
        <v>28.4</v>
      </c>
      <c r="I102" s="27">
        <f>O102*8%</f>
        <v>34.160000000000004</v>
      </c>
      <c r="J102" s="13">
        <f>O102*10%</f>
        <v>42.7</v>
      </c>
      <c r="K102" s="13">
        <f>O102*10%</f>
        <v>42.7</v>
      </c>
      <c r="L102" s="14">
        <f>O102*14%</f>
        <v>59.780000000000008</v>
      </c>
      <c r="M102" s="14">
        <f>O102*11%</f>
        <v>46.97</v>
      </c>
      <c r="N102" s="28">
        <f>O102*10%</f>
        <v>42.7</v>
      </c>
      <c r="O102" s="38">
        <v>427</v>
      </c>
      <c r="R102"/>
      <c r="S102"/>
      <c r="T102"/>
      <c r="W102" s="43">
        <f t="shared" ref="W102:W103" si="51">O102/H102</f>
        <v>15.035211267605634</v>
      </c>
    </row>
    <row r="103" spans="1:23" ht="15.75" thickBot="1" x14ac:dyDescent="0.3">
      <c r="A103">
        <v>55</v>
      </c>
      <c r="B103" s="143"/>
      <c r="C103" s="6">
        <v>39</v>
      </c>
      <c r="D103" s="6" t="s">
        <v>41</v>
      </c>
      <c r="E103" s="6">
        <v>8</v>
      </c>
      <c r="F103" s="6">
        <v>6</v>
      </c>
      <c r="G103" s="7">
        <v>0.5</v>
      </c>
      <c r="H103" s="23">
        <v>4.5</v>
      </c>
      <c r="I103" s="29">
        <f>O103*8%</f>
        <v>2.16</v>
      </c>
      <c r="J103" s="30">
        <f>O103*10%</f>
        <v>2.7</v>
      </c>
      <c r="K103" s="30">
        <f>O103*10%</f>
        <v>2.7</v>
      </c>
      <c r="L103" s="40">
        <f>O103*14%</f>
        <v>3.7800000000000002</v>
      </c>
      <c r="M103" s="40">
        <f>O103*11%</f>
        <v>2.97</v>
      </c>
      <c r="N103" s="31">
        <f>O103*10%</f>
        <v>2.7</v>
      </c>
      <c r="O103" s="42">
        <v>27</v>
      </c>
      <c r="R103"/>
      <c r="S103"/>
      <c r="T103"/>
      <c r="W103" s="43">
        <f t="shared" si="51"/>
        <v>6</v>
      </c>
    </row>
    <row r="104" spans="1:23" s="1" customFormat="1" x14ac:dyDescent="0.25">
      <c r="G104" s="11" t="s">
        <v>42</v>
      </c>
      <c r="H104" s="8">
        <f>SUBTOTAL(9,H98:H103)</f>
        <v>32.9</v>
      </c>
      <c r="I104" s="15">
        <f t="shared" ref="I104:O104" si="52">SUBTOTAL(9,I102:I103)</f>
        <v>36.320000000000007</v>
      </c>
      <c r="J104" s="15">
        <f t="shared" si="52"/>
        <v>45.400000000000006</v>
      </c>
      <c r="K104" s="15">
        <f t="shared" si="52"/>
        <v>45.400000000000006</v>
      </c>
      <c r="L104" s="16">
        <f t="shared" si="52"/>
        <v>63.560000000000009</v>
      </c>
      <c r="M104" s="16">
        <f t="shared" si="52"/>
        <v>49.94</v>
      </c>
      <c r="N104" s="16">
        <f t="shared" si="52"/>
        <v>45.400000000000006</v>
      </c>
      <c r="O104" s="15">
        <f t="shared" si="52"/>
        <v>454</v>
      </c>
      <c r="W104" s="44">
        <f>O104/H104</f>
        <v>13.799392097264437</v>
      </c>
    </row>
    <row r="105" spans="1:23" s="1" customFormat="1" x14ac:dyDescent="0.25">
      <c r="G105" s="11"/>
      <c r="H105" s="8"/>
      <c r="I105" s="15"/>
      <c r="J105" s="15"/>
      <c r="K105" s="15"/>
      <c r="L105" s="15"/>
      <c r="M105" s="15"/>
      <c r="N105" s="16"/>
      <c r="O105" s="15"/>
      <c r="P105" s="15"/>
      <c r="Q105" s="15"/>
      <c r="R105" s="16"/>
      <c r="S105" s="16"/>
      <c r="T105" s="16"/>
      <c r="U105" s="15"/>
    </row>
    <row r="106" spans="1:23" s="1" customFormat="1" ht="15.75" thickBot="1" x14ac:dyDescent="0.3">
      <c r="B106" s="1" t="s">
        <v>43</v>
      </c>
      <c r="G106" s="11"/>
      <c r="H106" s="8"/>
      <c r="I106" s="15"/>
      <c r="J106" s="15"/>
      <c r="K106" s="15"/>
      <c r="L106" s="15"/>
      <c r="M106" s="15"/>
      <c r="N106" s="16"/>
      <c r="O106" s="15"/>
      <c r="P106" s="15"/>
      <c r="Q106" s="15"/>
      <c r="R106" s="16"/>
      <c r="S106" s="16"/>
      <c r="T106" s="16"/>
      <c r="U106" s="15"/>
    </row>
    <row r="107" spans="1:23" s="1" customFormat="1" ht="30" x14ac:dyDescent="0.25">
      <c r="B107" s="48" t="s">
        <v>7</v>
      </c>
      <c r="C107" s="52" t="s">
        <v>8</v>
      </c>
      <c r="D107" s="53" t="s">
        <v>9</v>
      </c>
      <c r="E107" s="53" t="s">
        <v>10</v>
      </c>
      <c r="F107" s="53" t="s">
        <v>11</v>
      </c>
      <c r="G107" s="53" t="s">
        <v>12</v>
      </c>
      <c r="H107" s="54" t="s">
        <v>13</v>
      </c>
      <c r="I107" s="25" t="s">
        <v>14</v>
      </c>
      <c r="J107" s="25" t="s">
        <v>47</v>
      </c>
      <c r="K107" s="25" t="s">
        <v>51</v>
      </c>
      <c r="L107" s="39" t="s">
        <v>48</v>
      </c>
      <c r="M107" s="39" t="s">
        <v>49</v>
      </c>
      <c r="N107" s="26" t="s">
        <v>50</v>
      </c>
      <c r="O107" s="50" t="s">
        <v>20</v>
      </c>
      <c r="P107" s="15"/>
      <c r="Q107" s="15"/>
      <c r="R107" s="16"/>
      <c r="S107" s="16"/>
      <c r="T107" s="16"/>
      <c r="U107" s="15"/>
      <c r="W107" s="3" t="s">
        <v>46</v>
      </c>
    </row>
    <row r="108" spans="1:23" s="17" customFormat="1" ht="15.75" customHeight="1" thickBot="1" x14ac:dyDescent="0.3">
      <c r="B108" s="49">
        <f>H17+H27+H35+H47+H52</f>
        <v>1413.5900000000001</v>
      </c>
      <c r="C108" s="55">
        <f>I17+I27+I35+I47+I52</f>
        <v>1235.1500000000001</v>
      </c>
      <c r="D108" s="56">
        <f>J17+J27+J35+J47+J52-1</f>
        <v>984.71999999999991</v>
      </c>
      <c r="E108" s="56">
        <f>K17+K27+K35+K47+K52</f>
        <v>1727.01</v>
      </c>
      <c r="F108" s="56">
        <f>L17+L27+L35+L47+L52</f>
        <v>1727.01</v>
      </c>
      <c r="G108" s="56">
        <f>M17+M27+M35+M47+M52</f>
        <v>1727.01</v>
      </c>
      <c r="H108" s="56">
        <f>N17+N27+N35+N47+N52</f>
        <v>1727.01</v>
      </c>
      <c r="I108" s="57">
        <f>I68+I78+I86+I98+I104</f>
        <v>1983.4399999999998</v>
      </c>
      <c r="J108" s="56">
        <f>P17+P27+P35+P47+P52+1</f>
        <v>2479.3000000000002</v>
      </c>
      <c r="K108" s="56">
        <f>Q17+Q27+Q35+Q47+Q52+1</f>
        <v>2479.3000000000002</v>
      </c>
      <c r="L108" s="56">
        <f>R17+R27+R35+R47+R52</f>
        <v>3468.02</v>
      </c>
      <c r="M108" s="56">
        <f>S17+S27+S35+S47+S52</f>
        <v>2723.73</v>
      </c>
      <c r="N108" s="58">
        <f>T17+T27+T35+T47+T52</f>
        <v>2478.3000000000002</v>
      </c>
      <c r="O108" s="51">
        <f>U17+U27+U35+U47+U52+1</f>
        <v>24744</v>
      </c>
      <c r="W108" s="59">
        <f>O108/B108</f>
        <v>17.504368310471918</v>
      </c>
    </row>
  </sheetData>
  <mergeCells count="14">
    <mergeCell ref="B5:B16"/>
    <mergeCell ref="B20:B26"/>
    <mergeCell ref="B30:B34"/>
    <mergeCell ref="B38:B46"/>
    <mergeCell ref="B102:B103"/>
    <mergeCell ref="D46:N46"/>
    <mergeCell ref="D40:N40"/>
    <mergeCell ref="D91:O91"/>
    <mergeCell ref="D97:W97"/>
    <mergeCell ref="B50:B51"/>
    <mergeCell ref="B56:B67"/>
    <mergeCell ref="B71:B77"/>
    <mergeCell ref="B81:B85"/>
    <mergeCell ref="B89:B97"/>
  </mergeCell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landscape" r:id="rId1"/>
  <rowBreaks count="4" manualBreakCount="4">
    <brk id="27" max="16383" man="1"/>
    <brk id="53" max="22" man="1"/>
    <brk id="78" max="16383" man="1"/>
    <brk id="10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1DD1-C270-4249-820B-D4ED18C5C87B}">
  <sheetPr>
    <tabColor theme="1"/>
    <pageSetUpPr fitToPage="1"/>
  </sheetPr>
  <dimension ref="A1:Y108"/>
  <sheetViews>
    <sheetView view="pageBreakPreview" topLeftCell="B80" zoomScale="115" zoomScaleNormal="130" zoomScaleSheetLayoutView="115" workbookViewId="0">
      <selection activeCell="AA13" sqref="AA13"/>
    </sheetView>
  </sheetViews>
  <sheetFormatPr defaultRowHeight="15" x14ac:dyDescent="0.25"/>
  <cols>
    <col min="1" max="1" width="0" hidden="1" customWidth="1"/>
    <col min="7" max="8" width="9.140625" style="2"/>
    <col min="14" max="14" width="9.140625" style="12"/>
    <col min="15" max="15" width="9.140625" customWidth="1"/>
    <col min="16" max="22" width="9.140625" style="62" hidden="1" customWidth="1"/>
    <col min="23" max="23" width="0" style="62" hidden="1" customWidth="1"/>
    <col min="24" max="25" width="9.140625" style="62"/>
  </cols>
  <sheetData>
    <row r="1" spans="1:25" x14ac:dyDescent="0.25">
      <c r="A1">
        <v>1</v>
      </c>
      <c r="B1" s="1" t="s">
        <v>0</v>
      </c>
    </row>
    <row r="2" spans="1:25" x14ac:dyDescent="0.25">
      <c r="A2">
        <v>2</v>
      </c>
      <c r="B2" s="1" t="s">
        <v>52</v>
      </c>
    </row>
    <row r="3" spans="1:25" ht="15.75" thickBot="1" x14ac:dyDescent="0.3">
      <c r="A3">
        <v>3</v>
      </c>
      <c r="B3" s="1" t="s">
        <v>44</v>
      </c>
      <c r="C3" s="1"/>
    </row>
    <row r="4" spans="1:25" s="5" customFormat="1" ht="30.75" customHeight="1" x14ac:dyDescent="0.25">
      <c r="A4">
        <v>4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4" t="s">
        <v>6</v>
      </c>
      <c r="H4" s="22" t="s">
        <v>7</v>
      </c>
      <c r="I4" s="24" t="s">
        <v>53</v>
      </c>
      <c r="J4" s="25" t="s">
        <v>54</v>
      </c>
      <c r="K4" s="25" t="s">
        <v>10</v>
      </c>
      <c r="L4" s="25" t="s">
        <v>55</v>
      </c>
      <c r="M4" s="25" t="s">
        <v>56</v>
      </c>
      <c r="N4" s="26" t="s">
        <v>13</v>
      </c>
      <c r="O4" s="18" t="s">
        <v>14</v>
      </c>
      <c r="P4" s="63" t="s">
        <v>15</v>
      </c>
      <c r="Q4" s="63" t="s">
        <v>16</v>
      </c>
      <c r="R4" s="63" t="s">
        <v>17</v>
      </c>
      <c r="S4" s="63" t="s">
        <v>18</v>
      </c>
      <c r="T4" s="63" t="s">
        <v>19</v>
      </c>
      <c r="U4" s="63" t="s">
        <v>20</v>
      </c>
      <c r="V4" s="63"/>
      <c r="W4" s="63"/>
      <c r="X4" s="63"/>
      <c r="Y4" s="63"/>
    </row>
    <row r="5" spans="1:25" x14ac:dyDescent="0.25">
      <c r="A5">
        <v>5</v>
      </c>
      <c r="B5" s="142" t="s">
        <v>21</v>
      </c>
      <c r="C5" s="6">
        <v>1</v>
      </c>
      <c r="D5" s="6" t="s">
        <v>31</v>
      </c>
      <c r="E5" s="6">
        <v>11</v>
      </c>
      <c r="F5" s="6">
        <v>20</v>
      </c>
      <c r="G5" s="7">
        <v>1.67</v>
      </c>
      <c r="H5" s="23">
        <v>53.09</v>
      </c>
      <c r="I5" s="27">
        <f>O56*6%+1</f>
        <v>61.54</v>
      </c>
      <c r="J5" s="13">
        <f>O56*7%+1</f>
        <v>71.63000000000001</v>
      </c>
      <c r="K5" s="13">
        <f>O56*7%-1</f>
        <v>69.63000000000001</v>
      </c>
      <c r="L5" s="13">
        <f>O56*9%-1</f>
        <v>89.81</v>
      </c>
      <c r="M5" s="13">
        <f>O56*8%-1</f>
        <v>79.72</v>
      </c>
      <c r="N5" s="28">
        <f>O56*7%-1</f>
        <v>69.63000000000001</v>
      </c>
      <c r="O5" s="19">
        <f>U5*8%</f>
        <v>80.72</v>
      </c>
      <c r="P5" s="64">
        <f>U5*10%</f>
        <v>100.9</v>
      </c>
      <c r="Q5" s="64">
        <f>U5*10%</f>
        <v>100.9</v>
      </c>
      <c r="R5" s="64">
        <f>U5*14%+1</f>
        <v>142.26000000000002</v>
      </c>
      <c r="S5" s="64">
        <f>U5*11%</f>
        <v>110.99</v>
      </c>
      <c r="T5" s="64">
        <f>U5*10%</f>
        <v>100.9</v>
      </c>
      <c r="U5" s="64">
        <v>1009</v>
      </c>
    </row>
    <row r="6" spans="1:25" x14ac:dyDescent="0.25">
      <c r="A6">
        <v>6</v>
      </c>
      <c r="B6" s="144"/>
      <c r="C6" s="6">
        <v>2</v>
      </c>
      <c r="D6" s="6" t="s">
        <v>31</v>
      </c>
      <c r="E6" s="6">
        <v>11</v>
      </c>
      <c r="F6" s="6">
        <v>20</v>
      </c>
      <c r="G6" s="7">
        <v>1.67</v>
      </c>
      <c r="H6" s="23">
        <v>60.27</v>
      </c>
      <c r="I6" s="27">
        <f>O57*6%-1</f>
        <v>68.06</v>
      </c>
      <c r="J6" s="13">
        <f>O57*7%</f>
        <v>80.570000000000007</v>
      </c>
      <c r="K6" s="13">
        <f t="shared" ref="K6:K11" si="0">O57*7%</f>
        <v>80.570000000000007</v>
      </c>
      <c r="L6" s="13">
        <f t="shared" ref="L6:L11" si="1">O57*9%</f>
        <v>103.58999999999999</v>
      </c>
      <c r="M6" s="13">
        <f t="shared" ref="M6:M11" si="2">O57*8%</f>
        <v>92.08</v>
      </c>
      <c r="N6" s="28">
        <f t="shared" ref="N6:N11" si="3">O57*7%</f>
        <v>80.570000000000007</v>
      </c>
      <c r="O6" s="19">
        <f t="shared" ref="O6:O15" si="4">U6*8%</f>
        <v>92.08</v>
      </c>
      <c r="P6" s="64">
        <f t="shared" ref="P6:P16" si="5">U6*10%</f>
        <v>115.10000000000001</v>
      </c>
      <c r="Q6" s="64">
        <f t="shared" ref="Q6:Q16" si="6">U6*10%</f>
        <v>115.10000000000001</v>
      </c>
      <c r="R6" s="64">
        <f t="shared" ref="R6:R15" si="7">U6*14%</f>
        <v>161.14000000000001</v>
      </c>
      <c r="S6" s="64">
        <f>U6*11%-1</f>
        <v>125.61</v>
      </c>
      <c r="T6" s="64">
        <f t="shared" ref="T6:T16" si="8">U6*10%</f>
        <v>115.10000000000001</v>
      </c>
      <c r="U6" s="64">
        <v>1151</v>
      </c>
    </row>
    <row r="7" spans="1:25" x14ac:dyDescent="0.25">
      <c r="A7">
        <v>7</v>
      </c>
      <c r="B7" s="144"/>
      <c r="C7" s="6">
        <v>3</v>
      </c>
      <c r="D7" s="6" t="s">
        <v>31</v>
      </c>
      <c r="E7" s="6">
        <v>11</v>
      </c>
      <c r="F7" s="6">
        <v>20</v>
      </c>
      <c r="G7" s="7">
        <v>1.67</v>
      </c>
      <c r="H7" s="23">
        <v>69.040000000000006</v>
      </c>
      <c r="I7" s="27">
        <f>O58*6%</f>
        <v>78.72</v>
      </c>
      <c r="J7" s="13">
        <f>O58*7%</f>
        <v>91.84</v>
      </c>
      <c r="K7" s="13">
        <f t="shared" si="0"/>
        <v>91.84</v>
      </c>
      <c r="L7" s="13">
        <f t="shared" si="1"/>
        <v>118.08</v>
      </c>
      <c r="M7" s="13">
        <f t="shared" si="2"/>
        <v>104.96000000000001</v>
      </c>
      <c r="N7" s="28">
        <f t="shared" si="3"/>
        <v>91.84</v>
      </c>
      <c r="O7" s="19">
        <f t="shared" si="4"/>
        <v>104.96000000000001</v>
      </c>
      <c r="P7" s="64">
        <f t="shared" si="5"/>
        <v>131.20000000000002</v>
      </c>
      <c r="Q7" s="64">
        <f t="shared" si="6"/>
        <v>131.20000000000002</v>
      </c>
      <c r="R7" s="64">
        <f t="shared" si="7"/>
        <v>183.68</v>
      </c>
      <c r="S7" s="64">
        <f t="shared" ref="S7:S16" si="9">U7*11%</f>
        <v>144.32</v>
      </c>
      <c r="T7" s="64">
        <f t="shared" si="8"/>
        <v>131.20000000000002</v>
      </c>
      <c r="U7" s="64">
        <v>1312</v>
      </c>
    </row>
    <row r="8" spans="1:25" x14ac:dyDescent="0.25">
      <c r="A8">
        <v>8</v>
      </c>
      <c r="B8" s="144"/>
      <c r="C8" s="6">
        <v>4</v>
      </c>
      <c r="D8" s="6" t="s">
        <v>31</v>
      </c>
      <c r="E8" s="6">
        <v>11</v>
      </c>
      <c r="F8" s="6">
        <v>20</v>
      </c>
      <c r="G8" s="7">
        <v>1.67</v>
      </c>
      <c r="H8" s="23">
        <v>70.510000000000005</v>
      </c>
      <c r="I8" s="27">
        <f>O59*6%+1</f>
        <v>81.459999999999994</v>
      </c>
      <c r="J8" s="13">
        <f>O59*7%-1</f>
        <v>92.87</v>
      </c>
      <c r="K8" s="13">
        <f t="shared" si="0"/>
        <v>93.87</v>
      </c>
      <c r="L8" s="13">
        <f t="shared" si="1"/>
        <v>120.69</v>
      </c>
      <c r="M8" s="13">
        <f t="shared" si="2"/>
        <v>107.28</v>
      </c>
      <c r="N8" s="28">
        <f t="shared" si="3"/>
        <v>93.87</v>
      </c>
      <c r="O8" s="19">
        <f t="shared" si="4"/>
        <v>107.28</v>
      </c>
      <c r="P8" s="64">
        <f t="shared" si="5"/>
        <v>134.1</v>
      </c>
      <c r="Q8" s="64">
        <f t="shared" si="6"/>
        <v>134.1</v>
      </c>
      <c r="R8" s="64">
        <f t="shared" si="7"/>
        <v>187.74</v>
      </c>
      <c r="S8" s="64">
        <f>U8*11%-1</f>
        <v>146.51</v>
      </c>
      <c r="T8" s="64">
        <f t="shared" si="8"/>
        <v>134.1</v>
      </c>
      <c r="U8" s="64">
        <v>1341</v>
      </c>
    </row>
    <row r="9" spans="1:25" x14ac:dyDescent="0.25">
      <c r="A9">
        <v>9</v>
      </c>
      <c r="B9" s="144"/>
      <c r="C9" s="6">
        <v>5</v>
      </c>
      <c r="D9" s="6" t="s">
        <v>31</v>
      </c>
      <c r="E9" s="6">
        <v>11</v>
      </c>
      <c r="F9" s="6">
        <v>20</v>
      </c>
      <c r="G9" s="7">
        <v>1.67</v>
      </c>
      <c r="H9" s="23">
        <v>50.4</v>
      </c>
      <c r="I9" s="27">
        <f>O60*6%</f>
        <v>57.48</v>
      </c>
      <c r="J9" s="13">
        <f>O60*7%</f>
        <v>67.06</v>
      </c>
      <c r="K9" s="13">
        <f t="shared" si="0"/>
        <v>67.06</v>
      </c>
      <c r="L9" s="13">
        <f t="shared" si="1"/>
        <v>86.22</v>
      </c>
      <c r="M9" s="13">
        <f t="shared" si="2"/>
        <v>76.64</v>
      </c>
      <c r="N9" s="28">
        <f t="shared" si="3"/>
        <v>67.06</v>
      </c>
      <c r="O9" s="19">
        <f t="shared" si="4"/>
        <v>76.64</v>
      </c>
      <c r="P9" s="64">
        <f t="shared" si="5"/>
        <v>95.800000000000011</v>
      </c>
      <c r="Q9" s="64">
        <f t="shared" si="6"/>
        <v>95.800000000000011</v>
      </c>
      <c r="R9" s="64">
        <f t="shared" si="7"/>
        <v>134.12</v>
      </c>
      <c r="S9" s="64">
        <f t="shared" si="9"/>
        <v>105.38</v>
      </c>
      <c r="T9" s="64">
        <f t="shared" si="8"/>
        <v>95.800000000000011</v>
      </c>
      <c r="U9" s="64">
        <v>958</v>
      </c>
    </row>
    <row r="10" spans="1:25" x14ac:dyDescent="0.25">
      <c r="A10">
        <v>10</v>
      </c>
      <c r="B10" s="144"/>
      <c r="C10" s="6">
        <v>6</v>
      </c>
      <c r="D10" s="6" t="s">
        <v>31</v>
      </c>
      <c r="E10" s="6">
        <v>11</v>
      </c>
      <c r="F10" s="6">
        <v>20</v>
      </c>
      <c r="G10" s="7">
        <v>1.67</v>
      </c>
      <c r="H10" s="23">
        <v>58.6</v>
      </c>
      <c r="I10" s="27">
        <f>O61*6%</f>
        <v>66.84</v>
      </c>
      <c r="J10" s="13">
        <f>O61*7%</f>
        <v>77.98</v>
      </c>
      <c r="K10" s="13">
        <f t="shared" si="0"/>
        <v>77.98</v>
      </c>
      <c r="L10" s="13">
        <f t="shared" si="1"/>
        <v>100.25999999999999</v>
      </c>
      <c r="M10" s="13">
        <f t="shared" si="2"/>
        <v>89.12</v>
      </c>
      <c r="N10" s="28">
        <f t="shared" si="3"/>
        <v>77.98</v>
      </c>
      <c r="O10" s="19">
        <f t="shared" si="4"/>
        <v>89.12</v>
      </c>
      <c r="P10" s="64">
        <f t="shared" si="5"/>
        <v>111.4</v>
      </c>
      <c r="Q10" s="64">
        <f t="shared" si="6"/>
        <v>111.4</v>
      </c>
      <c r="R10" s="64">
        <f t="shared" si="7"/>
        <v>155.96</v>
      </c>
      <c r="S10" s="64">
        <f t="shared" si="9"/>
        <v>122.54</v>
      </c>
      <c r="T10" s="64">
        <f t="shared" si="8"/>
        <v>111.4</v>
      </c>
      <c r="U10" s="64">
        <v>1114</v>
      </c>
    </row>
    <row r="11" spans="1:25" x14ac:dyDescent="0.25">
      <c r="A11">
        <v>11</v>
      </c>
      <c r="B11" s="144"/>
      <c r="C11" s="6">
        <v>7</v>
      </c>
      <c r="D11" s="6" t="s">
        <v>31</v>
      </c>
      <c r="E11" s="6">
        <v>11</v>
      </c>
      <c r="F11" s="6">
        <v>17</v>
      </c>
      <c r="G11" s="7">
        <v>1.42</v>
      </c>
      <c r="H11" s="23">
        <v>23.6</v>
      </c>
      <c r="I11" s="27">
        <f>O62*6%</f>
        <v>22.86</v>
      </c>
      <c r="J11" s="13">
        <f>O62*7%</f>
        <v>26.67</v>
      </c>
      <c r="K11" s="13">
        <f t="shared" si="0"/>
        <v>26.67</v>
      </c>
      <c r="L11" s="13">
        <f t="shared" si="1"/>
        <v>34.29</v>
      </c>
      <c r="M11" s="13">
        <f t="shared" si="2"/>
        <v>30.48</v>
      </c>
      <c r="N11" s="28">
        <f t="shared" si="3"/>
        <v>26.67</v>
      </c>
      <c r="O11" s="19">
        <f t="shared" si="4"/>
        <v>30.48</v>
      </c>
      <c r="P11" s="64">
        <f t="shared" si="5"/>
        <v>38.1</v>
      </c>
      <c r="Q11" s="64">
        <f t="shared" si="6"/>
        <v>38.1</v>
      </c>
      <c r="R11" s="64">
        <f t="shared" si="7"/>
        <v>53.34</v>
      </c>
      <c r="S11" s="64">
        <f t="shared" si="9"/>
        <v>41.910000000000004</v>
      </c>
      <c r="T11" s="64">
        <f t="shared" si="8"/>
        <v>38.1</v>
      </c>
      <c r="U11" s="64">
        <v>381</v>
      </c>
    </row>
    <row r="12" spans="1:25" x14ac:dyDescent="0.25">
      <c r="A12">
        <v>12</v>
      </c>
      <c r="B12" s="144"/>
      <c r="C12" s="6">
        <v>8</v>
      </c>
      <c r="D12" s="6" t="s">
        <v>31</v>
      </c>
      <c r="E12" s="6">
        <v>11</v>
      </c>
      <c r="F12" s="6">
        <v>20</v>
      </c>
      <c r="G12" s="7">
        <v>1.67</v>
      </c>
      <c r="H12" s="23">
        <v>61.6</v>
      </c>
      <c r="I12" s="27">
        <f>O63*6%+1</f>
        <v>70.3</v>
      </c>
      <c r="J12" s="13">
        <f>O63*7%+1</f>
        <v>81.850000000000009</v>
      </c>
      <c r="K12" s="13">
        <f>O63*7%-3</f>
        <v>77.850000000000009</v>
      </c>
      <c r="L12" s="13">
        <f>O63*9%-3</f>
        <v>100.95</v>
      </c>
      <c r="M12" s="13">
        <f>O63*8%-3</f>
        <v>89.4</v>
      </c>
      <c r="N12" s="28">
        <f>O63*7%-3</f>
        <v>77.850000000000009</v>
      </c>
      <c r="O12" s="19">
        <f>U12*8%+2</f>
        <v>94.4</v>
      </c>
      <c r="P12" s="64">
        <f>U12*10%+1</f>
        <v>116.5</v>
      </c>
      <c r="Q12" s="64">
        <f>U12*10%+1</f>
        <v>116.5</v>
      </c>
      <c r="R12" s="64">
        <f>U12*14%+1</f>
        <v>162.70000000000002</v>
      </c>
      <c r="S12" s="64">
        <f>U12*11%+2</f>
        <v>129.05000000000001</v>
      </c>
      <c r="T12" s="64">
        <f>U12*10%+1</f>
        <v>116.5</v>
      </c>
      <c r="U12" s="64">
        <v>1155</v>
      </c>
    </row>
    <row r="13" spans="1:25" x14ac:dyDescent="0.25">
      <c r="A13">
        <v>13</v>
      </c>
      <c r="B13" s="144"/>
      <c r="C13" s="6">
        <v>9</v>
      </c>
      <c r="D13" s="6" t="s">
        <v>31</v>
      </c>
      <c r="E13" s="6">
        <v>11</v>
      </c>
      <c r="F13" s="6">
        <v>18</v>
      </c>
      <c r="G13" s="7">
        <v>1.5</v>
      </c>
      <c r="H13" s="23">
        <v>38.299999999999997</v>
      </c>
      <c r="I13" s="27">
        <f>O64*6%</f>
        <v>39.479999999999997</v>
      </c>
      <c r="J13" s="13">
        <f>O64*7%+1</f>
        <v>47.06</v>
      </c>
      <c r="K13" s="13">
        <f>O64*7%</f>
        <v>46.06</v>
      </c>
      <c r="L13" s="13">
        <f>O64*9%</f>
        <v>59.22</v>
      </c>
      <c r="M13" s="13">
        <f>O64*8%</f>
        <v>52.64</v>
      </c>
      <c r="N13" s="28">
        <f>O64*7%</f>
        <v>46.06</v>
      </c>
      <c r="O13" s="19">
        <f>U13*8%-1</f>
        <v>51.64</v>
      </c>
      <c r="P13" s="64">
        <f t="shared" si="5"/>
        <v>65.8</v>
      </c>
      <c r="Q13" s="64">
        <f t="shared" si="6"/>
        <v>65.8</v>
      </c>
      <c r="R13" s="64">
        <f t="shared" si="7"/>
        <v>92.12</v>
      </c>
      <c r="S13" s="64">
        <f t="shared" si="9"/>
        <v>72.38</v>
      </c>
      <c r="T13" s="64">
        <f t="shared" si="8"/>
        <v>65.8</v>
      </c>
      <c r="U13" s="64">
        <v>658</v>
      </c>
    </row>
    <row r="14" spans="1:25" x14ac:dyDescent="0.25">
      <c r="A14">
        <v>14</v>
      </c>
      <c r="B14" s="144"/>
      <c r="C14" s="6">
        <v>11</v>
      </c>
      <c r="D14" s="6" t="s">
        <v>33</v>
      </c>
      <c r="E14" s="6">
        <v>10.5</v>
      </c>
      <c r="F14" s="6">
        <v>19</v>
      </c>
      <c r="G14" s="7">
        <v>1.58</v>
      </c>
      <c r="H14" s="23">
        <v>44.5</v>
      </c>
      <c r="I14" s="27">
        <f>O65*6%</f>
        <v>48.239999999999995</v>
      </c>
      <c r="J14" s="13">
        <f>O65*7%</f>
        <v>56.280000000000008</v>
      </c>
      <c r="K14" s="13">
        <f>O65*7%</f>
        <v>56.280000000000008</v>
      </c>
      <c r="L14" s="13">
        <f>O65*9%</f>
        <v>72.36</v>
      </c>
      <c r="M14" s="13">
        <f>O65*8%</f>
        <v>64.320000000000007</v>
      </c>
      <c r="N14" s="28">
        <f>O65*7%</f>
        <v>56.280000000000008</v>
      </c>
      <c r="O14" s="19">
        <f>U14*8%+1</f>
        <v>65.320000000000007</v>
      </c>
      <c r="P14" s="64">
        <f>U14*10%+1</f>
        <v>81.400000000000006</v>
      </c>
      <c r="Q14" s="64">
        <f>U14*10%+1</f>
        <v>81.400000000000006</v>
      </c>
      <c r="R14" s="64">
        <f>U14*14%-1</f>
        <v>111.56000000000002</v>
      </c>
      <c r="S14" s="64">
        <f t="shared" si="9"/>
        <v>88.44</v>
      </c>
      <c r="T14" s="64">
        <f>U14*10%+1</f>
        <v>81.400000000000006</v>
      </c>
      <c r="U14" s="64">
        <v>804</v>
      </c>
    </row>
    <row r="15" spans="1:25" x14ac:dyDescent="0.25">
      <c r="A15">
        <v>15</v>
      </c>
      <c r="B15" s="144"/>
      <c r="C15" s="6">
        <v>12</v>
      </c>
      <c r="D15" s="6" t="s">
        <v>34</v>
      </c>
      <c r="E15" s="6">
        <v>10</v>
      </c>
      <c r="F15" s="6">
        <v>20</v>
      </c>
      <c r="G15" s="7">
        <v>1.67</v>
      </c>
      <c r="H15" s="23">
        <v>71</v>
      </c>
      <c r="I15" s="27">
        <f>O66*6%+1</f>
        <v>81.88</v>
      </c>
      <c r="J15" s="13">
        <f>O66*7%</f>
        <v>94.360000000000014</v>
      </c>
      <c r="K15" s="13">
        <f>O66*7%</f>
        <v>94.360000000000014</v>
      </c>
      <c r="L15" s="13">
        <f>O66*9%</f>
        <v>121.32</v>
      </c>
      <c r="M15" s="13">
        <f>O66*8%</f>
        <v>107.84</v>
      </c>
      <c r="N15" s="28">
        <f>O66*7%</f>
        <v>94.360000000000014</v>
      </c>
      <c r="O15" s="19">
        <f t="shared" si="4"/>
        <v>107.84</v>
      </c>
      <c r="P15" s="64">
        <f t="shared" si="5"/>
        <v>134.80000000000001</v>
      </c>
      <c r="Q15" s="64">
        <f t="shared" si="6"/>
        <v>134.80000000000001</v>
      </c>
      <c r="R15" s="64">
        <f t="shared" si="7"/>
        <v>188.72000000000003</v>
      </c>
      <c r="S15" s="64">
        <f t="shared" si="9"/>
        <v>148.28</v>
      </c>
      <c r="T15" s="64">
        <f t="shared" si="8"/>
        <v>134.80000000000001</v>
      </c>
      <c r="U15" s="64">
        <v>1348</v>
      </c>
    </row>
    <row r="16" spans="1:25" ht="15.75" thickBot="1" x14ac:dyDescent="0.3">
      <c r="A16">
        <v>16</v>
      </c>
      <c r="B16" s="143"/>
      <c r="C16" s="6">
        <v>23</v>
      </c>
      <c r="D16" s="6" t="s">
        <v>34</v>
      </c>
      <c r="E16" s="6">
        <v>10</v>
      </c>
      <c r="F16" s="6">
        <v>21</v>
      </c>
      <c r="G16" s="7">
        <v>1.75</v>
      </c>
      <c r="H16" s="23">
        <v>14.6</v>
      </c>
      <c r="I16" s="29">
        <f>O67*6%</f>
        <v>17.34</v>
      </c>
      <c r="J16" s="30">
        <f>O67*7%-1</f>
        <v>19.23</v>
      </c>
      <c r="K16" s="30">
        <f>O67*7%</f>
        <v>20.23</v>
      </c>
      <c r="L16" s="30">
        <f>O67*9%</f>
        <v>26.009999999999998</v>
      </c>
      <c r="M16" s="30">
        <f>O67*8%</f>
        <v>23.12</v>
      </c>
      <c r="N16" s="31">
        <f>O67*7%</f>
        <v>20.23</v>
      </c>
      <c r="O16" s="19">
        <f>U16*8%+1</f>
        <v>24.12</v>
      </c>
      <c r="P16" s="64">
        <f t="shared" si="5"/>
        <v>28.900000000000002</v>
      </c>
      <c r="Q16" s="64">
        <f t="shared" si="6"/>
        <v>28.900000000000002</v>
      </c>
      <c r="R16" s="64">
        <f>U16*14%+1</f>
        <v>41.46</v>
      </c>
      <c r="S16" s="64">
        <f t="shared" si="9"/>
        <v>31.79</v>
      </c>
      <c r="T16" s="64">
        <f t="shared" si="8"/>
        <v>28.900000000000002</v>
      </c>
      <c r="U16" s="64">
        <v>289</v>
      </c>
    </row>
    <row r="17" spans="1:25" s="1" customFormat="1" x14ac:dyDescent="0.25">
      <c r="A17">
        <v>17</v>
      </c>
      <c r="G17" s="11" t="s">
        <v>42</v>
      </c>
      <c r="H17" s="8">
        <f>SUBTOTAL(9,H5:H16)</f>
        <v>615.5100000000001</v>
      </c>
      <c r="I17" s="15">
        <f>SUBTOTAL(9,I5:I16)</f>
        <v>694.2</v>
      </c>
      <c r="J17" s="15">
        <f>SUBTOTAL(9,J5:J16)-1</f>
        <v>806.4</v>
      </c>
      <c r="K17" s="15">
        <f>SUBTOTAL(9,K5:K16)+1</f>
        <v>803.4</v>
      </c>
      <c r="L17" s="15">
        <f>SUBTOTAL(9,L5:L16)+1</f>
        <v>1033.8</v>
      </c>
      <c r="M17" s="15">
        <f>SUBTOTAL(9,M5:M16)+1</f>
        <v>918.6</v>
      </c>
      <c r="N17" s="15">
        <f>SUBTOTAL(9,N5:N16)+1</f>
        <v>803.4</v>
      </c>
      <c r="O17" s="20">
        <f>SUBTOTAL(9,O5:O16)-1</f>
        <v>923.6</v>
      </c>
      <c r="P17" s="65">
        <f t="shared" ref="P17:T17" si="10">SUBTOTAL(9,P5:P16)</f>
        <v>1154.0000000000002</v>
      </c>
      <c r="Q17" s="65">
        <f t="shared" si="10"/>
        <v>1154.0000000000002</v>
      </c>
      <c r="R17" s="65">
        <f t="shared" si="10"/>
        <v>1614.8</v>
      </c>
      <c r="S17" s="65">
        <f t="shared" si="10"/>
        <v>1267.1999999999998</v>
      </c>
      <c r="T17" s="65">
        <f t="shared" si="10"/>
        <v>1154.0000000000002</v>
      </c>
      <c r="U17" s="65">
        <f>SUBTOTAL(9,U5:U16)</f>
        <v>11520</v>
      </c>
      <c r="V17" s="66"/>
      <c r="W17" s="66"/>
      <c r="X17" s="66"/>
      <c r="Y17" s="66"/>
    </row>
    <row r="18" spans="1:25" ht="15.75" thickBot="1" x14ac:dyDescent="0.3">
      <c r="A18">
        <v>18</v>
      </c>
      <c r="O18" s="21"/>
    </row>
    <row r="19" spans="1:25" s="5" customFormat="1" ht="30.75" customHeight="1" x14ac:dyDescent="0.25">
      <c r="A19">
        <v>19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4" t="s">
        <v>6</v>
      </c>
      <c r="H19" s="22" t="s">
        <v>7</v>
      </c>
      <c r="I19" s="24" t="s">
        <v>53</v>
      </c>
      <c r="J19" s="25" t="s">
        <v>54</v>
      </c>
      <c r="K19" s="25" t="s">
        <v>10</v>
      </c>
      <c r="L19" s="25" t="s">
        <v>55</v>
      </c>
      <c r="M19" s="25" t="s">
        <v>56</v>
      </c>
      <c r="N19" s="26" t="s">
        <v>13</v>
      </c>
      <c r="O19" s="18" t="s">
        <v>14</v>
      </c>
      <c r="P19" s="63" t="s">
        <v>15</v>
      </c>
      <c r="Q19" s="63" t="s">
        <v>16</v>
      </c>
      <c r="R19" s="63" t="s">
        <v>17</v>
      </c>
      <c r="S19" s="63" t="s">
        <v>18</v>
      </c>
      <c r="T19" s="63" t="s">
        <v>19</v>
      </c>
      <c r="U19" s="63" t="s">
        <v>20</v>
      </c>
      <c r="V19" s="63"/>
      <c r="W19" s="63"/>
      <c r="X19" s="63"/>
      <c r="Y19" s="63"/>
    </row>
    <row r="20" spans="1:25" x14ac:dyDescent="0.25">
      <c r="A20">
        <v>20</v>
      </c>
      <c r="B20" s="142" t="s">
        <v>22</v>
      </c>
      <c r="C20" s="6">
        <v>10</v>
      </c>
      <c r="D20" s="6" t="s">
        <v>35</v>
      </c>
      <c r="E20" s="6">
        <v>9.5</v>
      </c>
      <c r="F20" s="6">
        <v>19</v>
      </c>
      <c r="G20" s="7">
        <v>1.58</v>
      </c>
      <c r="H20" s="23">
        <v>19.100000000000001</v>
      </c>
      <c r="I20" s="27">
        <f t="shared" ref="I20:I26" si="11">U20*6%</f>
        <v>20.58</v>
      </c>
      <c r="J20" s="13">
        <f t="shared" ref="J20:J26" si="12">U20*7%</f>
        <v>24.01</v>
      </c>
      <c r="K20" s="13">
        <f>U20*7%</f>
        <v>24.01</v>
      </c>
      <c r="L20" s="13">
        <f>U20*9%</f>
        <v>30.869999999999997</v>
      </c>
      <c r="M20" s="13">
        <f>U20*8%</f>
        <v>27.44</v>
      </c>
      <c r="N20" s="28">
        <f>U20*7%</f>
        <v>24.01</v>
      </c>
      <c r="O20" s="19">
        <f>U20*8%+1</f>
        <v>28.44</v>
      </c>
      <c r="P20" s="64">
        <f>U20*10%</f>
        <v>34.300000000000004</v>
      </c>
      <c r="Q20" s="64">
        <f>U20*10%</f>
        <v>34.300000000000004</v>
      </c>
      <c r="R20" s="64">
        <f>U20*14%</f>
        <v>48.02</v>
      </c>
      <c r="S20" s="64">
        <f>U20*11%</f>
        <v>37.729999999999997</v>
      </c>
      <c r="T20" s="64">
        <f>U20*10%</f>
        <v>34.300000000000004</v>
      </c>
      <c r="U20" s="64">
        <v>343</v>
      </c>
    </row>
    <row r="21" spans="1:25" x14ac:dyDescent="0.25">
      <c r="A21">
        <v>21</v>
      </c>
      <c r="B21" s="144"/>
      <c r="C21" s="6">
        <v>13</v>
      </c>
      <c r="D21" s="6" t="s">
        <v>36</v>
      </c>
      <c r="E21" s="6">
        <v>10</v>
      </c>
      <c r="F21" s="6">
        <v>22</v>
      </c>
      <c r="G21" s="7">
        <v>1.83</v>
      </c>
      <c r="H21" s="23">
        <v>60.8</v>
      </c>
      <c r="I21" s="27">
        <f t="shared" si="11"/>
        <v>76.319999999999993</v>
      </c>
      <c r="J21" s="13">
        <f t="shared" si="12"/>
        <v>89.04</v>
      </c>
      <c r="K21" s="13">
        <f>U21*7%</f>
        <v>89.04</v>
      </c>
      <c r="L21" s="13">
        <f>U21*9%</f>
        <v>114.47999999999999</v>
      </c>
      <c r="M21" s="13">
        <f>U21*8%</f>
        <v>101.76</v>
      </c>
      <c r="N21" s="28">
        <f>U21*7%</f>
        <v>89.04</v>
      </c>
      <c r="O21" s="19">
        <f>U21*8%</f>
        <v>101.76</v>
      </c>
      <c r="P21" s="64">
        <f t="shared" ref="P21:P26" si="13">U21*10%</f>
        <v>127.2</v>
      </c>
      <c r="Q21" s="64">
        <f t="shared" ref="Q21:Q26" si="14">U21*10%</f>
        <v>127.2</v>
      </c>
      <c r="R21" s="64">
        <f t="shared" ref="R21:R25" si="15">U21*14%</f>
        <v>178.08</v>
      </c>
      <c r="S21" s="64">
        <f t="shared" ref="S21:S26" si="16">U21*11%</f>
        <v>139.91999999999999</v>
      </c>
      <c r="T21" s="64">
        <f t="shared" ref="T21:T26" si="17">U21*10%</f>
        <v>127.2</v>
      </c>
      <c r="U21" s="64">
        <v>1272</v>
      </c>
    </row>
    <row r="22" spans="1:25" x14ac:dyDescent="0.25">
      <c r="A22">
        <v>22</v>
      </c>
      <c r="B22" s="144"/>
      <c r="C22" s="6">
        <v>14</v>
      </c>
      <c r="D22" s="6" t="s">
        <v>36</v>
      </c>
      <c r="E22" s="6">
        <v>10</v>
      </c>
      <c r="F22" s="6">
        <v>21</v>
      </c>
      <c r="G22" s="7">
        <v>1.75</v>
      </c>
      <c r="H22" s="23">
        <v>41.6</v>
      </c>
      <c r="I22" s="27">
        <f t="shared" si="11"/>
        <v>49.8</v>
      </c>
      <c r="J22" s="13">
        <f t="shared" si="12"/>
        <v>58.100000000000009</v>
      </c>
      <c r="K22" s="13">
        <f>U22*7%</f>
        <v>58.100000000000009</v>
      </c>
      <c r="L22" s="13">
        <f>U22*9%</f>
        <v>74.7</v>
      </c>
      <c r="M22" s="13">
        <f>U22*8%</f>
        <v>66.400000000000006</v>
      </c>
      <c r="N22" s="28">
        <f>U22*7%</f>
        <v>58.100000000000009</v>
      </c>
      <c r="O22" s="19">
        <f>U22*8%+1</f>
        <v>67.400000000000006</v>
      </c>
      <c r="P22" s="64">
        <f t="shared" si="13"/>
        <v>83</v>
      </c>
      <c r="Q22" s="64">
        <f t="shared" si="14"/>
        <v>83</v>
      </c>
      <c r="R22" s="64">
        <f t="shared" si="15"/>
        <v>116.20000000000002</v>
      </c>
      <c r="S22" s="64">
        <f t="shared" si="16"/>
        <v>91.3</v>
      </c>
      <c r="T22" s="64">
        <f t="shared" si="17"/>
        <v>83</v>
      </c>
      <c r="U22" s="64">
        <v>830</v>
      </c>
    </row>
    <row r="23" spans="1:25" x14ac:dyDescent="0.25">
      <c r="A23">
        <v>23</v>
      </c>
      <c r="B23" s="144"/>
      <c r="C23" s="6">
        <v>15</v>
      </c>
      <c r="D23" s="6" t="s">
        <v>36</v>
      </c>
      <c r="E23" s="6">
        <v>10</v>
      </c>
      <c r="F23" s="6">
        <v>20</v>
      </c>
      <c r="G23" s="7">
        <v>1.67</v>
      </c>
      <c r="H23" s="23">
        <v>49.17</v>
      </c>
      <c r="I23" s="27">
        <f t="shared" si="11"/>
        <v>56.339999999999996</v>
      </c>
      <c r="J23" s="13">
        <f t="shared" si="12"/>
        <v>65.73</v>
      </c>
      <c r="K23" s="13">
        <f>U23*7%</f>
        <v>65.73</v>
      </c>
      <c r="L23" s="13">
        <f>U23*9%</f>
        <v>84.509999999999991</v>
      </c>
      <c r="M23" s="13">
        <f>U23*8%</f>
        <v>75.12</v>
      </c>
      <c r="N23" s="28">
        <f>U23*7%</f>
        <v>65.73</v>
      </c>
      <c r="O23" s="19">
        <f t="shared" ref="O23:O26" si="18">U23*8%</f>
        <v>75.12</v>
      </c>
      <c r="P23" s="64">
        <f t="shared" si="13"/>
        <v>93.9</v>
      </c>
      <c r="Q23" s="64">
        <f t="shared" si="14"/>
        <v>93.9</v>
      </c>
      <c r="R23" s="64">
        <f t="shared" si="15"/>
        <v>131.46</v>
      </c>
      <c r="S23" s="64">
        <f t="shared" si="16"/>
        <v>103.29</v>
      </c>
      <c r="T23" s="64">
        <f t="shared" si="17"/>
        <v>93.9</v>
      </c>
      <c r="U23" s="64">
        <v>939</v>
      </c>
    </row>
    <row r="24" spans="1:25" x14ac:dyDescent="0.25">
      <c r="A24">
        <v>24</v>
      </c>
      <c r="B24" s="144"/>
      <c r="C24" s="6">
        <v>16</v>
      </c>
      <c r="D24" s="6" t="s">
        <v>36</v>
      </c>
      <c r="E24" s="6">
        <v>9.5</v>
      </c>
      <c r="F24" s="6">
        <v>20</v>
      </c>
      <c r="G24" s="7">
        <v>1.67</v>
      </c>
      <c r="H24" s="23">
        <v>52.61</v>
      </c>
      <c r="I24" s="27">
        <f t="shared" si="11"/>
        <v>60.48</v>
      </c>
      <c r="J24" s="13">
        <f t="shared" si="12"/>
        <v>70.56</v>
      </c>
      <c r="K24" s="13">
        <f>U24*7%-1</f>
        <v>69.56</v>
      </c>
      <c r="L24" s="13">
        <f>U24*9%-1</f>
        <v>89.72</v>
      </c>
      <c r="M24" s="13">
        <f>U24*8%-1</f>
        <v>79.64</v>
      </c>
      <c r="N24" s="28">
        <f>U24*7%-1</f>
        <v>69.56</v>
      </c>
      <c r="O24" s="19">
        <f>U24*8%-1</f>
        <v>79.64</v>
      </c>
      <c r="P24" s="64">
        <f t="shared" si="13"/>
        <v>100.80000000000001</v>
      </c>
      <c r="Q24" s="64">
        <f t="shared" si="14"/>
        <v>100.80000000000001</v>
      </c>
      <c r="R24" s="64">
        <f>U24*14%+1</f>
        <v>142.12</v>
      </c>
      <c r="S24" s="64">
        <f t="shared" si="16"/>
        <v>110.88</v>
      </c>
      <c r="T24" s="64">
        <f t="shared" si="17"/>
        <v>100.80000000000001</v>
      </c>
      <c r="U24" s="64">
        <v>1008</v>
      </c>
    </row>
    <row r="25" spans="1:25" x14ac:dyDescent="0.25">
      <c r="A25">
        <v>25</v>
      </c>
      <c r="B25" s="144"/>
      <c r="C25" s="6">
        <v>17</v>
      </c>
      <c r="D25" s="6" t="s">
        <v>35</v>
      </c>
      <c r="E25" s="6">
        <v>9.5</v>
      </c>
      <c r="F25" s="6">
        <v>22</v>
      </c>
      <c r="G25" s="7">
        <v>1.83</v>
      </c>
      <c r="H25" s="23">
        <v>45.58</v>
      </c>
      <c r="I25" s="27">
        <f t="shared" si="11"/>
        <v>57.419999999999995</v>
      </c>
      <c r="J25" s="13">
        <f t="shared" si="12"/>
        <v>66.990000000000009</v>
      </c>
      <c r="K25" s="13">
        <f>U25*7%</f>
        <v>66.990000000000009</v>
      </c>
      <c r="L25" s="13">
        <f>U25*9%</f>
        <v>86.13</v>
      </c>
      <c r="M25" s="13">
        <f>U25*8%</f>
        <v>76.56</v>
      </c>
      <c r="N25" s="28">
        <f>U25*7%</f>
        <v>66.990000000000009</v>
      </c>
      <c r="O25" s="19">
        <f>U25*8%-1</f>
        <v>75.56</v>
      </c>
      <c r="P25" s="64">
        <f t="shared" si="13"/>
        <v>95.7</v>
      </c>
      <c r="Q25" s="64">
        <f t="shared" si="14"/>
        <v>95.7</v>
      </c>
      <c r="R25" s="64">
        <f t="shared" si="15"/>
        <v>133.98000000000002</v>
      </c>
      <c r="S25" s="64">
        <f t="shared" si="16"/>
        <v>105.27</v>
      </c>
      <c r="T25" s="64">
        <f t="shared" si="17"/>
        <v>95.7</v>
      </c>
      <c r="U25" s="64">
        <v>957</v>
      </c>
    </row>
    <row r="26" spans="1:25" ht="15.75" thickBot="1" x14ac:dyDescent="0.3">
      <c r="A26">
        <v>26</v>
      </c>
      <c r="B26" s="143"/>
      <c r="C26" s="6">
        <v>18</v>
      </c>
      <c r="D26" s="6" t="s">
        <v>35</v>
      </c>
      <c r="E26" s="6">
        <v>9.5</v>
      </c>
      <c r="F26" s="6">
        <v>22</v>
      </c>
      <c r="G26" s="7">
        <v>1.83</v>
      </c>
      <c r="H26" s="23">
        <v>40.799999999999997</v>
      </c>
      <c r="I26" s="29">
        <f t="shared" si="11"/>
        <v>51.36</v>
      </c>
      <c r="J26" s="30">
        <f t="shared" si="12"/>
        <v>59.920000000000009</v>
      </c>
      <c r="K26" s="30">
        <f>U26*7%</f>
        <v>59.920000000000009</v>
      </c>
      <c r="L26" s="30">
        <f>U26*9%</f>
        <v>77.039999999999992</v>
      </c>
      <c r="M26" s="30">
        <f>U26*8%</f>
        <v>68.48</v>
      </c>
      <c r="N26" s="31">
        <f>U26*7%</f>
        <v>59.920000000000009</v>
      </c>
      <c r="O26" s="19">
        <f t="shared" si="18"/>
        <v>68.48</v>
      </c>
      <c r="P26" s="64">
        <f t="shared" si="13"/>
        <v>85.600000000000009</v>
      </c>
      <c r="Q26" s="64">
        <f t="shared" si="14"/>
        <v>85.600000000000009</v>
      </c>
      <c r="R26" s="64">
        <f>U26*14%-1</f>
        <v>118.84000000000002</v>
      </c>
      <c r="S26" s="64">
        <f t="shared" si="16"/>
        <v>94.16</v>
      </c>
      <c r="T26" s="64">
        <f t="shared" si="17"/>
        <v>85.600000000000009</v>
      </c>
      <c r="U26" s="64">
        <v>856</v>
      </c>
    </row>
    <row r="27" spans="1:25" s="1" customFormat="1" x14ac:dyDescent="0.25">
      <c r="A27">
        <v>27</v>
      </c>
      <c r="G27" s="11" t="s">
        <v>42</v>
      </c>
      <c r="H27" s="8">
        <f>SUBTOTAL(9,H20:H26)</f>
        <v>309.66000000000003</v>
      </c>
      <c r="I27" s="15">
        <f>SUBTOTAL(9,I20:I26)+1</f>
        <v>373.3</v>
      </c>
      <c r="J27" s="15">
        <f>SUBTOTAL(9,J20:J26)</f>
        <v>434.35000000000008</v>
      </c>
      <c r="K27" s="15">
        <f>SUBTOTAL(9,K20:K26)+1</f>
        <v>434.35000000000008</v>
      </c>
      <c r="L27" s="15">
        <f>SUBTOTAL(9,L20:L26)+1</f>
        <v>558.44999999999993</v>
      </c>
      <c r="M27" s="15">
        <f>SUBTOTAL(9,M20:M26)+1</f>
        <v>496.40000000000003</v>
      </c>
      <c r="N27" s="15">
        <f>SUBTOTAL(9,N20:N26)+1</f>
        <v>434.35000000000008</v>
      </c>
      <c r="O27" s="20">
        <f>SUBTOTAL(9,O20:O26)</f>
        <v>496.40000000000003</v>
      </c>
      <c r="P27" s="65">
        <f>SUBTOTAL(9,P20:P26)</f>
        <v>620.5</v>
      </c>
      <c r="Q27" s="65">
        <f>SUBTOTAL(9,Q20:Q26)</f>
        <v>620.5</v>
      </c>
      <c r="R27" s="65">
        <f>SUBTOTAL(9,R20:R26)-1</f>
        <v>867.70000000000016</v>
      </c>
      <c r="S27" s="65">
        <f>SUBTOTAL(9,S20:S26)-1</f>
        <v>681.55</v>
      </c>
      <c r="T27" s="65">
        <f>SUBTOTAL(9,T20:T26)</f>
        <v>620.5</v>
      </c>
      <c r="U27" s="65">
        <f>SUBTOTAL(9,U20:U26)-1</f>
        <v>6204</v>
      </c>
      <c r="V27" s="66"/>
      <c r="W27" s="66"/>
      <c r="X27" s="66"/>
      <c r="Y27" s="66"/>
    </row>
    <row r="28" spans="1:25" ht="15.75" thickBot="1" x14ac:dyDescent="0.3">
      <c r="A28">
        <v>28</v>
      </c>
      <c r="B28" s="1" t="s">
        <v>44</v>
      </c>
      <c r="O28" s="21"/>
    </row>
    <row r="29" spans="1:25" s="5" customFormat="1" ht="30.75" customHeight="1" x14ac:dyDescent="0.25">
      <c r="A29">
        <v>29</v>
      </c>
      <c r="B29" s="3" t="s">
        <v>1</v>
      </c>
      <c r="C29" s="3" t="s">
        <v>2</v>
      </c>
      <c r="D29" s="3" t="s">
        <v>3</v>
      </c>
      <c r="E29" s="3" t="s">
        <v>4</v>
      </c>
      <c r="F29" s="3" t="s">
        <v>5</v>
      </c>
      <c r="G29" s="4" t="s">
        <v>6</v>
      </c>
      <c r="H29" s="22" t="s">
        <v>7</v>
      </c>
      <c r="I29" s="24" t="s">
        <v>53</v>
      </c>
      <c r="J29" s="25" t="s">
        <v>54</v>
      </c>
      <c r="K29" s="25" t="s">
        <v>10</v>
      </c>
      <c r="L29" s="25" t="s">
        <v>55</v>
      </c>
      <c r="M29" s="25" t="s">
        <v>56</v>
      </c>
      <c r="N29" s="26" t="s">
        <v>13</v>
      </c>
      <c r="O29" s="18" t="s">
        <v>14</v>
      </c>
      <c r="P29" s="63" t="s">
        <v>15</v>
      </c>
      <c r="Q29" s="63" t="s">
        <v>16</v>
      </c>
      <c r="R29" s="63" t="s">
        <v>17</v>
      </c>
      <c r="S29" s="63" t="s">
        <v>18</v>
      </c>
      <c r="T29" s="63" t="s">
        <v>19</v>
      </c>
      <c r="U29" s="63" t="s">
        <v>20</v>
      </c>
      <c r="V29" s="63"/>
      <c r="W29" s="63"/>
      <c r="X29" s="63"/>
      <c r="Y29" s="63"/>
    </row>
    <row r="30" spans="1:25" x14ac:dyDescent="0.25">
      <c r="A30">
        <v>30</v>
      </c>
      <c r="B30" s="142" t="s">
        <v>23</v>
      </c>
      <c r="C30" s="6">
        <v>19</v>
      </c>
      <c r="D30" s="6" t="s">
        <v>35</v>
      </c>
      <c r="E30" s="6">
        <v>9.5</v>
      </c>
      <c r="F30" s="6">
        <v>21</v>
      </c>
      <c r="G30" s="7">
        <v>1.75</v>
      </c>
      <c r="H30" s="23">
        <v>50.6</v>
      </c>
      <c r="I30" s="27">
        <f>U30*6%</f>
        <v>60.48</v>
      </c>
      <c r="J30" s="13">
        <f>U30*7%+1</f>
        <v>71.56</v>
      </c>
      <c r="K30" s="13">
        <f>U30*7%-1</f>
        <v>69.56</v>
      </c>
      <c r="L30" s="13">
        <f>U30*9%-1</f>
        <v>89.72</v>
      </c>
      <c r="M30" s="13">
        <f>U30*8%-1</f>
        <v>79.64</v>
      </c>
      <c r="N30" s="28">
        <f>U30*7%-1</f>
        <v>69.56</v>
      </c>
      <c r="O30" s="19">
        <f>U30*8%</f>
        <v>80.64</v>
      </c>
      <c r="P30" s="64">
        <f>U30*10%</f>
        <v>100.80000000000001</v>
      </c>
      <c r="Q30" s="64">
        <f>U30*10%</f>
        <v>100.80000000000001</v>
      </c>
      <c r="R30" s="64">
        <f>U30*14%+1</f>
        <v>142.12</v>
      </c>
      <c r="S30" s="64">
        <f>U30*11%</f>
        <v>110.88</v>
      </c>
      <c r="T30" s="64">
        <f>U30*10%</f>
        <v>100.80000000000001</v>
      </c>
      <c r="U30" s="64">
        <v>1008</v>
      </c>
    </row>
    <row r="31" spans="1:25" x14ac:dyDescent="0.25">
      <c r="A31">
        <v>31</v>
      </c>
      <c r="B31" s="144"/>
      <c r="C31" s="6">
        <v>20</v>
      </c>
      <c r="D31" s="6" t="s">
        <v>37</v>
      </c>
      <c r="E31" s="6">
        <v>9</v>
      </c>
      <c r="F31" s="6">
        <v>21</v>
      </c>
      <c r="G31" s="7">
        <v>1.75</v>
      </c>
      <c r="H31" s="23">
        <v>61.98</v>
      </c>
      <c r="I31" s="27">
        <f>U31*6%</f>
        <v>74.16</v>
      </c>
      <c r="J31" s="13">
        <f>U31*7%</f>
        <v>86.52000000000001</v>
      </c>
      <c r="K31" s="13">
        <f>U31*7%-1</f>
        <v>85.52000000000001</v>
      </c>
      <c r="L31" s="13">
        <f>U31*9%-1</f>
        <v>110.24</v>
      </c>
      <c r="M31" s="13">
        <f>U31*8%-1</f>
        <v>97.88</v>
      </c>
      <c r="N31" s="28">
        <f>U31*7%-1</f>
        <v>85.52000000000001</v>
      </c>
      <c r="O31" s="19">
        <f t="shared" ref="O31:O34" si="19">U31*8%</f>
        <v>98.88</v>
      </c>
      <c r="P31" s="64">
        <f t="shared" ref="P31:P34" si="20">U31*10%</f>
        <v>123.60000000000001</v>
      </c>
      <c r="Q31" s="64">
        <f t="shared" ref="Q31:Q34" si="21">U31*10%</f>
        <v>123.60000000000001</v>
      </c>
      <c r="R31" s="64">
        <f>U31*14%+1</f>
        <v>174.04000000000002</v>
      </c>
      <c r="S31" s="64">
        <f t="shared" ref="S31:S33" si="22">U31*11%</f>
        <v>135.96</v>
      </c>
      <c r="T31" s="64">
        <f t="shared" ref="T31:T34" si="23">U31*10%</f>
        <v>123.60000000000001</v>
      </c>
      <c r="U31" s="64">
        <v>1236</v>
      </c>
    </row>
    <row r="32" spans="1:25" x14ac:dyDescent="0.25">
      <c r="A32">
        <v>32</v>
      </c>
      <c r="B32" s="144"/>
      <c r="C32" s="6">
        <v>21</v>
      </c>
      <c r="D32" s="6" t="s">
        <v>37</v>
      </c>
      <c r="E32" s="6">
        <v>9</v>
      </c>
      <c r="F32" s="6">
        <v>23</v>
      </c>
      <c r="G32" s="7">
        <v>1.92</v>
      </c>
      <c r="H32" s="23">
        <v>71.59</v>
      </c>
      <c r="I32" s="27">
        <f>U32*6%</f>
        <v>94.56</v>
      </c>
      <c r="J32" s="13">
        <f>U32*7%</f>
        <v>110.32000000000001</v>
      </c>
      <c r="K32" s="13">
        <f>U32*7%</f>
        <v>110.32000000000001</v>
      </c>
      <c r="L32" s="13">
        <f>U32*9%</f>
        <v>141.84</v>
      </c>
      <c r="M32" s="13">
        <f>U32*8%</f>
        <v>126.08</v>
      </c>
      <c r="N32" s="28">
        <f>U32*7%</f>
        <v>110.32000000000001</v>
      </c>
      <c r="O32" s="19">
        <f t="shared" si="19"/>
        <v>126.08</v>
      </c>
      <c r="P32" s="64">
        <f t="shared" si="20"/>
        <v>157.60000000000002</v>
      </c>
      <c r="Q32" s="64">
        <f t="shared" si="21"/>
        <v>157.60000000000002</v>
      </c>
      <c r="R32" s="64">
        <f>U32*14%-1</f>
        <v>219.64000000000001</v>
      </c>
      <c r="S32" s="64">
        <f>U32*11%+1</f>
        <v>174.36</v>
      </c>
      <c r="T32" s="64">
        <f t="shared" si="23"/>
        <v>157.60000000000002</v>
      </c>
      <c r="U32" s="64">
        <v>1576</v>
      </c>
    </row>
    <row r="33" spans="1:25" x14ac:dyDescent="0.25">
      <c r="A33">
        <v>33</v>
      </c>
      <c r="B33" s="144"/>
      <c r="C33" s="6">
        <v>22</v>
      </c>
      <c r="D33" s="6" t="s">
        <v>37</v>
      </c>
      <c r="E33" s="6">
        <v>9</v>
      </c>
      <c r="F33" s="6">
        <v>21</v>
      </c>
      <c r="G33" s="7">
        <v>1.75</v>
      </c>
      <c r="H33" s="23">
        <v>52.08</v>
      </c>
      <c r="I33" s="27">
        <f>U33*6%</f>
        <v>62.76</v>
      </c>
      <c r="J33" s="13">
        <f>U33*7%</f>
        <v>73.220000000000013</v>
      </c>
      <c r="K33" s="13">
        <f>U33*7%</f>
        <v>73.220000000000013</v>
      </c>
      <c r="L33" s="13">
        <f>U33*9%</f>
        <v>94.14</v>
      </c>
      <c r="M33" s="13">
        <f>U33*8%</f>
        <v>83.68</v>
      </c>
      <c r="N33" s="28">
        <f>U33*7%</f>
        <v>73.220000000000013</v>
      </c>
      <c r="O33" s="19">
        <f t="shared" si="19"/>
        <v>83.68</v>
      </c>
      <c r="P33" s="64">
        <f t="shared" si="20"/>
        <v>104.60000000000001</v>
      </c>
      <c r="Q33" s="64">
        <f t="shared" si="21"/>
        <v>104.60000000000001</v>
      </c>
      <c r="R33" s="64">
        <f t="shared" ref="R33:R34" si="24">U33*14%</f>
        <v>146.44000000000003</v>
      </c>
      <c r="S33" s="64">
        <f t="shared" si="22"/>
        <v>115.06</v>
      </c>
      <c r="T33" s="64">
        <f t="shared" si="23"/>
        <v>104.60000000000001</v>
      </c>
      <c r="U33" s="64">
        <v>1046</v>
      </c>
    </row>
    <row r="34" spans="1:25" ht="15.75" thickBot="1" x14ac:dyDescent="0.3">
      <c r="A34">
        <v>34</v>
      </c>
      <c r="B34" s="143"/>
      <c r="C34" s="6">
        <v>24</v>
      </c>
      <c r="D34" s="6" t="s">
        <v>37</v>
      </c>
      <c r="E34" s="6">
        <v>9</v>
      </c>
      <c r="F34" s="6">
        <v>18</v>
      </c>
      <c r="G34" s="7">
        <v>1.5</v>
      </c>
      <c r="H34" s="23">
        <v>44.67</v>
      </c>
      <c r="I34" s="29">
        <f>U34*6%</f>
        <v>45.66</v>
      </c>
      <c r="J34" s="30">
        <f>U34*7%</f>
        <v>53.27</v>
      </c>
      <c r="K34" s="30">
        <f>U34*7%</f>
        <v>53.27</v>
      </c>
      <c r="L34" s="30">
        <f>U34*9%</f>
        <v>68.489999999999995</v>
      </c>
      <c r="M34" s="30">
        <f>U34*8%</f>
        <v>60.88</v>
      </c>
      <c r="N34" s="31">
        <f>U34*7%</f>
        <v>53.27</v>
      </c>
      <c r="O34" s="19">
        <f t="shared" si="19"/>
        <v>60.88</v>
      </c>
      <c r="P34" s="64">
        <f t="shared" si="20"/>
        <v>76.100000000000009</v>
      </c>
      <c r="Q34" s="64">
        <f t="shared" si="21"/>
        <v>76.100000000000009</v>
      </c>
      <c r="R34" s="64">
        <f t="shared" si="24"/>
        <v>106.54</v>
      </c>
      <c r="S34" s="64">
        <f>U34*11%+1</f>
        <v>84.71</v>
      </c>
      <c r="T34" s="64">
        <f t="shared" si="23"/>
        <v>76.100000000000009</v>
      </c>
      <c r="U34" s="64">
        <v>761</v>
      </c>
    </row>
    <row r="35" spans="1:25" s="1" customFormat="1" x14ac:dyDescent="0.25">
      <c r="A35">
        <v>35</v>
      </c>
      <c r="G35" s="11" t="s">
        <v>42</v>
      </c>
      <c r="H35" s="8">
        <f>SUBTOTAL(9,H30:H34)</f>
        <v>280.92</v>
      </c>
      <c r="I35" s="15">
        <f>SUBTOTAL(9,I30:I34)</f>
        <v>337.62</v>
      </c>
      <c r="J35" s="15">
        <f>SUBTOTAL(9,J30:J34)-1</f>
        <v>393.89000000000004</v>
      </c>
      <c r="K35" s="15">
        <f t="shared" ref="K35:S35" si="25">SUBTOTAL(9,K30:K34)</f>
        <v>391.89000000000004</v>
      </c>
      <c r="L35" s="15">
        <f t="shared" si="25"/>
        <v>504.42999999999995</v>
      </c>
      <c r="M35" s="15">
        <f t="shared" si="25"/>
        <v>448.15999999999997</v>
      </c>
      <c r="N35" s="16">
        <f t="shared" si="25"/>
        <v>391.89000000000004</v>
      </c>
      <c r="O35" s="20">
        <f>SUBTOTAL(9,O30:O34)+1</f>
        <v>451.15999999999997</v>
      </c>
      <c r="P35" s="65">
        <f>SUBTOTAL(9,P30:P34)+1</f>
        <v>563.70000000000005</v>
      </c>
      <c r="Q35" s="65">
        <f>SUBTOTAL(9,Q30:Q34)+1</f>
        <v>563.70000000000005</v>
      </c>
      <c r="R35" s="65">
        <f t="shared" si="25"/>
        <v>788.78000000000009</v>
      </c>
      <c r="S35" s="65">
        <f t="shared" si="25"/>
        <v>620.97</v>
      </c>
      <c r="T35" s="65">
        <f>SUBTOTAL(9,T30:T34)+1</f>
        <v>563.70000000000005</v>
      </c>
      <c r="U35" s="65">
        <f>SUBTOTAL(9,U27:U34)</f>
        <v>5627</v>
      </c>
      <c r="V35" s="62"/>
      <c r="W35" s="66"/>
      <c r="X35" s="66"/>
      <c r="Y35" s="66"/>
    </row>
    <row r="36" spans="1:25" ht="15.75" thickBot="1" x14ac:dyDescent="0.3">
      <c r="A36">
        <v>39</v>
      </c>
      <c r="O36" s="21"/>
    </row>
    <row r="37" spans="1:25" s="5" customFormat="1" ht="30.75" customHeight="1" x14ac:dyDescent="0.25">
      <c r="A37">
        <v>40</v>
      </c>
      <c r="B37" s="3" t="s">
        <v>1</v>
      </c>
      <c r="C37" s="3" t="s">
        <v>2</v>
      </c>
      <c r="D37" s="3" t="s">
        <v>3</v>
      </c>
      <c r="E37" s="3" t="s">
        <v>4</v>
      </c>
      <c r="F37" s="3" t="s">
        <v>5</v>
      </c>
      <c r="G37" s="4" t="s">
        <v>6</v>
      </c>
      <c r="H37" s="22" t="s">
        <v>7</v>
      </c>
      <c r="I37" s="24" t="s">
        <v>53</v>
      </c>
      <c r="J37" s="25" t="s">
        <v>54</v>
      </c>
      <c r="K37" s="25" t="s">
        <v>10</v>
      </c>
      <c r="L37" s="25" t="s">
        <v>55</v>
      </c>
      <c r="M37" s="25" t="s">
        <v>56</v>
      </c>
      <c r="N37" s="26" t="s">
        <v>13</v>
      </c>
      <c r="O37" s="18" t="s">
        <v>14</v>
      </c>
      <c r="P37" s="63" t="s">
        <v>15</v>
      </c>
      <c r="Q37" s="63" t="s">
        <v>16</v>
      </c>
      <c r="R37" s="63" t="s">
        <v>17</v>
      </c>
      <c r="S37" s="63" t="s">
        <v>18</v>
      </c>
      <c r="T37" s="63" t="s">
        <v>19</v>
      </c>
      <c r="U37" s="63" t="s">
        <v>20</v>
      </c>
      <c r="V37" s="63"/>
      <c r="W37" s="63"/>
      <c r="X37" s="63"/>
      <c r="Y37" s="63"/>
    </row>
    <row r="38" spans="1:25" x14ac:dyDescent="0.25">
      <c r="A38">
        <v>41</v>
      </c>
      <c r="B38" s="142" t="s">
        <v>24</v>
      </c>
      <c r="C38" s="9">
        <v>25</v>
      </c>
      <c r="D38" s="6" t="s">
        <v>38</v>
      </c>
      <c r="E38" s="6">
        <v>2</v>
      </c>
      <c r="F38" s="6">
        <v>4</v>
      </c>
      <c r="G38" s="7"/>
      <c r="H38" s="23">
        <v>38.200000000000003</v>
      </c>
      <c r="I38" s="27">
        <f>U38*6%-1</f>
        <v>8.06</v>
      </c>
      <c r="J38" s="13">
        <f>U38*7%-1</f>
        <v>9.57</v>
      </c>
      <c r="K38" s="13">
        <f>U38*7%</f>
        <v>10.57</v>
      </c>
      <c r="L38" s="13">
        <f>U38*9%</f>
        <v>13.59</v>
      </c>
      <c r="M38" s="13">
        <f>U38*8%</f>
        <v>12.08</v>
      </c>
      <c r="N38" s="28">
        <f>U38*7%</f>
        <v>10.57</v>
      </c>
      <c r="O38" s="19">
        <f>U38*8%</f>
        <v>12.08</v>
      </c>
      <c r="P38" s="64">
        <f>U38*10%</f>
        <v>15.100000000000001</v>
      </c>
      <c r="Q38" s="64">
        <f>U38*10%</f>
        <v>15.100000000000001</v>
      </c>
      <c r="R38" s="64">
        <f>U38*14%</f>
        <v>21.14</v>
      </c>
      <c r="S38" s="64">
        <f>U38*11%</f>
        <v>16.61</v>
      </c>
      <c r="T38" s="64">
        <f>U38*10%</f>
        <v>15.100000000000001</v>
      </c>
      <c r="U38" s="64">
        <v>151</v>
      </c>
    </row>
    <row r="39" spans="1:25" ht="15.75" thickBot="1" x14ac:dyDescent="0.3">
      <c r="A39">
        <v>42</v>
      </c>
      <c r="B39" s="144"/>
      <c r="C39" s="9" t="s">
        <v>25</v>
      </c>
      <c r="D39" s="6" t="s">
        <v>38</v>
      </c>
      <c r="E39" s="6">
        <v>2</v>
      </c>
      <c r="F39" s="6">
        <v>6</v>
      </c>
      <c r="G39" s="7"/>
      <c r="H39" s="23">
        <v>22.7</v>
      </c>
      <c r="I39" s="29">
        <f>U39*6%-2</f>
        <v>5.9799999999999995</v>
      </c>
      <c r="J39" s="30">
        <f>U39*7%-1</f>
        <v>8.31</v>
      </c>
      <c r="K39" s="30">
        <f>U39*7%+1</f>
        <v>10.31</v>
      </c>
      <c r="L39" s="30">
        <f>U39*9%+1</f>
        <v>12.969999999999999</v>
      </c>
      <c r="M39" s="30">
        <f>U39*8%+1</f>
        <v>11.64</v>
      </c>
      <c r="N39" s="31">
        <f>U39*7%+1</f>
        <v>10.31</v>
      </c>
      <c r="O39" s="19">
        <f>U39*8%</f>
        <v>10.64</v>
      </c>
      <c r="P39" s="64">
        <f>U39*10%+1</f>
        <v>14.3</v>
      </c>
      <c r="Q39" s="64">
        <f>U39*10%+1</f>
        <v>14.3</v>
      </c>
      <c r="R39" s="64">
        <f>U39*14%</f>
        <v>18.62</v>
      </c>
      <c r="S39" s="64">
        <f>U39*11%</f>
        <v>14.63</v>
      </c>
      <c r="T39" s="64">
        <f>U39*10%+1</f>
        <v>14.3</v>
      </c>
      <c r="U39" s="64">
        <v>133</v>
      </c>
    </row>
    <row r="40" spans="1:25" ht="15.75" hidden="1" thickBot="1" x14ac:dyDescent="0.3">
      <c r="A40">
        <v>43</v>
      </c>
      <c r="B40" s="144"/>
      <c r="C40" s="10" t="s">
        <v>26</v>
      </c>
      <c r="D40" s="134" t="s">
        <v>27</v>
      </c>
      <c r="E40" s="135"/>
      <c r="F40" s="135"/>
      <c r="G40" s="135"/>
      <c r="H40" s="135"/>
      <c r="I40" s="135"/>
      <c r="J40" s="135"/>
      <c r="K40" s="135"/>
      <c r="L40" s="135"/>
      <c r="M40" s="135"/>
      <c r="N40" s="136"/>
      <c r="O40" s="21"/>
    </row>
    <row r="41" spans="1:25" x14ac:dyDescent="0.25">
      <c r="A41">
        <v>44</v>
      </c>
      <c r="B41" s="144"/>
      <c r="C41" s="9">
        <v>27</v>
      </c>
      <c r="D41" s="6" t="s">
        <v>38</v>
      </c>
      <c r="E41" s="6">
        <v>2</v>
      </c>
      <c r="F41" s="6">
        <v>6</v>
      </c>
      <c r="G41" s="7"/>
      <c r="H41" s="23">
        <v>14.3</v>
      </c>
      <c r="I41" s="32">
        <f>U41*6%</f>
        <v>5.0999999999999996</v>
      </c>
      <c r="J41" s="33">
        <f>U41*7%</f>
        <v>5.95</v>
      </c>
      <c r="K41" s="33">
        <f>U41*7%</f>
        <v>5.95</v>
      </c>
      <c r="L41" s="33">
        <f>U41*9%</f>
        <v>7.6499999999999995</v>
      </c>
      <c r="M41" s="33">
        <f>U41*8%</f>
        <v>6.8</v>
      </c>
      <c r="N41" s="34">
        <f>U41*7%</f>
        <v>5.95</v>
      </c>
      <c r="O41" s="19">
        <f t="shared" ref="O41:O45" si="26">U41*8%</f>
        <v>6.8</v>
      </c>
      <c r="P41" s="64">
        <f t="shared" ref="P41:P45" si="27">U41*10%</f>
        <v>8.5</v>
      </c>
      <c r="Q41" s="64">
        <f t="shared" ref="Q41:Q45" si="28">U41*10%</f>
        <v>8.5</v>
      </c>
      <c r="R41" s="64">
        <f t="shared" ref="R41:R45" si="29">U41*14%</f>
        <v>11.9</v>
      </c>
      <c r="S41" s="64">
        <f t="shared" ref="S41:S45" si="30">U41*11%</f>
        <v>9.35</v>
      </c>
      <c r="T41" s="64">
        <f t="shared" ref="T41:T45" si="31">U41*10%</f>
        <v>8.5</v>
      </c>
      <c r="U41" s="64">
        <v>85</v>
      </c>
    </row>
    <row r="42" spans="1:25" x14ac:dyDescent="0.25">
      <c r="A42">
        <v>45</v>
      </c>
      <c r="B42" s="144"/>
      <c r="C42" s="9">
        <v>28</v>
      </c>
      <c r="D42" s="6" t="s">
        <v>39</v>
      </c>
      <c r="E42" s="6">
        <v>3</v>
      </c>
      <c r="F42" s="6">
        <v>12</v>
      </c>
      <c r="G42" s="7"/>
      <c r="H42" s="23">
        <v>21.9</v>
      </c>
      <c r="I42" s="27">
        <f>U42*6%</f>
        <v>15.719999999999999</v>
      </c>
      <c r="J42" s="13">
        <f>U42*7%</f>
        <v>18.340000000000003</v>
      </c>
      <c r="K42" s="13">
        <f>U42*7%</f>
        <v>18.340000000000003</v>
      </c>
      <c r="L42" s="13">
        <f>U42*9%</f>
        <v>23.58</v>
      </c>
      <c r="M42" s="13">
        <f>U42*8%</f>
        <v>20.96</v>
      </c>
      <c r="N42" s="28">
        <f>U42*7%</f>
        <v>18.340000000000003</v>
      </c>
      <c r="O42" s="19">
        <f t="shared" si="26"/>
        <v>20.96</v>
      </c>
      <c r="P42" s="64">
        <f t="shared" si="27"/>
        <v>26.200000000000003</v>
      </c>
      <c r="Q42" s="64">
        <f t="shared" si="28"/>
        <v>26.200000000000003</v>
      </c>
      <c r="R42" s="64">
        <f t="shared" si="29"/>
        <v>36.680000000000007</v>
      </c>
      <c r="S42" s="64">
        <f t="shared" si="30"/>
        <v>28.82</v>
      </c>
      <c r="T42" s="64">
        <f t="shared" si="31"/>
        <v>26.200000000000003</v>
      </c>
      <c r="U42" s="64">
        <v>262</v>
      </c>
    </row>
    <row r="43" spans="1:25" x14ac:dyDescent="0.25">
      <c r="A43">
        <v>46</v>
      </c>
      <c r="B43" s="144"/>
      <c r="C43" s="9">
        <v>29</v>
      </c>
      <c r="D43" s="6" t="s">
        <v>40</v>
      </c>
      <c r="E43" s="6" t="s">
        <v>28</v>
      </c>
      <c r="F43" s="6">
        <v>4</v>
      </c>
      <c r="G43" s="7"/>
      <c r="H43" s="23">
        <v>19.2</v>
      </c>
      <c r="I43" s="27">
        <f>U43*6%-1</f>
        <v>3.5599999999999996</v>
      </c>
      <c r="J43" s="13">
        <f>U43*7%</f>
        <v>5.32</v>
      </c>
      <c r="K43" s="13">
        <f>U43*7%</f>
        <v>5.32</v>
      </c>
      <c r="L43" s="13">
        <f>U43*9%</f>
        <v>6.84</v>
      </c>
      <c r="M43" s="13">
        <f>U43*8%</f>
        <v>6.08</v>
      </c>
      <c r="N43" s="28">
        <f>U43*7%</f>
        <v>5.32</v>
      </c>
      <c r="O43" s="19">
        <f t="shared" si="26"/>
        <v>6.08</v>
      </c>
      <c r="P43" s="64">
        <f t="shared" si="27"/>
        <v>7.6000000000000005</v>
      </c>
      <c r="Q43" s="64">
        <f t="shared" si="28"/>
        <v>7.6000000000000005</v>
      </c>
      <c r="R43" s="64">
        <f t="shared" si="29"/>
        <v>10.64</v>
      </c>
      <c r="S43" s="64">
        <f t="shared" si="30"/>
        <v>8.36</v>
      </c>
      <c r="T43" s="64">
        <f t="shared" si="31"/>
        <v>7.6000000000000005</v>
      </c>
      <c r="U43" s="64">
        <v>76</v>
      </c>
    </row>
    <row r="44" spans="1:25" x14ac:dyDescent="0.25">
      <c r="A44">
        <v>47</v>
      </c>
      <c r="B44" s="144"/>
      <c r="C44" s="9">
        <v>30</v>
      </c>
      <c r="D44" s="6" t="s">
        <v>40</v>
      </c>
      <c r="E44" s="6" t="s">
        <v>28</v>
      </c>
      <c r="F44" s="6">
        <v>4</v>
      </c>
      <c r="G44" s="7"/>
      <c r="H44" s="23">
        <v>24.3</v>
      </c>
      <c r="I44" s="27">
        <f>U44*6%-1</f>
        <v>4.7</v>
      </c>
      <c r="J44" s="13">
        <f>U44*7%-1</f>
        <v>5.65</v>
      </c>
      <c r="K44" s="13">
        <f>U44*7%</f>
        <v>6.65</v>
      </c>
      <c r="L44" s="13">
        <f>U44*9%</f>
        <v>8.5499999999999989</v>
      </c>
      <c r="M44" s="13">
        <f>U44*8%</f>
        <v>7.6000000000000005</v>
      </c>
      <c r="N44" s="28">
        <f>U44*7%</f>
        <v>6.65</v>
      </c>
      <c r="O44" s="19">
        <f t="shared" si="26"/>
        <v>7.6000000000000005</v>
      </c>
      <c r="P44" s="64">
        <f t="shared" si="27"/>
        <v>9.5</v>
      </c>
      <c r="Q44" s="64">
        <f t="shared" si="28"/>
        <v>9.5</v>
      </c>
      <c r="R44" s="64">
        <f>U44*14%+1</f>
        <v>14.3</v>
      </c>
      <c r="S44" s="64">
        <f>U44*11%+1</f>
        <v>11.45</v>
      </c>
      <c r="T44" s="64">
        <f t="shared" si="31"/>
        <v>9.5</v>
      </c>
      <c r="U44" s="64">
        <v>95</v>
      </c>
    </row>
    <row r="45" spans="1:25" ht="15.75" thickBot="1" x14ac:dyDescent="0.3">
      <c r="A45">
        <v>48</v>
      </c>
      <c r="B45" s="144"/>
      <c r="C45" s="9">
        <v>31</v>
      </c>
      <c r="D45" s="6" t="s">
        <v>40</v>
      </c>
      <c r="E45" s="6" t="s">
        <v>28</v>
      </c>
      <c r="F45" s="6">
        <v>4</v>
      </c>
      <c r="G45" s="7"/>
      <c r="H45" s="23">
        <v>34</v>
      </c>
      <c r="I45" s="29">
        <f>U45*6%-1</f>
        <v>7.1</v>
      </c>
      <c r="J45" s="30">
        <f>U45*7%</f>
        <v>9.4500000000000011</v>
      </c>
      <c r="K45" s="30">
        <f>U45*7%+1</f>
        <v>10.450000000000001</v>
      </c>
      <c r="L45" s="30">
        <f>U45*9%+1</f>
        <v>13.15</v>
      </c>
      <c r="M45" s="30">
        <f>U45*8%+1</f>
        <v>11.8</v>
      </c>
      <c r="N45" s="31">
        <f>U45*7%+1</f>
        <v>10.450000000000001</v>
      </c>
      <c r="O45" s="19">
        <f t="shared" si="26"/>
        <v>10.8</v>
      </c>
      <c r="P45" s="64">
        <f t="shared" si="27"/>
        <v>13.5</v>
      </c>
      <c r="Q45" s="64">
        <f t="shared" si="28"/>
        <v>13.5</v>
      </c>
      <c r="R45" s="64">
        <f t="shared" si="29"/>
        <v>18.900000000000002</v>
      </c>
      <c r="S45" s="64">
        <f t="shared" si="30"/>
        <v>14.85</v>
      </c>
      <c r="T45" s="64">
        <f t="shared" si="31"/>
        <v>13.5</v>
      </c>
      <c r="U45" s="64">
        <v>135</v>
      </c>
    </row>
    <row r="46" spans="1:25" hidden="1" x14ac:dyDescent="0.25">
      <c r="A46">
        <v>49</v>
      </c>
      <c r="B46" s="143"/>
      <c r="C46" s="10">
        <v>32</v>
      </c>
      <c r="D46" s="131" t="s">
        <v>29</v>
      </c>
      <c r="E46" s="132"/>
      <c r="F46" s="132"/>
      <c r="G46" s="132"/>
      <c r="H46" s="132"/>
      <c r="I46" s="132"/>
      <c r="J46" s="132"/>
      <c r="K46" s="132"/>
      <c r="L46" s="132"/>
      <c r="M46" s="132"/>
      <c r="N46" s="133"/>
      <c r="O46" s="21"/>
    </row>
    <row r="47" spans="1:25" s="1" customFormat="1" x14ac:dyDescent="0.25">
      <c r="A47">
        <v>50</v>
      </c>
      <c r="G47" s="11" t="s">
        <v>42</v>
      </c>
      <c r="H47" s="8">
        <f>SUBTOTAL(9,H38:H46)</f>
        <v>174.6</v>
      </c>
      <c r="I47" s="15">
        <f>SUBTOTAL(9,I38:I46)+1</f>
        <v>51.220000000000006</v>
      </c>
      <c r="J47" s="15">
        <f>SUBTOTAL(9,J38:J46)</f>
        <v>62.59</v>
      </c>
      <c r="K47" s="15">
        <f>SUBTOTAL(9,K38:K46)-2</f>
        <v>65.59</v>
      </c>
      <c r="L47" s="15">
        <f>SUBTOTAL(9,L38:L46)-2</f>
        <v>84.33</v>
      </c>
      <c r="M47" s="15">
        <f>SUBTOTAL(9,M38:M46)-2</f>
        <v>74.959999999999994</v>
      </c>
      <c r="N47" s="15">
        <f>SUBTOTAL(9,N38:N46)-2</f>
        <v>65.59</v>
      </c>
      <c r="O47" s="20">
        <f>SUBTOTAL(9,O38:O46)+1</f>
        <v>75.959999999999994</v>
      </c>
      <c r="P47" s="65">
        <f>SUBTOTAL(9,P38:P46)</f>
        <v>94.7</v>
      </c>
      <c r="Q47" s="65">
        <f>SUBTOTAL(9,Q38:Q46)</f>
        <v>94.7</v>
      </c>
      <c r="R47" s="65">
        <f>SUBTOTAL(9,R38:R46)+1</f>
        <v>133.18</v>
      </c>
      <c r="S47" s="65">
        <f>SUBTOTAL(9,S38:S46)</f>
        <v>104.07</v>
      </c>
      <c r="T47" s="65">
        <f>SUBTOTAL(9,T38:T46)</f>
        <v>94.7</v>
      </c>
      <c r="U47" s="65">
        <f>SUBTOTAL(9,U38:U46)+1</f>
        <v>938</v>
      </c>
      <c r="V47" s="66"/>
      <c r="W47" s="66"/>
      <c r="X47" s="66"/>
      <c r="Y47" s="66"/>
    </row>
    <row r="48" spans="1:25" ht="15.75" thickBot="1" x14ac:dyDescent="0.3">
      <c r="A48">
        <v>52</v>
      </c>
      <c r="O48" s="21"/>
    </row>
    <row r="49" spans="1:25" s="5" customFormat="1" ht="30.75" customHeight="1" x14ac:dyDescent="0.25">
      <c r="A49">
        <v>53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4" t="s">
        <v>6</v>
      </c>
      <c r="H49" s="22" t="s">
        <v>7</v>
      </c>
      <c r="I49" s="24" t="s">
        <v>53</v>
      </c>
      <c r="J49" s="25" t="s">
        <v>54</v>
      </c>
      <c r="K49" s="25" t="s">
        <v>10</v>
      </c>
      <c r="L49" s="25" t="s">
        <v>55</v>
      </c>
      <c r="M49" s="25" t="s">
        <v>56</v>
      </c>
      <c r="N49" s="26" t="s">
        <v>13</v>
      </c>
      <c r="O49" s="18" t="s">
        <v>14</v>
      </c>
      <c r="P49" s="63" t="s">
        <v>15</v>
      </c>
      <c r="Q49" s="63" t="s">
        <v>16</v>
      </c>
      <c r="R49" s="63" t="s">
        <v>17</v>
      </c>
      <c r="S49" s="63" t="s">
        <v>18</v>
      </c>
      <c r="T49" s="63" t="s">
        <v>19</v>
      </c>
      <c r="U49" s="63" t="s">
        <v>20</v>
      </c>
      <c r="V49" s="63"/>
      <c r="W49" s="63"/>
      <c r="X49" s="63"/>
      <c r="Y49" s="63"/>
    </row>
    <row r="50" spans="1:25" x14ac:dyDescent="0.25">
      <c r="A50">
        <v>54</v>
      </c>
      <c r="B50" s="142" t="s">
        <v>30</v>
      </c>
      <c r="C50" s="6">
        <v>33</v>
      </c>
      <c r="D50" s="6" t="s">
        <v>39</v>
      </c>
      <c r="E50" s="6">
        <v>3</v>
      </c>
      <c r="F50" s="6">
        <v>15</v>
      </c>
      <c r="G50" s="7">
        <v>1.25</v>
      </c>
      <c r="H50" s="23">
        <v>28.4</v>
      </c>
      <c r="I50" s="27">
        <f>U50*6%+1</f>
        <v>26.619999999999997</v>
      </c>
      <c r="J50" s="13">
        <f>U50*7%</f>
        <v>29.890000000000004</v>
      </c>
      <c r="K50" s="13">
        <f>U50*7%</f>
        <v>29.890000000000004</v>
      </c>
      <c r="L50" s="13">
        <f>U50*9%</f>
        <v>38.43</v>
      </c>
      <c r="M50" s="13">
        <f>U50*8%</f>
        <v>34.160000000000004</v>
      </c>
      <c r="N50" s="28">
        <f>U50*7%</f>
        <v>29.890000000000004</v>
      </c>
      <c r="O50" s="19">
        <f>U50*8%</f>
        <v>34.160000000000004</v>
      </c>
      <c r="P50" s="64">
        <f>U50*10%</f>
        <v>42.7</v>
      </c>
      <c r="Q50" s="64">
        <f>U50*10%</f>
        <v>42.7</v>
      </c>
      <c r="R50" s="64">
        <f>U50*14%</f>
        <v>59.780000000000008</v>
      </c>
      <c r="S50" s="64">
        <f>U50*11%</f>
        <v>46.97</v>
      </c>
      <c r="T50" s="64">
        <f>U50*10%</f>
        <v>42.7</v>
      </c>
      <c r="U50" s="64">
        <v>427</v>
      </c>
    </row>
    <row r="51" spans="1:25" ht="15.75" thickBot="1" x14ac:dyDescent="0.3">
      <c r="A51">
        <v>55</v>
      </c>
      <c r="B51" s="143"/>
      <c r="C51" s="6">
        <v>39</v>
      </c>
      <c r="D51" s="6" t="s">
        <v>41</v>
      </c>
      <c r="E51" s="6">
        <v>8</v>
      </c>
      <c r="F51" s="6">
        <v>6</v>
      </c>
      <c r="G51" s="7">
        <v>0.5</v>
      </c>
      <c r="H51" s="23">
        <v>4.5</v>
      </c>
      <c r="I51" s="35">
        <f>U51*6%-1</f>
        <v>0.61999999999999988</v>
      </c>
      <c r="J51" s="36">
        <f>U51*7%-1</f>
        <v>0.89000000000000012</v>
      </c>
      <c r="K51" s="30">
        <f>U51*7%</f>
        <v>1.8900000000000001</v>
      </c>
      <c r="L51" s="30">
        <f>U51*9%</f>
        <v>2.4299999999999997</v>
      </c>
      <c r="M51" s="30">
        <f>U51*8%</f>
        <v>2.16</v>
      </c>
      <c r="N51" s="31">
        <f>U51*7%</f>
        <v>1.8900000000000001</v>
      </c>
      <c r="O51" s="19">
        <f>U51*8%</f>
        <v>2.16</v>
      </c>
      <c r="P51" s="64">
        <f>U51*10%</f>
        <v>2.7</v>
      </c>
      <c r="Q51" s="64">
        <f>U51*10%</f>
        <v>2.7</v>
      </c>
      <c r="R51" s="64">
        <f>U51*14%</f>
        <v>3.7800000000000002</v>
      </c>
      <c r="S51" s="64">
        <f>U51*11%</f>
        <v>2.97</v>
      </c>
      <c r="T51" s="64">
        <f>U51*10%</f>
        <v>2.7</v>
      </c>
      <c r="U51" s="64">
        <v>27</v>
      </c>
    </row>
    <row r="52" spans="1:25" s="1" customFormat="1" x14ac:dyDescent="0.25">
      <c r="G52" s="11" t="s">
        <v>42</v>
      </c>
      <c r="H52" s="8">
        <f>SUBTOTAL(9,H47:H51)</f>
        <v>32.9</v>
      </c>
      <c r="I52" s="15">
        <f>SUBTOTAL(9,I50:I51)-1</f>
        <v>26.24</v>
      </c>
      <c r="J52" s="15">
        <f t="shared" ref="J52:U52" si="32">SUBTOTAL(9,J50:J51)</f>
        <v>30.780000000000005</v>
      </c>
      <c r="K52" s="15">
        <f t="shared" si="32"/>
        <v>31.780000000000005</v>
      </c>
      <c r="L52" s="15">
        <f t="shared" si="32"/>
        <v>40.86</v>
      </c>
      <c r="M52" s="15">
        <f t="shared" si="32"/>
        <v>36.320000000000007</v>
      </c>
      <c r="N52" s="16">
        <f t="shared" si="32"/>
        <v>31.780000000000005</v>
      </c>
      <c r="O52" s="20">
        <f t="shared" si="32"/>
        <v>36.320000000000007</v>
      </c>
      <c r="P52" s="65">
        <f t="shared" si="32"/>
        <v>45.400000000000006</v>
      </c>
      <c r="Q52" s="65">
        <f t="shared" si="32"/>
        <v>45.400000000000006</v>
      </c>
      <c r="R52" s="65">
        <f t="shared" si="32"/>
        <v>63.560000000000009</v>
      </c>
      <c r="S52" s="65">
        <f t="shared" si="32"/>
        <v>49.94</v>
      </c>
      <c r="T52" s="65">
        <f t="shared" si="32"/>
        <v>45.400000000000006</v>
      </c>
      <c r="U52" s="65">
        <f t="shared" si="32"/>
        <v>454</v>
      </c>
      <c r="V52" s="66"/>
      <c r="W52" s="66"/>
      <c r="X52" s="66"/>
      <c r="Y52" s="66"/>
    </row>
    <row r="53" spans="1:25" x14ac:dyDescent="0.25">
      <c r="O53" s="21"/>
    </row>
    <row r="54" spans="1:25" ht="15.75" thickBot="1" x14ac:dyDescent="0.3">
      <c r="B54" s="1" t="s">
        <v>45</v>
      </c>
      <c r="O54" s="21"/>
    </row>
    <row r="55" spans="1:25" s="5" customFormat="1" ht="30.75" customHeight="1" x14ac:dyDescent="0.25">
      <c r="A55">
        <v>4</v>
      </c>
      <c r="B55" s="3" t="s">
        <v>1</v>
      </c>
      <c r="C55" s="3" t="s">
        <v>2</v>
      </c>
      <c r="D55" s="3" t="s">
        <v>3</v>
      </c>
      <c r="E55" s="3" t="s">
        <v>4</v>
      </c>
      <c r="F55" s="3" t="s">
        <v>5</v>
      </c>
      <c r="G55" s="4" t="s">
        <v>6</v>
      </c>
      <c r="H55" s="22" t="s">
        <v>7</v>
      </c>
      <c r="I55" s="24" t="s">
        <v>57</v>
      </c>
      <c r="J55" s="25" t="s">
        <v>60</v>
      </c>
      <c r="K55" s="25" t="s">
        <v>58</v>
      </c>
      <c r="L55" s="39" t="s">
        <v>61</v>
      </c>
      <c r="M55" s="39" t="s">
        <v>49</v>
      </c>
      <c r="N55" s="26" t="s">
        <v>59</v>
      </c>
      <c r="O55" s="37" t="s">
        <v>20</v>
      </c>
      <c r="P55" s="63"/>
      <c r="Q55" s="63"/>
      <c r="R55" s="63"/>
      <c r="S55" s="63"/>
      <c r="T55" s="63"/>
      <c r="U55" s="63"/>
      <c r="V55" s="63"/>
      <c r="W55" s="67" t="s">
        <v>46</v>
      </c>
      <c r="X55" s="63"/>
      <c r="Y55" s="63"/>
    </row>
    <row r="56" spans="1:25" x14ac:dyDescent="0.25">
      <c r="A56">
        <v>5</v>
      </c>
      <c r="B56" s="142" t="s">
        <v>21</v>
      </c>
      <c r="C56" s="6">
        <v>1</v>
      </c>
      <c r="D56" s="6" t="s">
        <v>31</v>
      </c>
      <c r="E56" s="6">
        <v>11</v>
      </c>
      <c r="F56" s="6">
        <v>20</v>
      </c>
      <c r="G56" s="7">
        <v>1.67</v>
      </c>
      <c r="H56" s="23">
        <v>53.09</v>
      </c>
      <c r="I56" s="27">
        <f t="shared" ref="I56:I62" si="33">O56*7%</f>
        <v>70.63000000000001</v>
      </c>
      <c r="J56" s="13">
        <f t="shared" ref="J56:J62" si="34">O56*8%</f>
        <v>80.72</v>
      </c>
      <c r="K56" s="13">
        <f t="shared" ref="K56:K62" si="35">O56*9%</f>
        <v>90.81</v>
      </c>
      <c r="L56" s="14">
        <f>O56*12%+1</f>
        <v>122.08</v>
      </c>
      <c r="M56" s="14">
        <f>O56*11%</f>
        <v>110.99</v>
      </c>
      <c r="N56" s="28">
        <f t="shared" ref="N56:N62" si="36">O56*9%</f>
        <v>90.81</v>
      </c>
      <c r="O56" s="38">
        <v>1009</v>
      </c>
      <c r="Q56" s="62">
        <f>(H56/H68)*O68</f>
        <v>993.64234537213031</v>
      </c>
      <c r="W56" s="68">
        <f>O56/H56</f>
        <v>19.005462422301751</v>
      </c>
    </row>
    <row r="57" spans="1:25" x14ac:dyDescent="0.25">
      <c r="A57">
        <v>6</v>
      </c>
      <c r="B57" s="144"/>
      <c r="C57" s="6">
        <v>2</v>
      </c>
      <c r="D57" s="6" t="s">
        <v>31</v>
      </c>
      <c r="E57" s="6">
        <v>11</v>
      </c>
      <c r="F57" s="6">
        <v>20</v>
      </c>
      <c r="G57" s="7">
        <v>1.67</v>
      </c>
      <c r="H57" s="23">
        <v>60.27</v>
      </c>
      <c r="I57" s="27">
        <f t="shared" si="33"/>
        <v>80.570000000000007</v>
      </c>
      <c r="J57" s="13">
        <f t="shared" si="34"/>
        <v>92.08</v>
      </c>
      <c r="K57" s="13">
        <f t="shared" si="35"/>
        <v>103.58999999999999</v>
      </c>
      <c r="L57" s="14">
        <f t="shared" ref="L57:L62" si="37">O57*12%</f>
        <v>138.12</v>
      </c>
      <c r="M57" s="14">
        <f>O57*11%-1</f>
        <v>125.61</v>
      </c>
      <c r="N57" s="28">
        <f t="shared" si="36"/>
        <v>103.58999999999999</v>
      </c>
      <c r="O57" s="38">
        <v>1151</v>
      </c>
      <c r="Q57" s="62">
        <f>(H57/H68)*O68</f>
        <v>1128.0245649948822</v>
      </c>
      <c r="W57" s="68">
        <f t="shared" ref="W57:W67" si="38">O57/H57</f>
        <v>19.097395055583206</v>
      </c>
    </row>
    <row r="58" spans="1:25" x14ac:dyDescent="0.25">
      <c r="A58">
        <v>7</v>
      </c>
      <c r="B58" s="144"/>
      <c r="C58" s="6">
        <v>3</v>
      </c>
      <c r="D58" s="6" t="s">
        <v>31</v>
      </c>
      <c r="E58" s="6">
        <v>11</v>
      </c>
      <c r="F58" s="6">
        <v>20</v>
      </c>
      <c r="G58" s="7">
        <v>1.67</v>
      </c>
      <c r="H58" s="23">
        <v>69.040000000000006</v>
      </c>
      <c r="I58" s="27">
        <f t="shared" si="33"/>
        <v>91.84</v>
      </c>
      <c r="J58" s="13">
        <f t="shared" si="34"/>
        <v>104.96000000000001</v>
      </c>
      <c r="K58" s="13">
        <f t="shared" si="35"/>
        <v>118.08</v>
      </c>
      <c r="L58" s="14">
        <f t="shared" si="37"/>
        <v>157.44</v>
      </c>
      <c r="M58" s="14">
        <f>O58*11%</f>
        <v>144.32</v>
      </c>
      <c r="N58" s="28">
        <f t="shared" si="36"/>
        <v>118.08</v>
      </c>
      <c r="O58" s="38">
        <v>1312</v>
      </c>
      <c r="Q58" s="62">
        <f>(H58/H68)*O68</f>
        <v>1292.1655212750402</v>
      </c>
      <c r="W58" s="68">
        <f t="shared" si="38"/>
        <v>19.003476245654692</v>
      </c>
    </row>
    <row r="59" spans="1:25" x14ac:dyDescent="0.25">
      <c r="A59">
        <v>8</v>
      </c>
      <c r="B59" s="144"/>
      <c r="C59" s="6">
        <v>4</v>
      </c>
      <c r="D59" s="6" t="s">
        <v>31</v>
      </c>
      <c r="E59" s="6">
        <v>11</v>
      </c>
      <c r="F59" s="6">
        <v>20</v>
      </c>
      <c r="G59" s="7">
        <v>1.67</v>
      </c>
      <c r="H59" s="23">
        <v>70.510000000000005</v>
      </c>
      <c r="I59" s="27">
        <f t="shared" si="33"/>
        <v>93.87</v>
      </c>
      <c r="J59" s="13">
        <f t="shared" si="34"/>
        <v>107.28</v>
      </c>
      <c r="K59" s="13">
        <f t="shared" si="35"/>
        <v>120.69</v>
      </c>
      <c r="L59" s="14">
        <f t="shared" si="37"/>
        <v>160.91999999999999</v>
      </c>
      <c r="M59" s="14">
        <f>O59*11%-1</f>
        <v>146.51</v>
      </c>
      <c r="N59" s="28">
        <f t="shared" si="36"/>
        <v>120.69</v>
      </c>
      <c r="O59" s="38">
        <v>1341</v>
      </c>
      <c r="Q59" s="62">
        <f>(H59/H68)*O68</f>
        <v>1319.6783155432079</v>
      </c>
      <c r="W59" s="68">
        <f t="shared" si="38"/>
        <v>19.018578924975181</v>
      </c>
    </row>
    <row r="60" spans="1:25" x14ac:dyDescent="0.25">
      <c r="A60">
        <v>9</v>
      </c>
      <c r="B60" s="144"/>
      <c r="C60" s="6">
        <v>5</v>
      </c>
      <c r="D60" s="6" t="s">
        <v>31</v>
      </c>
      <c r="E60" s="6">
        <v>11</v>
      </c>
      <c r="F60" s="6">
        <v>20</v>
      </c>
      <c r="G60" s="7">
        <v>1.67</v>
      </c>
      <c r="H60" s="23">
        <v>50.4</v>
      </c>
      <c r="I60" s="27">
        <f t="shared" si="33"/>
        <v>67.06</v>
      </c>
      <c r="J60" s="13">
        <f t="shared" si="34"/>
        <v>76.64</v>
      </c>
      <c r="K60" s="13">
        <f t="shared" si="35"/>
        <v>86.22</v>
      </c>
      <c r="L60" s="14">
        <f t="shared" si="37"/>
        <v>114.96</v>
      </c>
      <c r="M60" s="14">
        <f>O60*11%</f>
        <v>105.38</v>
      </c>
      <c r="N60" s="28">
        <f t="shared" si="36"/>
        <v>86.22</v>
      </c>
      <c r="O60" s="38">
        <v>958</v>
      </c>
      <c r="Q60" s="62">
        <f>(H60/H68)*O68</f>
        <v>943.29580348004072</v>
      </c>
      <c r="W60" s="68">
        <f t="shared" si="38"/>
        <v>19.00793650793651</v>
      </c>
    </row>
    <row r="61" spans="1:25" x14ac:dyDescent="0.25">
      <c r="A61">
        <v>10</v>
      </c>
      <c r="B61" s="144"/>
      <c r="C61" s="6">
        <v>6</v>
      </c>
      <c r="D61" s="6" t="s">
        <v>31</v>
      </c>
      <c r="E61" s="6">
        <v>11</v>
      </c>
      <c r="F61" s="6">
        <v>20</v>
      </c>
      <c r="G61" s="7">
        <v>1.67</v>
      </c>
      <c r="H61" s="23">
        <v>58.6</v>
      </c>
      <c r="I61" s="27">
        <f t="shared" si="33"/>
        <v>77.98</v>
      </c>
      <c r="J61" s="13">
        <f t="shared" si="34"/>
        <v>89.12</v>
      </c>
      <c r="K61" s="13">
        <f t="shared" si="35"/>
        <v>100.25999999999999</v>
      </c>
      <c r="L61" s="14">
        <f t="shared" si="37"/>
        <v>133.68</v>
      </c>
      <c r="M61" s="14">
        <f>O61*11%</f>
        <v>122.54</v>
      </c>
      <c r="N61" s="28">
        <f t="shared" si="36"/>
        <v>100.25999999999999</v>
      </c>
      <c r="O61" s="38">
        <v>1114</v>
      </c>
      <c r="Q61" s="62">
        <f>(H61/H68)*O68</f>
        <v>1096.7685334113173</v>
      </c>
      <c r="W61" s="68">
        <f t="shared" si="38"/>
        <v>19.010238907849828</v>
      </c>
    </row>
    <row r="62" spans="1:25" x14ac:dyDescent="0.25">
      <c r="A62">
        <v>11</v>
      </c>
      <c r="B62" s="144"/>
      <c r="C62" s="6">
        <v>7</v>
      </c>
      <c r="D62" s="6" t="s">
        <v>31</v>
      </c>
      <c r="E62" s="6">
        <v>11</v>
      </c>
      <c r="F62" s="6">
        <v>17</v>
      </c>
      <c r="G62" s="7">
        <v>1.42</v>
      </c>
      <c r="H62" s="23">
        <v>23.6</v>
      </c>
      <c r="I62" s="27">
        <f t="shared" si="33"/>
        <v>26.67</v>
      </c>
      <c r="J62" s="13">
        <f t="shared" si="34"/>
        <v>30.48</v>
      </c>
      <c r="K62" s="13">
        <f t="shared" si="35"/>
        <v>34.29</v>
      </c>
      <c r="L62" s="14">
        <f t="shared" si="37"/>
        <v>45.72</v>
      </c>
      <c r="M62" s="14">
        <f>O62*11%</f>
        <v>41.910000000000004</v>
      </c>
      <c r="N62" s="28">
        <f t="shared" si="36"/>
        <v>34.29</v>
      </c>
      <c r="O62" s="38">
        <v>381</v>
      </c>
      <c r="Q62" s="62">
        <f>(H62/H68)*O68</f>
        <v>441.70200321684456</v>
      </c>
      <c r="W62" s="68">
        <f t="shared" si="38"/>
        <v>16.14406779661017</v>
      </c>
    </row>
    <row r="63" spans="1:25" x14ac:dyDescent="0.25">
      <c r="A63">
        <v>12</v>
      </c>
      <c r="B63" s="144"/>
      <c r="C63" s="6">
        <v>8</v>
      </c>
      <c r="D63" s="6" t="s">
        <v>31</v>
      </c>
      <c r="E63" s="6">
        <v>11</v>
      </c>
      <c r="F63" s="6">
        <v>20</v>
      </c>
      <c r="G63" s="7">
        <v>1.67</v>
      </c>
      <c r="H63" s="23">
        <v>61.6</v>
      </c>
      <c r="I63" s="27">
        <f>O63*7%+2</f>
        <v>82.850000000000009</v>
      </c>
      <c r="J63" s="13">
        <f>O63*8%+1</f>
        <v>93.4</v>
      </c>
      <c r="K63" s="13">
        <f>O63*9%+1</f>
        <v>104.95</v>
      </c>
      <c r="L63" s="14">
        <f>O63*12%+1</f>
        <v>139.6</v>
      </c>
      <c r="M63" s="14">
        <f>O63*11%+2</f>
        <v>129.05000000000001</v>
      </c>
      <c r="N63" s="28">
        <f>O63*9%+1</f>
        <v>104.95</v>
      </c>
      <c r="O63" s="38">
        <v>1155</v>
      </c>
      <c r="Q63" s="62">
        <f>(H63/H68)*O68</f>
        <v>1152.9170931422721</v>
      </c>
      <c r="W63" s="68">
        <f t="shared" si="38"/>
        <v>18.75</v>
      </c>
    </row>
    <row r="64" spans="1:25" x14ac:dyDescent="0.25">
      <c r="A64">
        <v>13</v>
      </c>
      <c r="B64" s="144"/>
      <c r="C64" s="6">
        <v>9</v>
      </c>
      <c r="D64" s="6" t="s">
        <v>31</v>
      </c>
      <c r="E64" s="6">
        <v>11</v>
      </c>
      <c r="F64" s="6">
        <v>18</v>
      </c>
      <c r="G64" s="7">
        <v>1.5</v>
      </c>
      <c r="H64" s="23">
        <v>38.299999999999997</v>
      </c>
      <c r="I64" s="27">
        <f>O64*7%-1</f>
        <v>45.06</v>
      </c>
      <c r="J64" s="13">
        <f>O64*8%</f>
        <v>52.64</v>
      </c>
      <c r="K64" s="13">
        <f>O64*9%</f>
        <v>59.22</v>
      </c>
      <c r="L64" s="14">
        <f>O64*12%</f>
        <v>78.959999999999994</v>
      </c>
      <c r="M64" s="14">
        <f>O64*11%</f>
        <v>72.38</v>
      </c>
      <c r="N64" s="28">
        <f>O64*9%</f>
        <v>59.22</v>
      </c>
      <c r="O64" s="38">
        <v>658</v>
      </c>
      <c r="Q64" s="62">
        <f>(H64/H68)*O68</f>
        <v>716.82994589852308</v>
      </c>
      <c r="W64" s="68">
        <f t="shared" si="38"/>
        <v>17.180156657963447</v>
      </c>
    </row>
    <row r="65" spans="1:25" x14ac:dyDescent="0.25">
      <c r="A65">
        <v>14</v>
      </c>
      <c r="B65" s="144"/>
      <c r="C65" s="6">
        <v>11</v>
      </c>
      <c r="D65" s="6" t="s">
        <v>33</v>
      </c>
      <c r="E65" s="6">
        <v>10.5</v>
      </c>
      <c r="F65" s="6">
        <v>19</v>
      </c>
      <c r="G65" s="7">
        <v>1.58</v>
      </c>
      <c r="H65" s="23">
        <v>44.5</v>
      </c>
      <c r="I65" s="27">
        <f>O65*7%+1</f>
        <v>57.280000000000008</v>
      </c>
      <c r="J65" s="13">
        <f>O65*8%+1</f>
        <v>65.320000000000007</v>
      </c>
      <c r="K65" s="13">
        <f>O65*9%+1</f>
        <v>73.36</v>
      </c>
      <c r="L65" s="14">
        <f>O65*12%-1</f>
        <v>95.47999999999999</v>
      </c>
      <c r="M65" s="14">
        <f>O65*11%</f>
        <v>88.44</v>
      </c>
      <c r="N65" s="28">
        <f>O65*9%+1</f>
        <v>73.36</v>
      </c>
      <c r="O65" s="38">
        <v>804</v>
      </c>
      <c r="Q65" s="62">
        <f>(H65/H68)*O68</f>
        <v>832.87030267582975</v>
      </c>
      <c r="W65" s="68">
        <f t="shared" si="38"/>
        <v>18.067415730337078</v>
      </c>
    </row>
    <row r="66" spans="1:25" x14ac:dyDescent="0.25">
      <c r="A66">
        <v>15</v>
      </c>
      <c r="B66" s="144"/>
      <c r="C66" s="6">
        <v>12</v>
      </c>
      <c r="D66" s="6" t="s">
        <v>34</v>
      </c>
      <c r="E66" s="6">
        <v>10</v>
      </c>
      <c r="F66" s="6">
        <v>20</v>
      </c>
      <c r="G66" s="7">
        <v>1.67</v>
      </c>
      <c r="H66" s="23">
        <v>71</v>
      </c>
      <c r="I66" s="27">
        <f>O66*7%</f>
        <v>94.360000000000014</v>
      </c>
      <c r="J66" s="13">
        <f>O66*8%</f>
        <v>107.84</v>
      </c>
      <c r="K66" s="13">
        <f>O66*9%</f>
        <v>121.32</v>
      </c>
      <c r="L66" s="14">
        <f>O66*12%</f>
        <v>161.76</v>
      </c>
      <c r="M66" s="14">
        <f>O66*11%</f>
        <v>148.28</v>
      </c>
      <c r="N66" s="28">
        <f>O66*9%</f>
        <v>121.32</v>
      </c>
      <c r="O66" s="38">
        <v>1348</v>
      </c>
      <c r="Q66" s="62">
        <f>(H66/H68)*O68</f>
        <v>1328.8492469659304</v>
      </c>
      <c r="W66" s="68">
        <f t="shared" si="38"/>
        <v>18.985915492957748</v>
      </c>
    </row>
    <row r="67" spans="1:25" ht="15.75" thickBot="1" x14ac:dyDescent="0.3">
      <c r="A67">
        <v>16</v>
      </c>
      <c r="B67" s="143"/>
      <c r="C67" s="6">
        <v>23</v>
      </c>
      <c r="D67" s="6" t="s">
        <v>34</v>
      </c>
      <c r="E67" s="6">
        <v>10</v>
      </c>
      <c r="F67" s="6">
        <v>21</v>
      </c>
      <c r="G67" s="7">
        <v>1.75</v>
      </c>
      <c r="H67" s="23">
        <v>14.6</v>
      </c>
      <c r="I67" s="29">
        <f>O67*7%+1</f>
        <v>21.23</v>
      </c>
      <c r="J67" s="30">
        <f>O67*8%</f>
        <v>23.12</v>
      </c>
      <c r="K67" s="30">
        <f>O67*9%</f>
        <v>26.009999999999998</v>
      </c>
      <c r="L67" s="40">
        <f>O67*12%+1</f>
        <v>35.68</v>
      </c>
      <c r="M67" s="40">
        <f>O67*11%</f>
        <v>31.79</v>
      </c>
      <c r="N67" s="31">
        <f>O67*9%</f>
        <v>26.009999999999998</v>
      </c>
      <c r="O67" s="38">
        <v>289</v>
      </c>
      <c r="Q67" s="62">
        <f>(H67/H68)*O68</f>
        <v>273.25632402398008</v>
      </c>
      <c r="W67" s="68">
        <f t="shared" si="38"/>
        <v>19.794520547945204</v>
      </c>
    </row>
    <row r="68" spans="1:25" s="1" customFormat="1" x14ac:dyDescent="0.25">
      <c r="A68">
        <v>17</v>
      </c>
      <c r="G68" s="11" t="s">
        <v>42</v>
      </c>
      <c r="H68" s="8">
        <f>SUBTOTAL(9,H56:H67)</f>
        <v>615.5100000000001</v>
      </c>
      <c r="I68" s="15">
        <f>SUBTOTAL(9,I56:I67)-1</f>
        <v>808.4</v>
      </c>
      <c r="J68" s="15">
        <f t="shared" ref="J68:N68" si="39">SUBTOTAL(9,J56:J67)</f>
        <v>923.6</v>
      </c>
      <c r="K68" s="15">
        <f t="shared" si="39"/>
        <v>1038.8</v>
      </c>
      <c r="L68" s="16">
        <f t="shared" si="39"/>
        <v>1384.4</v>
      </c>
      <c r="M68" s="16">
        <f t="shared" si="39"/>
        <v>1267.1999999999998</v>
      </c>
      <c r="N68" s="16">
        <f t="shared" si="39"/>
        <v>1038.8</v>
      </c>
      <c r="O68" s="15">
        <f>SUBTOTAL(9,O56:O67)</f>
        <v>11520</v>
      </c>
      <c r="P68" s="66"/>
      <c r="Q68" s="66"/>
      <c r="R68" s="66"/>
      <c r="S68" s="66"/>
      <c r="T68" s="66"/>
      <c r="U68" s="66"/>
      <c r="V68" s="66"/>
      <c r="W68" s="69">
        <f>O68/H68</f>
        <v>18.716186576984935</v>
      </c>
      <c r="X68" s="66"/>
      <c r="Y68" s="66"/>
    </row>
    <row r="69" spans="1:25" ht="15.75" thickBot="1" x14ac:dyDescent="0.3">
      <c r="A69">
        <v>18</v>
      </c>
      <c r="L69" s="12"/>
      <c r="M69" s="12"/>
      <c r="W69" s="70"/>
    </row>
    <row r="70" spans="1:25" s="5" customFormat="1" ht="30.75" customHeight="1" x14ac:dyDescent="0.25">
      <c r="A70">
        <v>19</v>
      </c>
      <c r="B70" s="3" t="s">
        <v>1</v>
      </c>
      <c r="C70" s="3" t="s">
        <v>2</v>
      </c>
      <c r="D70" s="3" t="s">
        <v>3</v>
      </c>
      <c r="E70" s="3" t="s">
        <v>4</v>
      </c>
      <c r="F70" s="3" t="s">
        <v>5</v>
      </c>
      <c r="G70" s="4" t="s">
        <v>6</v>
      </c>
      <c r="H70" s="22" t="s">
        <v>7</v>
      </c>
      <c r="I70" s="24" t="s">
        <v>57</v>
      </c>
      <c r="J70" s="25" t="s">
        <v>60</v>
      </c>
      <c r="K70" s="25" t="s">
        <v>58</v>
      </c>
      <c r="L70" s="39" t="s">
        <v>61</v>
      </c>
      <c r="M70" s="39" t="s">
        <v>49</v>
      </c>
      <c r="N70" s="26" t="s">
        <v>59</v>
      </c>
      <c r="O70" s="37" t="s">
        <v>20</v>
      </c>
      <c r="P70" s="63"/>
      <c r="Q70" s="63"/>
      <c r="R70" s="63"/>
      <c r="S70" s="63"/>
      <c r="T70" s="63"/>
      <c r="U70" s="63"/>
      <c r="V70" s="63"/>
      <c r="W70" s="67" t="s">
        <v>46</v>
      </c>
      <c r="X70" s="63"/>
      <c r="Y70" s="63"/>
    </row>
    <row r="71" spans="1:25" x14ac:dyDescent="0.25">
      <c r="A71">
        <v>20</v>
      </c>
      <c r="B71" s="142" t="s">
        <v>22</v>
      </c>
      <c r="C71" s="6">
        <v>10</v>
      </c>
      <c r="D71" s="6" t="s">
        <v>35</v>
      </c>
      <c r="E71" s="6">
        <v>9.5</v>
      </c>
      <c r="F71" s="6">
        <v>19</v>
      </c>
      <c r="G71" s="7">
        <v>1.58</v>
      </c>
      <c r="H71" s="23">
        <v>19.100000000000001</v>
      </c>
      <c r="I71" s="27">
        <f>O71*7%+1</f>
        <v>25.01</v>
      </c>
      <c r="J71" s="13">
        <f t="shared" ref="J71:J77" si="40">O71*8%</f>
        <v>27.44</v>
      </c>
      <c r="K71" s="13">
        <f t="shared" ref="K71:K77" si="41">O71*9%</f>
        <v>30.869999999999997</v>
      </c>
      <c r="L71" s="14">
        <f>O71*12%</f>
        <v>41.16</v>
      </c>
      <c r="M71" s="14">
        <f t="shared" ref="M71:M77" si="42">O71*11%</f>
        <v>37.729999999999997</v>
      </c>
      <c r="N71" s="28">
        <f t="shared" ref="N71:N77" si="43">O71*9%</f>
        <v>30.869999999999997</v>
      </c>
      <c r="O71" s="38">
        <v>343</v>
      </c>
      <c r="W71" s="68">
        <f t="shared" ref="W71:W77" si="44">O71/H71</f>
        <v>17.958115183246072</v>
      </c>
    </row>
    <row r="72" spans="1:25" x14ac:dyDescent="0.25">
      <c r="A72">
        <v>21</v>
      </c>
      <c r="B72" s="144"/>
      <c r="C72" s="6">
        <v>13</v>
      </c>
      <c r="D72" s="6" t="s">
        <v>36</v>
      </c>
      <c r="E72" s="6">
        <v>10</v>
      </c>
      <c r="F72" s="6">
        <v>22</v>
      </c>
      <c r="G72" s="7">
        <v>1.83</v>
      </c>
      <c r="H72" s="23">
        <v>60.8</v>
      </c>
      <c r="I72" s="27">
        <f>O72*7%</f>
        <v>89.04</v>
      </c>
      <c r="J72" s="13">
        <f t="shared" si="40"/>
        <v>101.76</v>
      </c>
      <c r="K72" s="13">
        <f t="shared" si="41"/>
        <v>114.47999999999999</v>
      </c>
      <c r="L72" s="14">
        <f>O72*12%</f>
        <v>152.63999999999999</v>
      </c>
      <c r="M72" s="14">
        <f t="shared" si="42"/>
        <v>139.91999999999999</v>
      </c>
      <c r="N72" s="28">
        <f t="shared" si="43"/>
        <v>114.47999999999999</v>
      </c>
      <c r="O72" s="38">
        <v>1272</v>
      </c>
      <c r="W72" s="68">
        <f t="shared" si="44"/>
        <v>20.921052631578949</v>
      </c>
    </row>
    <row r="73" spans="1:25" x14ac:dyDescent="0.25">
      <c r="A73">
        <v>22</v>
      </c>
      <c r="B73" s="144"/>
      <c r="C73" s="6">
        <v>14</v>
      </c>
      <c r="D73" s="6" t="s">
        <v>36</v>
      </c>
      <c r="E73" s="6">
        <v>10</v>
      </c>
      <c r="F73" s="6">
        <v>21</v>
      </c>
      <c r="G73" s="7">
        <v>1.75</v>
      </c>
      <c r="H73" s="23">
        <v>41.6</v>
      </c>
      <c r="I73" s="27">
        <f>O73*7%+1</f>
        <v>59.100000000000009</v>
      </c>
      <c r="J73" s="13">
        <f t="shared" si="40"/>
        <v>66.400000000000006</v>
      </c>
      <c r="K73" s="13">
        <f t="shared" si="41"/>
        <v>74.7</v>
      </c>
      <c r="L73" s="14">
        <f>O73*12%</f>
        <v>99.6</v>
      </c>
      <c r="M73" s="14">
        <f t="shared" si="42"/>
        <v>91.3</v>
      </c>
      <c r="N73" s="28">
        <f t="shared" si="43"/>
        <v>74.7</v>
      </c>
      <c r="O73" s="38">
        <v>830</v>
      </c>
      <c r="W73" s="68">
        <f t="shared" si="44"/>
        <v>19.951923076923077</v>
      </c>
    </row>
    <row r="74" spans="1:25" x14ac:dyDescent="0.25">
      <c r="A74">
        <v>23</v>
      </c>
      <c r="B74" s="144"/>
      <c r="C74" s="6">
        <v>15</v>
      </c>
      <c r="D74" s="6" t="s">
        <v>36</v>
      </c>
      <c r="E74" s="6">
        <v>10</v>
      </c>
      <c r="F74" s="6">
        <v>20</v>
      </c>
      <c r="G74" s="7">
        <v>1.67</v>
      </c>
      <c r="H74" s="23">
        <v>49.17</v>
      </c>
      <c r="I74" s="27">
        <f>O74*7%</f>
        <v>65.73</v>
      </c>
      <c r="J74" s="13">
        <f t="shared" si="40"/>
        <v>75.12</v>
      </c>
      <c r="K74" s="13">
        <f t="shared" si="41"/>
        <v>84.509999999999991</v>
      </c>
      <c r="L74" s="14">
        <f>O74*12%</f>
        <v>112.67999999999999</v>
      </c>
      <c r="M74" s="14">
        <f t="shared" si="42"/>
        <v>103.29</v>
      </c>
      <c r="N74" s="28">
        <f t="shared" si="43"/>
        <v>84.509999999999991</v>
      </c>
      <c r="O74" s="38">
        <v>939</v>
      </c>
      <c r="W74" s="68">
        <f t="shared" si="44"/>
        <v>19.097010372178158</v>
      </c>
    </row>
    <row r="75" spans="1:25" x14ac:dyDescent="0.25">
      <c r="A75">
        <v>24</v>
      </c>
      <c r="B75" s="144"/>
      <c r="C75" s="6">
        <v>16</v>
      </c>
      <c r="D75" s="6" t="s">
        <v>36</v>
      </c>
      <c r="E75" s="6">
        <v>9.5</v>
      </c>
      <c r="F75" s="6">
        <v>20</v>
      </c>
      <c r="G75" s="7">
        <v>1.67</v>
      </c>
      <c r="H75" s="23">
        <v>52.61</v>
      </c>
      <c r="I75" s="27">
        <f>O75*7%-1</f>
        <v>69.56</v>
      </c>
      <c r="J75" s="13">
        <f t="shared" si="40"/>
        <v>80.64</v>
      </c>
      <c r="K75" s="13">
        <f t="shared" si="41"/>
        <v>90.72</v>
      </c>
      <c r="L75" s="14">
        <f>O75*12%+1</f>
        <v>121.96</v>
      </c>
      <c r="M75" s="14">
        <f t="shared" si="42"/>
        <v>110.88</v>
      </c>
      <c r="N75" s="28">
        <f t="shared" si="43"/>
        <v>90.72</v>
      </c>
      <c r="O75" s="38">
        <v>1008</v>
      </c>
      <c r="W75" s="68">
        <f t="shared" si="44"/>
        <v>19.159855540771716</v>
      </c>
    </row>
    <row r="76" spans="1:25" x14ac:dyDescent="0.25">
      <c r="A76">
        <v>25</v>
      </c>
      <c r="B76" s="144"/>
      <c r="C76" s="6">
        <v>17</v>
      </c>
      <c r="D76" s="6" t="s">
        <v>35</v>
      </c>
      <c r="E76" s="6">
        <v>9.5</v>
      </c>
      <c r="F76" s="6">
        <v>22</v>
      </c>
      <c r="G76" s="7">
        <v>1.83</v>
      </c>
      <c r="H76" s="23">
        <v>45.58</v>
      </c>
      <c r="I76" s="27">
        <f>O76*7%-1</f>
        <v>65.990000000000009</v>
      </c>
      <c r="J76" s="13">
        <f t="shared" si="40"/>
        <v>76.56</v>
      </c>
      <c r="K76" s="13">
        <f t="shared" si="41"/>
        <v>86.13</v>
      </c>
      <c r="L76" s="14">
        <f>O76*12%</f>
        <v>114.83999999999999</v>
      </c>
      <c r="M76" s="14">
        <f t="shared" si="42"/>
        <v>105.27</v>
      </c>
      <c r="N76" s="28">
        <f t="shared" si="43"/>
        <v>86.13</v>
      </c>
      <c r="O76" s="38">
        <v>957</v>
      </c>
      <c r="W76" s="68">
        <f t="shared" si="44"/>
        <v>20.996050899517332</v>
      </c>
    </row>
    <row r="77" spans="1:25" ht="15.75" thickBot="1" x14ac:dyDescent="0.3">
      <c r="A77">
        <v>26</v>
      </c>
      <c r="B77" s="143"/>
      <c r="C77" s="6">
        <v>18</v>
      </c>
      <c r="D77" s="6" t="s">
        <v>35</v>
      </c>
      <c r="E77" s="6">
        <v>9.5</v>
      </c>
      <c r="F77" s="6">
        <v>22</v>
      </c>
      <c r="G77" s="7">
        <v>1.83</v>
      </c>
      <c r="H77" s="23">
        <v>40.799999999999997</v>
      </c>
      <c r="I77" s="29">
        <f>O77*7%</f>
        <v>59.920000000000009</v>
      </c>
      <c r="J77" s="30">
        <f t="shared" si="40"/>
        <v>68.48</v>
      </c>
      <c r="K77" s="30">
        <f t="shared" si="41"/>
        <v>77.039999999999992</v>
      </c>
      <c r="L77" s="40">
        <f>O77*12%-1</f>
        <v>101.72</v>
      </c>
      <c r="M77" s="40">
        <f t="shared" si="42"/>
        <v>94.16</v>
      </c>
      <c r="N77" s="31">
        <f t="shared" si="43"/>
        <v>77.039999999999992</v>
      </c>
      <c r="O77" s="38">
        <v>856</v>
      </c>
      <c r="W77" s="68">
        <f t="shared" si="44"/>
        <v>20.980392156862745</v>
      </c>
    </row>
    <row r="78" spans="1:25" s="1" customFormat="1" x14ac:dyDescent="0.25">
      <c r="A78">
        <v>27</v>
      </c>
      <c r="G78" s="11" t="s">
        <v>42</v>
      </c>
      <c r="H78" s="8">
        <f>SUBTOTAL(9,H71:H77)</f>
        <v>309.66000000000003</v>
      </c>
      <c r="I78" s="15">
        <f>SUBTOTAL(9,I71:I77)</f>
        <v>434.35000000000008</v>
      </c>
      <c r="J78" s="15">
        <f>SUBTOTAL(9,J71:J77)</f>
        <v>496.40000000000003</v>
      </c>
      <c r="K78" s="15">
        <f>SUBTOTAL(9,K71:K77)</f>
        <v>558.44999999999993</v>
      </c>
      <c r="L78" s="16">
        <f>SUBTOTAL(9,L71:L77)-1</f>
        <v>743.6</v>
      </c>
      <c r="M78" s="16">
        <f>SUBTOTAL(9,M71:M77)-1</f>
        <v>681.55</v>
      </c>
      <c r="N78" s="16">
        <f>SUBTOTAL(9,N71:N77)</f>
        <v>558.44999999999993</v>
      </c>
      <c r="O78" s="15">
        <f>SUBTOTAL(9,O71:O77)-1</f>
        <v>6204</v>
      </c>
      <c r="P78" s="66"/>
      <c r="Q78" s="66"/>
      <c r="R78" s="66"/>
      <c r="S78" s="66"/>
      <c r="T78" s="66"/>
      <c r="U78" s="66"/>
      <c r="V78" s="66"/>
      <c r="W78" s="69">
        <f>O78/H78</f>
        <v>20.034876961829102</v>
      </c>
      <c r="X78" s="66"/>
      <c r="Y78" s="66"/>
    </row>
    <row r="79" spans="1:25" ht="15.75" thickBot="1" x14ac:dyDescent="0.3">
      <c r="A79">
        <v>28</v>
      </c>
      <c r="B79" s="1" t="s">
        <v>45</v>
      </c>
      <c r="L79" s="12"/>
      <c r="M79" s="12"/>
      <c r="W79" s="70"/>
    </row>
    <row r="80" spans="1:25" s="5" customFormat="1" ht="30.75" customHeight="1" x14ac:dyDescent="0.25">
      <c r="A80">
        <v>29</v>
      </c>
      <c r="B80" s="3" t="s">
        <v>1</v>
      </c>
      <c r="C80" s="3" t="s">
        <v>2</v>
      </c>
      <c r="D80" s="3" t="s">
        <v>3</v>
      </c>
      <c r="E80" s="3" t="s">
        <v>4</v>
      </c>
      <c r="F80" s="3" t="s">
        <v>5</v>
      </c>
      <c r="G80" s="4" t="s">
        <v>6</v>
      </c>
      <c r="H80" s="22" t="s">
        <v>7</v>
      </c>
      <c r="I80" s="24" t="s">
        <v>57</v>
      </c>
      <c r="J80" s="25" t="s">
        <v>60</v>
      </c>
      <c r="K80" s="25" t="s">
        <v>58</v>
      </c>
      <c r="L80" s="39" t="s">
        <v>61</v>
      </c>
      <c r="M80" s="39" t="s">
        <v>49</v>
      </c>
      <c r="N80" s="26" t="s">
        <v>59</v>
      </c>
      <c r="O80" s="37" t="s">
        <v>20</v>
      </c>
      <c r="P80" s="63"/>
      <c r="Q80" s="63"/>
      <c r="R80" s="63"/>
      <c r="S80" s="63"/>
      <c r="T80" s="63"/>
      <c r="U80" s="63"/>
      <c r="V80" s="63"/>
      <c r="W80" s="67" t="s">
        <v>46</v>
      </c>
      <c r="X80" s="63"/>
      <c r="Y80" s="63"/>
    </row>
    <row r="81" spans="1:25" x14ac:dyDescent="0.25">
      <c r="A81">
        <v>30</v>
      </c>
      <c r="B81" s="142" t="s">
        <v>23</v>
      </c>
      <c r="C81" s="6">
        <v>19</v>
      </c>
      <c r="D81" s="6" t="s">
        <v>35</v>
      </c>
      <c r="E81" s="6">
        <v>9.5</v>
      </c>
      <c r="F81" s="6">
        <v>21</v>
      </c>
      <c r="G81" s="7">
        <v>1.75</v>
      </c>
      <c r="H81" s="23">
        <v>50.6</v>
      </c>
      <c r="I81" s="27">
        <f>O81*7%</f>
        <v>70.56</v>
      </c>
      <c r="J81" s="13">
        <f>O81*8%</f>
        <v>80.64</v>
      </c>
      <c r="K81" s="13">
        <f>O81*9%</f>
        <v>90.72</v>
      </c>
      <c r="L81" s="14">
        <f>O81*12%+1</f>
        <v>121.96</v>
      </c>
      <c r="M81" s="14">
        <f>O81*11%</f>
        <v>110.88</v>
      </c>
      <c r="N81" s="28">
        <f>O81*9%</f>
        <v>90.72</v>
      </c>
      <c r="O81" s="38">
        <v>1008</v>
      </c>
      <c r="W81" s="68">
        <f t="shared" ref="W81:W85" si="45">O81/H81</f>
        <v>19.920948616600789</v>
      </c>
    </row>
    <row r="82" spans="1:25" x14ac:dyDescent="0.25">
      <c r="A82">
        <v>31</v>
      </c>
      <c r="B82" s="144"/>
      <c r="C82" s="6">
        <v>20</v>
      </c>
      <c r="D82" s="6" t="s">
        <v>37</v>
      </c>
      <c r="E82" s="6">
        <v>9</v>
      </c>
      <c r="F82" s="6">
        <v>21</v>
      </c>
      <c r="G82" s="7">
        <v>1.75</v>
      </c>
      <c r="H82" s="23">
        <v>61.98</v>
      </c>
      <c r="I82" s="27">
        <f>O82*7%</f>
        <v>86.52000000000001</v>
      </c>
      <c r="J82" s="13">
        <f>O82*8%</f>
        <v>98.88</v>
      </c>
      <c r="K82" s="13">
        <f>O82*9%</f>
        <v>111.24</v>
      </c>
      <c r="L82" s="14">
        <f>O82*12%+1</f>
        <v>149.32</v>
      </c>
      <c r="M82" s="14">
        <f>O82*11%</f>
        <v>135.96</v>
      </c>
      <c r="N82" s="28">
        <f>O82*9%</f>
        <v>111.24</v>
      </c>
      <c r="O82" s="38">
        <v>1236</v>
      </c>
      <c r="W82" s="68">
        <f t="shared" si="45"/>
        <v>19.941916747337853</v>
      </c>
    </row>
    <row r="83" spans="1:25" x14ac:dyDescent="0.25">
      <c r="A83">
        <v>32</v>
      </c>
      <c r="B83" s="144"/>
      <c r="C83" s="6">
        <v>21</v>
      </c>
      <c r="D83" s="6" t="s">
        <v>37</v>
      </c>
      <c r="E83" s="6">
        <v>9</v>
      </c>
      <c r="F83" s="6">
        <v>23</v>
      </c>
      <c r="G83" s="7">
        <v>1.92</v>
      </c>
      <c r="H83" s="23">
        <v>71.59</v>
      </c>
      <c r="I83" s="27">
        <f>O83*7%</f>
        <v>110.32000000000001</v>
      </c>
      <c r="J83" s="13">
        <f>O83*8%</f>
        <v>126.08</v>
      </c>
      <c r="K83" s="13">
        <f>O83*9%</f>
        <v>141.84</v>
      </c>
      <c r="L83" s="14">
        <f>O83*12%-1</f>
        <v>188.12</v>
      </c>
      <c r="M83" s="14">
        <f>O83*11%+1</f>
        <v>174.36</v>
      </c>
      <c r="N83" s="28">
        <f>O83*9%</f>
        <v>141.84</v>
      </c>
      <c r="O83" s="38">
        <v>1576</v>
      </c>
      <c r="W83" s="68">
        <f t="shared" si="45"/>
        <v>22.014247799972061</v>
      </c>
    </row>
    <row r="84" spans="1:25" x14ac:dyDescent="0.25">
      <c r="A84">
        <v>33</v>
      </c>
      <c r="B84" s="144"/>
      <c r="C84" s="6">
        <v>22</v>
      </c>
      <c r="D84" s="6" t="s">
        <v>37</v>
      </c>
      <c r="E84" s="6">
        <v>9</v>
      </c>
      <c r="F84" s="6">
        <v>21</v>
      </c>
      <c r="G84" s="7">
        <v>1.75</v>
      </c>
      <c r="H84" s="23">
        <v>52.08</v>
      </c>
      <c r="I84" s="27">
        <f>O84*7%</f>
        <v>73.220000000000013</v>
      </c>
      <c r="J84" s="13">
        <f>O84*8%</f>
        <v>83.68</v>
      </c>
      <c r="K84" s="13">
        <f>O84*9%</f>
        <v>94.14</v>
      </c>
      <c r="L84" s="14">
        <f>O84*12%</f>
        <v>125.52</v>
      </c>
      <c r="M84" s="14">
        <f>O84*11%</f>
        <v>115.06</v>
      </c>
      <c r="N84" s="28">
        <f>O84*9%</f>
        <v>94.14</v>
      </c>
      <c r="O84" s="38">
        <v>1046</v>
      </c>
      <c r="W84" s="68">
        <f t="shared" si="45"/>
        <v>20.084485407066055</v>
      </c>
    </row>
    <row r="85" spans="1:25" ht="15.75" thickBot="1" x14ac:dyDescent="0.3">
      <c r="A85">
        <v>34</v>
      </c>
      <c r="B85" s="143"/>
      <c r="C85" s="6">
        <v>24</v>
      </c>
      <c r="D85" s="6" t="s">
        <v>37</v>
      </c>
      <c r="E85" s="6">
        <v>9</v>
      </c>
      <c r="F85" s="6">
        <v>18</v>
      </c>
      <c r="G85" s="7">
        <v>1.5</v>
      </c>
      <c r="H85" s="23">
        <v>44.67</v>
      </c>
      <c r="I85" s="29">
        <f>O85*7%</f>
        <v>53.27</v>
      </c>
      <c r="J85" s="30">
        <f>O85*8%</f>
        <v>60.88</v>
      </c>
      <c r="K85" s="30">
        <f>O85*9%</f>
        <v>68.489999999999995</v>
      </c>
      <c r="L85" s="40">
        <f>O85*12%</f>
        <v>91.32</v>
      </c>
      <c r="M85" s="40">
        <f>O85*11%+1</f>
        <v>84.71</v>
      </c>
      <c r="N85" s="31">
        <f>O85*9%</f>
        <v>68.489999999999995</v>
      </c>
      <c r="O85" s="38">
        <v>761</v>
      </c>
      <c r="W85" s="68">
        <f t="shared" si="45"/>
        <v>17.036042086411459</v>
      </c>
    </row>
    <row r="86" spans="1:25" s="1" customFormat="1" x14ac:dyDescent="0.25">
      <c r="A86">
        <v>35</v>
      </c>
      <c r="G86" s="11" t="s">
        <v>42</v>
      </c>
      <c r="H86" s="8">
        <f>SUBTOTAL(9,H81:H85)</f>
        <v>280.92</v>
      </c>
      <c r="I86" s="15">
        <f>SUBTOTAL(9,I81:I85)+1</f>
        <v>394.89000000000004</v>
      </c>
      <c r="J86" s="15">
        <f>SUBTOTAL(9,J81:J85)+1</f>
        <v>451.15999999999997</v>
      </c>
      <c r="K86" s="15">
        <f>SUBTOTAL(9,K81:K85)+1</f>
        <v>507.42999999999995</v>
      </c>
      <c r="L86" s="16">
        <f t="shared" ref="L86:M86" si="46">SUBTOTAL(9,L81:L85)</f>
        <v>676.24</v>
      </c>
      <c r="M86" s="16">
        <f t="shared" si="46"/>
        <v>620.97</v>
      </c>
      <c r="N86" s="16">
        <f>SUBTOTAL(9,N81:N85)+1</f>
        <v>507.42999999999995</v>
      </c>
      <c r="O86" s="15">
        <f>SUBTOTAL(9,O78:O85)</f>
        <v>5627</v>
      </c>
      <c r="P86" s="62"/>
      <c r="Q86" s="66"/>
      <c r="R86" s="66"/>
      <c r="S86" s="66"/>
      <c r="T86" s="66"/>
      <c r="U86" s="66"/>
      <c r="V86" s="66"/>
      <c r="W86" s="69">
        <f>O86/H86</f>
        <v>20.030613697849919</v>
      </c>
      <c r="X86" s="66"/>
      <c r="Y86" s="66"/>
    </row>
    <row r="87" spans="1:25" ht="15.75" thickBot="1" x14ac:dyDescent="0.3">
      <c r="A87">
        <v>36</v>
      </c>
      <c r="L87" s="12"/>
      <c r="M87" s="12"/>
      <c r="W87" s="70"/>
    </row>
    <row r="88" spans="1:25" s="5" customFormat="1" ht="30.75" customHeight="1" x14ac:dyDescent="0.25">
      <c r="A88">
        <v>40</v>
      </c>
      <c r="B88" s="3" t="s">
        <v>1</v>
      </c>
      <c r="C88" s="3" t="s">
        <v>2</v>
      </c>
      <c r="D88" s="3" t="s">
        <v>3</v>
      </c>
      <c r="E88" s="3" t="s">
        <v>4</v>
      </c>
      <c r="F88" s="3" t="s">
        <v>5</v>
      </c>
      <c r="G88" s="4" t="s">
        <v>6</v>
      </c>
      <c r="H88" s="22" t="s">
        <v>7</v>
      </c>
      <c r="I88" s="24" t="s">
        <v>57</v>
      </c>
      <c r="J88" s="25" t="s">
        <v>60</v>
      </c>
      <c r="K88" s="25" t="s">
        <v>58</v>
      </c>
      <c r="L88" s="39" t="s">
        <v>61</v>
      </c>
      <c r="M88" s="39" t="s">
        <v>49</v>
      </c>
      <c r="N88" s="26" t="s">
        <v>59</v>
      </c>
      <c r="O88" s="37" t="s">
        <v>20</v>
      </c>
      <c r="P88" s="63"/>
      <c r="Q88" s="63"/>
      <c r="R88" s="63"/>
      <c r="S88" s="63"/>
      <c r="T88" s="63"/>
      <c r="U88" s="63"/>
      <c r="V88" s="63"/>
      <c r="W88" s="67" t="s">
        <v>46</v>
      </c>
      <c r="X88" s="63"/>
      <c r="Y88" s="63"/>
    </row>
    <row r="89" spans="1:25" x14ac:dyDescent="0.25">
      <c r="A89">
        <v>41</v>
      </c>
      <c r="B89" s="142" t="s">
        <v>24</v>
      </c>
      <c r="C89" s="9">
        <v>25</v>
      </c>
      <c r="D89" s="6" t="s">
        <v>38</v>
      </c>
      <c r="E89" s="6">
        <v>2</v>
      </c>
      <c r="F89" s="6">
        <v>4</v>
      </c>
      <c r="G89" s="7"/>
      <c r="H89" s="23">
        <v>38.200000000000003</v>
      </c>
      <c r="I89" s="27">
        <f>O89*7%</f>
        <v>10.57</v>
      </c>
      <c r="J89" s="13">
        <f>O89*8%</f>
        <v>12.08</v>
      </c>
      <c r="K89" s="13">
        <f>O89*9%</f>
        <v>13.59</v>
      </c>
      <c r="L89" s="14">
        <f>O89*12%</f>
        <v>18.12</v>
      </c>
      <c r="M89" s="14">
        <f>O89*11%</f>
        <v>16.61</v>
      </c>
      <c r="N89" s="28">
        <f>O89*9%</f>
        <v>13.59</v>
      </c>
      <c r="O89" s="38">
        <v>151</v>
      </c>
      <c r="W89" s="68">
        <f t="shared" ref="W89:W90" si="47">O89/H89</f>
        <v>3.9528795811518322</v>
      </c>
    </row>
    <row r="90" spans="1:25" ht="15.75" thickBot="1" x14ac:dyDescent="0.3">
      <c r="A90">
        <v>42</v>
      </c>
      <c r="B90" s="144"/>
      <c r="C90" s="9" t="s">
        <v>25</v>
      </c>
      <c r="D90" s="6" t="s">
        <v>38</v>
      </c>
      <c r="E90" s="6">
        <v>2</v>
      </c>
      <c r="F90" s="6">
        <v>6</v>
      </c>
      <c r="G90" s="7"/>
      <c r="H90" s="23">
        <v>22.7</v>
      </c>
      <c r="I90" s="29">
        <f>O90*7%</f>
        <v>9.31</v>
      </c>
      <c r="J90" s="30">
        <f>O90*8%+1</f>
        <v>11.64</v>
      </c>
      <c r="K90" s="30">
        <f>O90*9%+1</f>
        <v>12.969999999999999</v>
      </c>
      <c r="L90" s="40">
        <f>O90*12%</f>
        <v>15.959999999999999</v>
      </c>
      <c r="M90" s="40">
        <f>O90*11%</f>
        <v>14.63</v>
      </c>
      <c r="N90" s="31">
        <f>O90*9%+1</f>
        <v>12.969999999999999</v>
      </c>
      <c r="O90" s="38">
        <v>133</v>
      </c>
      <c r="W90" s="68">
        <f t="shared" si="47"/>
        <v>5.8590308370044051</v>
      </c>
    </row>
    <row r="91" spans="1:25" ht="15.75" hidden="1" thickBot="1" x14ac:dyDescent="0.3">
      <c r="A91">
        <v>43</v>
      </c>
      <c r="B91" s="144"/>
      <c r="C91" s="10" t="s">
        <v>26</v>
      </c>
      <c r="D91" s="137" t="s">
        <v>27</v>
      </c>
      <c r="E91" s="138"/>
      <c r="F91" s="138"/>
      <c r="G91" s="138"/>
      <c r="H91" s="138"/>
      <c r="I91" s="135"/>
      <c r="J91" s="135"/>
      <c r="K91" s="135"/>
      <c r="L91" s="135"/>
      <c r="M91" s="135"/>
      <c r="N91" s="135"/>
      <c r="O91" s="139"/>
      <c r="W91" s="68"/>
    </row>
    <row r="92" spans="1:25" x14ac:dyDescent="0.25">
      <c r="A92">
        <v>44</v>
      </c>
      <c r="B92" s="144"/>
      <c r="C92" s="9">
        <v>27</v>
      </c>
      <c r="D92" s="6" t="s">
        <v>38</v>
      </c>
      <c r="E92" s="6">
        <v>2</v>
      </c>
      <c r="F92" s="6">
        <v>6</v>
      </c>
      <c r="G92" s="7"/>
      <c r="H92" s="60">
        <v>14.3</v>
      </c>
      <c r="I92" s="32">
        <f>O92*7%</f>
        <v>5.95</v>
      </c>
      <c r="J92" s="33">
        <f>O92*8%</f>
        <v>6.8</v>
      </c>
      <c r="K92" s="33">
        <f>O92*9%</f>
        <v>7.6499999999999995</v>
      </c>
      <c r="L92" s="41">
        <f>O92*12%</f>
        <v>10.199999999999999</v>
      </c>
      <c r="M92" s="41">
        <f>O92*11%</f>
        <v>9.35</v>
      </c>
      <c r="N92" s="34">
        <f>O92*9%</f>
        <v>7.6499999999999995</v>
      </c>
      <c r="O92" s="38">
        <v>85</v>
      </c>
      <c r="W92" s="68">
        <f t="shared" ref="W92:W96" si="48">O92/H92</f>
        <v>5.9440559440559442</v>
      </c>
    </row>
    <row r="93" spans="1:25" x14ac:dyDescent="0.25">
      <c r="A93">
        <v>45</v>
      </c>
      <c r="B93" s="144"/>
      <c r="C93" s="9">
        <v>28</v>
      </c>
      <c r="D93" s="6" t="s">
        <v>39</v>
      </c>
      <c r="E93" s="6">
        <v>3</v>
      </c>
      <c r="F93" s="6">
        <v>12</v>
      </c>
      <c r="G93" s="7"/>
      <c r="H93" s="60">
        <v>21.9</v>
      </c>
      <c r="I93" s="27">
        <f>O93*7%</f>
        <v>18.340000000000003</v>
      </c>
      <c r="J93" s="13">
        <f>O93*8%</f>
        <v>20.96</v>
      </c>
      <c r="K93" s="13">
        <f>O93*9%</f>
        <v>23.58</v>
      </c>
      <c r="L93" s="14">
        <f>O93*12%</f>
        <v>31.439999999999998</v>
      </c>
      <c r="M93" s="14">
        <f>O93*11%</f>
        <v>28.82</v>
      </c>
      <c r="N93" s="28">
        <f>O93*9%</f>
        <v>23.58</v>
      </c>
      <c r="O93" s="38">
        <v>262</v>
      </c>
      <c r="W93" s="68">
        <f t="shared" si="48"/>
        <v>11.963470319634704</v>
      </c>
    </row>
    <row r="94" spans="1:25" x14ac:dyDescent="0.25">
      <c r="A94">
        <v>46</v>
      </c>
      <c r="B94" s="144"/>
      <c r="C94" s="9">
        <v>29</v>
      </c>
      <c r="D94" s="6" t="s">
        <v>40</v>
      </c>
      <c r="E94" s="6" t="s">
        <v>28</v>
      </c>
      <c r="F94" s="6">
        <v>4</v>
      </c>
      <c r="G94" s="7"/>
      <c r="H94" s="60">
        <v>19.2</v>
      </c>
      <c r="I94" s="27">
        <f>O94*7%</f>
        <v>5.32</v>
      </c>
      <c r="J94" s="13">
        <f>O94*8%</f>
        <v>6.08</v>
      </c>
      <c r="K94" s="13">
        <f>O94*9%</f>
        <v>6.84</v>
      </c>
      <c r="L94" s="14">
        <f>O94*12%</f>
        <v>9.1199999999999992</v>
      </c>
      <c r="M94" s="14">
        <f>O94*11%</f>
        <v>8.36</v>
      </c>
      <c r="N94" s="28">
        <f>O94*9%</f>
        <v>6.84</v>
      </c>
      <c r="O94" s="38">
        <v>76</v>
      </c>
      <c r="W94" s="68">
        <f t="shared" si="48"/>
        <v>3.9583333333333335</v>
      </c>
    </row>
    <row r="95" spans="1:25" x14ac:dyDescent="0.25">
      <c r="A95">
        <v>47</v>
      </c>
      <c r="B95" s="144"/>
      <c r="C95" s="9">
        <v>30</v>
      </c>
      <c r="D95" s="6" t="s">
        <v>40</v>
      </c>
      <c r="E95" s="6" t="s">
        <v>28</v>
      </c>
      <c r="F95" s="6">
        <v>4</v>
      </c>
      <c r="G95" s="7"/>
      <c r="H95" s="60">
        <v>24.3</v>
      </c>
      <c r="I95" s="27">
        <f>O95*7%</f>
        <v>6.65</v>
      </c>
      <c r="J95" s="13">
        <f>O95*8%</f>
        <v>7.6000000000000005</v>
      </c>
      <c r="K95" s="13">
        <f>O95*9%</f>
        <v>8.5499999999999989</v>
      </c>
      <c r="L95" s="14">
        <f>O95*12%+1</f>
        <v>12.4</v>
      </c>
      <c r="M95" s="14">
        <f>O95*11%+1</f>
        <v>11.45</v>
      </c>
      <c r="N95" s="28">
        <f>O95*9%</f>
        <v>8.5499999999999989</v>
      </c>
      <c r="O95" s="38">
        <v>95</v>
      </c>
      <c r="W95" s="68">
        <f t="shared" si="48"/>
        <v>3.9094650205761314</v>
      </c>
    </row>
    <row r="96" spans="1:25" ht="15.75" thickBot="1" x14ac:dyDescent="0.3">
      <c r="A96">
        <v>48</v>
      </c>
      <c r="B96" s="144"/>
      <c r="C96" s="9">
        <v>31</v>
      </c>
      <c r="D96" s="6" t="s">
        <v>40</v>
      </c>
      <c r="E96" s="6" t="s">
        <v>28</v>
      </c>
      <c r="F96" s="6">
        <v>4</v>
      </c>
      <c r="G96" s="7"/>
      <c r="H96" s="60">
        <v>34</v>
      </c>
      <c r="I96" s="29">
        <f>O96*7%</f>
        <v>9.4500000000000011</v>
      </c>
      <c r="J96" s="30">
        <f>O96*8%</f>
        <v>10.8</v>
      </c>
      <c r="K96" s="30">
        <f>O96*9%</f>
        <v>12.15</v>
      </c>
      <c r="L96" s="40">
        <f>O96*12%</f>
        <v>16.2</v>
      </c>
      <c r="M96" s="40">
        <f>O96*11%</f>
        <v>14.85</v>
      </c>
      <c r="N96" s="31">
        <f>O96*9%</f>
        <v>12.15</v>
      </c>
      <c r="O96" s="46">
        <v>135</v>
      </c>
      <c r="W96" s="71">
        <f t="shared" si="48"/>
        <v>3.9705882352941178</v>
      </c>
    </row>
    <row r="97" spans="1:25" hidden="1" x14ac:dyDescent="0.25">
      <c r="A97">
        <v>49</v>
      </c>
      <c r="B97" s="143"/>
      <c r="C97" s="10">
        <v>32</v>
      </c>
      <c r="D97" s="140" t="s">
        <v>29</v>
      </c>
      <c r="E97" s="140"/>
      <c r="F97" s="140"/>
      <c r="G97" s="140"/>
      <c r="H97" s="140"/>
      <c r="I97" s="141"/>
      <c r="J97" s="141"/>
      <c r="K97" s="141"/>
      <c r="L97" s="141"/>
      <c r="M97" s="141"/>
      <c r="N97" s="141"/>
      <c r="O97" s="140"/>
      <c r="P97" s="140"/>
      <c r="Q97" s="140"/>
      <c r="R97" s="140"/>
      <c r="S97" s="140"/>
      <c r="T97" s="140"/>
      <c r="U97" s="140"/>
      <c r="V97" s="140"/>
      <c r="W97" s="140"/>
    </row>
    <row r="98" spans="1:25" s="1" customFormat="1" x14ac:dyDescent="0.25">
      <c r="A98">
        <v>50</v>
      </c>
      <c r="G98" s="11" t="s">
        <v>42</v>
      </c>
      <c r="H98" s="8">
        <f>SUBTOTAL(9,H89:H97)</f>
        <v>174.6</v>
      </c>
      <c r="I98" s="15">
        <f>SUBTOTAL(9,I89:I97)+1</f>
        <v>66.59</v>
      </c>
      <c r="J98" s="15">
        <f t="shared" ref="J98:K98" si="49">SUBTOTAL(9,J89:J97)</f>
        <v>75.959999999999994</v>
      </c>
      <c r="K98" s="15">
        <f t="shared" si="49"/>
        <v>85.33</v>
      </c>
      <c r="L98" s="16">
        <f>SUBTOTAL(9,L89:L97)+1</f>
        <v>114.44000000000001</v>
      </c>
      <c r="M98" s="16">
        <f t="shared" ref="M98:N98" si="50">SUBTOTAL(9,M89:M97)</f>
        <v>104.07</v>
      </c>
      <c r="N98" s="16">
        <f t="shared" si="50"/>
        <v>85.33</v>
      </c>
      <c r="O98" s="15">
        <f>SUBTOTAL(9,O89:O97)+1</f>
        <v>938</v>
      </c>
      <c r="P98" s="66"/>
      <c r="Q98" s="66"/>
      <c r="R98" s="66"/>
      <c r="S98" s="66"/>
      <c r="T98" s="66"/>
      <c r="U98" s="66"/>
      <c r="V98" s="66"/>
      <c r="W98" s="69">
        <f>O98/H98</f>
        <v>5.3722794959908367</v>
      </c>
      <c r="X98" s="66"/>
      <c r="Y98" s="66"/>
    </row>
    <row r="99" spans="1:25" x14ac:dyDescent="0.25">
      <c r="A99">
        <v>51</v>
      </c>
      <c r="L99" s="12"/>
      <c r="M99" s="12"/>
      <c r="W99" s="70"/>
    </row>
    <row r="100" spans="1:25" ht="15.75" thickBot="1" x14ac:dyDescent="0.3">
      <c r="A100">
        <v>52</v>
      </c>
      <c r="L100" s="12"/>
      <c r="M100" s="12"/>
      <c r="W100" s="70"/>
    </row>
    <row r="101" spans="1:25" s="5" customFormat="1" ht="30.75" customHeight="1" x14ac:dyDescent="0.25">
      <c r="A101">
        <v>53</v>
      </c>
      <c r="B101" s="3" t="s">
        <v>1</v>
      </c>
      <c r="C101" s="3" t="s">
        <v>2</v>
      </c>
      <c r="D101" s="3" t="s">
        <v>3</v>
      </c>
      <c r="E101" s="3" t="s">
        <v>4</v>
      </c>
      <c r="F101" s="3" t="s">
        <v>5</v>
      </c>
      <c r="G101" s="4" t="s">
        <v>6</v>
      </c>
      <c r="H101" s="22" t="s">
        <v>7</v>
      </c>
      <c r="I101" s="24" t="s">
        <v>57</v>
      </c>
      <c r="J101" s="25" t="s">
        <v>60</v>
      </c>
      <c r="K101" s="25" t="s">
        <v>58</v>
      </c>
      <c r="L101" s="39" t="s">
        <v>61</v>
      </c>
      <c r="M101" s="39" t="s">
        <v>49</v>
      </c>
      <c r="N101" s="26" t="s">
        <v>59</v>
      </c>
      <c r="O101" s="37" t="s">
        <v>20</v>
      </c>
      <c r="P101" s="63"/>
      <c r="Q101" s="63"/>
      <c r="R101" s="63"/>
      <c r="S101" s="63"/>
      <c r="T101" s="63"/>
      <c r="U101" s="63"/>
      <c r="V101" s="63"/>
      <c r="W101" s="67" t="s">
        <v>46</v>
      </c>
      <c r="X101" s="63"/>
      <c r="Y101" s="63"/>
    </row>
    <row r="102" spans="1:25" x14ac:dyDescent="0.25">
      <c r="A102">
        <v>54</v>
      </c>
      <c r="B102" s="142" t="s">
        <v>30</v>
      </c>
      <c r="C102" s="6">
        <v>33</v>
      </c>
      <c r="D102" s="6" t="s">
        <v>39</v>
      </c>
      <c r="E102" s="6">
        <v>3</v>
      </c>
      <c r="F102" s="6">
        <v>15</v>
      </c>
      <c r="G102" s="7">
        <v>1.25</v>
      </c>
      <c r="H102" s="23">
        <v>28.4</v>
      </c>
      <c r="I102" s="27">
        <f>O102*7%</f>
        <v>29.890000000000004</v>
      </c>
      <c r="J102" s="13">
        <f>O102*8%</f>
        <v>34.160000000000004</v>
      </c>
      <c r="K102" s="13">
        <f>O102*9%</f>
        <v>38.43</v>
      </c>
      <c r="L102" s="14">
        <f>O102*12%</f>
        <v>51.239999999999995</v>
      </c>
      <c r="M102" s="14">
        <f>O102*11%</f>
        <v>46.97</v>
      </c>
      <c r="N102" s="28">
        <f>O102*9%</f>
        <v>38.43</v>
      </c>
      <c r="O102" s="38">
        <v>427</v>
      </c>
      <c r="W102" s="68">
        <f t="shared" ref="W102:W103" si="51">O102/H102</f>
        <v>15.035211267605634</v>
      </c>
    </row>
    <row r="103" spans="1:25" ht="15.75" thickBot="1" x14ac:dyDescent="0.3">
      <c r="A103">
        <v>55</v>
      </c>
      <c r="B103" s="143"/>
      <c r="C103" s="6">
        <v>39</v>
      </c>
      <c r="D103" s="6" t="s">
        <v>41</v>
      </c>
      <c r="E103" s="6">
        <v>8</v>
      </c>
      <c r="F103" s="6">
        <v>6</v>
      </c>
      <c r="G103" s="7">
        <v>0.5</v>
      </c>
      <c r="H103" s="23">
        <v>4.5</v>
      </c>
      <c r="I103" s="29">
        <f>O103*7%</f>
        <v>1.8900000000000001</v>
      </c>
      <c r="J103" s="30">
        <f>O103*8%</f>
        <v>2.16</v>
      </c>
      <c r="K103" s="30">
        <f>O103*9%</f>
        <v>2.4299999999999997</v>
      </c>
      <c r="L103" s="40">
        <f>O103*12%</f>
        <v>3.2399999999999998</v>
      </c>
      <c r="M103" s="40">
        <f>O103*11%</f>
        <v>2.97</v>
      </c>
      <c r="N103" s="31">
        <f>O103*9%</f>
        <v>2.4299999999999997</v>
      </c>
      <c r="O103" s="42">
        <v>27</v>
      </c>
      <c r="W103" s="68">
        <f t="shared" si="51"/>
        <v>6</v>
      </c>
    </row>
    <row r="104" spans="1:25" s="1" customFormat="1" x14ac:dyDescent="0.25">
      <c r="G104" s="11" t="s">
        <v>42</v>
      </c>
      <c r="H104" s="8">
        <f>SUBTOTAL(9,H98:H103)</f>
        <v>32.9</v>
      </c>
      <c r="I104" s="15">
        <f t="shared" ref="I104:O104" si="52">SUBTOTAL(9,I102:I103)</f>
        <v>31.780000000000005</v>
      </c>
      <c r="J104" s="15">
        <f t="shared" si="52"/>
        <v>36.320000000000007</v>
      </c>
      <c r="K104" s="15">
        <f t="shared" si="52"/>
        <v>40.86</v>
      </c>
      <c r="L104" s="16">
        <f t="shared" si="52"/>
        <v>54.48</v>
      </c>
      <c r="M104" s="16">
        <f t="shared" si="52"/>
        <v>49.94</v>
      </c>
      <c r="N104" s="16">
        <f t="shared" si="52"/>
        <v>40.86</v>
      </c>
      <c r="O104" s="15">
        <f t="shared" si="52"/>
        <v>454</v>
      </c>
      <c r="P104" s="66"/>
      <c r="Q104" s="66"/>
      <c r="R104" s="66"/>
      <c r="S104" s="66"/>
      <c r="T104" s="66"/>
      <c r="U104" s="66"/>
      <c r="V104" s="66"/>
      <c r="W104" s="69">
        <f>O104/H104</f>
        <v>13.799392097264437</v>
      </c>
      <c r="X104" s="66"/>
      <c r="Y104" s="66"/>
    </row>
    <row r="105" spans="1:25" s="1" customFormat="1" x14ac:dyDescent="0.25">
      <c r="G105" s="11"/>
      <c r="H105" s="8"/>
      <c r="I105" s="15"/>
      <c r="J105" s="15"/>
      <c r="K105" s="15"/>
      <c r="L105" s="15"/>
      <c r="M105" s="15"/>
      <c r="N105" s="16"/>
      <c r="O105" s="15"/>
      <c r="P105" s="65"/>
      <c r="Q105" s="65"/>
      <c r="R105" s="65"/>
      <c r="S105" s="65"/>
      <c r="T105" s="65"/>
      <c r="U105" s="65"/>
      <c r="V105" s="66"/>
      <c r="W105" s="66"/>
      <c r="X105" s="66"/>
      <c r="Y105" s="66"/>
    </row>
    <row r="106" spans="1:25" s="1" customFormat="1" ht="15.75" thickBot="1" x14ac:dyDescent="0.3">
      <c r="B106" s="1" t="s">
        <v>43</v>
      </c>
      <c r="G106" s="11"/>
      <c r="H106" s="8"/>
      <c r="I106" s="15"/>
      <c r="J106" s="15"/>
      <c r="K106" s="15"/>
      <c r="L106" s="15"/>
      <c r="M106" s="15"/>
      <c r="N106" s="16"/>
      <c r="O106" s="15"/>
      <c r="P106" s="65"/>
      <c r="Q106" s="65"/>
      <c r="R106" s="65"/>
      <c r="S106" s="65"/>
      <c r="T106" s="65"/>
      <c r="U106" s="65"/>
      <c r="V106" s="66"/>
      <c r="W106" s="66"/>
      <c r="X106" s="66"/>
      <c r="Y106" s="66"/>
    </row>
    <row r="107" spans="1:25" s="1" customFormat="1" ht="30" x14ac:dyDescent="0.25">
      <c r="B107" s="48" t="s">
        <v>7</v>
      </c>
      <c r="C107" s="24" t="s">
        <v>53</v>
      </c>
      <c r="D107" s="25" t="s">
        <v>54</v>
      </c>
      <c r="E107" s="25" t="s">
        <v>10</v>
      </c>
      <c r="F107" s="25" t="s">
        <v>55</v>
      </c>
      <c r="G107" s="25" t="s">
        <v>56</v>
      </c>
      <c r="H107" s="26" t="s">
        <v>13</v>
      </c>
      <c r="I107" s="24" t="s">
        <v>57</v>
      </c>
      <c r="J107" s="25" t="s">
        <v>60</v>
      </c>
      <c r="K107" s="25" t="s">
        <v>58</v>
      </c>
      <c r="L107" s="39" t="s">
        <v>61</v>
      </c>
      <c r="M107" s="39" t="s">
        <v>49</v>
      </c>
      <c r="N107" s="26" t="s">
        <v>59</v>
      </c>
      <c r="O107" s="50" t="s">
        <v>20</v>
      </c>
      <c r="P107" s="65"/>
      <c r="Q107" s="65"/>
      <c r="R107" s="65"/>
      <c r="S107" s="65"/>
      <c r="T107" s="65"/>
      <c r="U107" s="65"/>
      <c r="V107" s="66"/>
      <c r="W107" s="67" t="s">
        <v>46</v>
      </c>
      <c r="X107" s="66"/>
      <c r="Y107" s="66"/>
    </row>
    <row r="108" spans="1:25" s="17" customFormat="1" ht="15.75" customHeight="1" thickBot="1" x14ac:dyDescent="0.3">
      <c r="B108" s="49">
        <f>H17+H27+H35+H47+H52</f>
        <v>1413.5900000000001</v>
      </c>
      <c r="C108" s="55">
        <f>I17+I27+I35+I47+I52</f>
        <v>1482.58</v>
      </c>
      <c r="D108" s="56">
        <f>J17+J27+J35+J47+J52-1</f>
        <v>1727.01</v>
      </c>
      <c r="E108" s="56">
        <f>K17+K27+K35+K47+K52</f>
        <v>1727.01</v>
      </c>
      <c r="F108" s="56">
        <f>L17+L27+L35+L47+L52</f>
        <v>2221.87</v>
      </c>
      <c r="G108" s="56">
        <f>M17+M27+M35+M47+M52</f>
        <v>1974.4399999999998</v>
      </c>
      <c r="H108" s="56">
        <f>N17+N27+N35+N47+N52</f>
        <v>1727.01</v>
      </c>
      <c r="I108" s="57">
        <f>I68+I78+I86+I98+I104</f>
        <v>1736.01</v>
      </c>
      <c r="J108" s="56">
        <f t="shared" ref="J108:M108" si="53">J68+J78+J86+J98+J104</f>
        <v>1983.4399999999998</v>
      </c>
      <c r="K108" s="56">
        <f t="shared" si="53"/>
        <v>2230.87</v>
      </c>
      <c r="L108" s="56">
        <f t="shared" si="53"/>
        <v>2973.16</v>
      </c>
      <c r="M108" s="56">
        <f t="shared" si="53"/>
        <v>2723.73</v>
      </c>
      <c r="N108" s="58">
        <f>N68+N78+N86+N98+N104+1</f>
        <v>2231.87</v>
      </c>
      <c r="O108" s="51">
        <f>U17+U27+U35+U47+U52+1</f>
        <v>24744</v>
      </c>
      <c r="P108" s="72"/>
      <c r="Q108" s="72"/>
      <c r="R108" s="72"/>
      <c r="S108" s="72"/>
      <c r="T108" s="72"/>
      <c r="U108" s="72"/>
      <c r="V108" s="72"/>
      <c r="W108" s="73">
        <f>O108/B108</f>
        <v>17.504368310471918</v>
      </c>
      <c r="X108" s="72"/>
      <c r="Y108" s="72"/>
    </row>
  </sheetData>
  <mergeCells count="14">
    <mergeCell ref="B102:B103"/>
    <mergeCell ref="B50:B51"/>
    <mergeCell ref="B56:B67"/>
    <mergeCell ref="B71:B77"/>
    <mergeCell ref="B81:B85"/>
    <mergeCell ref="B89:B97"/>
    <mergeCell ref="D91:O91"/>
    <mergeCell ref="D97:W97"/>
    <mergeCell ref="B5:B16"/>
    <mergeCell ref="B20:B26"/>
    <mergeCell ref="B30:B34"/>
    <mergeCell ref="B38:B46"/>
    <mergeCell ref="D40:N40"/>
    <mergeCell ref="D46:N46"/>
  </mergeCell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landscape" r:id="rId1"/>
  <rowBreaks count="4" manualBreakCount="4">
    <brk id="27" max="16383" man="1"/>
    <brk id="53" max="22" man="1"/>
    <brk id="78" max="16383" man="1"/>
    <brk id="105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FE8F-A691-497C-AB3F-C6DD4A1A11E4}">
  <sheetPr>
    <pageSetUpPr fitToPage="1"/>
  </sheetPr>
  <dimension ref="A1:AM107"/>
  <sheetViews>
    <sheetView tabSelected="1" view="pageBreakPreview" topLeftCell="B1" zoomScale="115" zoomScaleNormal="130" zoomScaleSheetLayoutView="115" workbookViewId="0">
      <selection activeCell="AM13" sqref="AM13"/>
    </sheetView>
  </sheetViews>
  <sheetFormatPr defaultRowHeight="15" x14ac:dyDescent="0.25"/>
  <cols>
    <col min="1" max="1" width="0" hidden="1" customWidth="1"/>
    <col min="3" max="3" width="9.28515625" customWidth="1"/>
    <col min="4" max="5" width="9.28515625" hidden="1" customWidth="1"/>
    <col min="6" max="7" width="9.28515625" style="126" customWidth="1"/>
    <col min="8" max="8" width="9.28515625" customWidth="1"/>
    <col min="9" max="10" width="9.28515625" style="2" customWidth="1"/>
    <col min="11" max="15" width="9.28515625" customWidth="1"/>
    <col min="16" max="16" width="9.140625" style="12"/>
    <col min="17" max="23" width="9.140625" customWidth="1"/>
    <col min="24" max="29" width="9.140625" hidden="1" customWidth="1"/>
    <col min="30" max="37" width="9.140625" style="62" hidden="1" customWidth="1"/>
    <col min="38" max="39" width="9.140625" style="62"/>
  </cols>
  <sheetData>
    <row r="1" spans="1:39" x14ac:dyDescent="0.25">
      <c r="A1" s="12">
        <v>1</v>
      </c>
      <c r="B1" s="77" t="s">
        <v>62</v>
      </c>
      <c r="C1" s="12"/>
      <c r="D1" s="12"/>
      <c r="E1" s="12"/>
      <c r="F1" s="119"/>
      <c r="G1" s="119"/>
      <c r="H1" s="12"/>
      <c r="I1" s="78"/>
      <c r="J1" s="78"/>
      <c r="K1" s="12"/>
      <c r="L1" s="12"/>
      <c r="M1" s="12"/>
      <c r="N1" s="12"/>
      <c r="O1" s="12"/>
      <c r="Q1" s="12"/>
      <c r="R1" s="12"/>
      <c r="S1" s="12"/>
      <c r="T1" s="12"/>
      <c r="U1" s="12"/>
      <c r="V1" s="12"/>
      <c r="W1" s="12"/>
    </row>
    <row r="2" spans="1:39" x14ac:dyDescent="0.25">
      <c r="A2" s="12">
        <v>2</v>
      </c>
      <c r="B2" s="77" t="s">
        <v>63</v>
      </c>
      <c r="C2" s="12"/>
      <c r="D2" s="12"/>
      <c r="E2" s="12"/>
      <c r="F2" s="119"/>
      <c r="G2" s="119"/>
      <c r="H2" s="12"/>
      <c r="I2" s="78"/>
      <c r="J2" s="78"/>
      <c r="K2" s="12"/>
      <c r="L2" s="12"/>
      <c r="M2" s="12"/>
      <c r="N2" s="12"/>
      <c r="O2" s="12"/>
      <c r="Q2" s="12"/>
      <c r="R2" s="12"/>
      <c r="S2" s="12"/>
      <c r="T2" s="12"/>
      <c r="U2" s="12"/>
      <c r="V2" s="12"/>
      <c r="W2" s="12"/>
    </row>
    <row r="3" spans="1:39" ht="15.75" thickBot="1" x14ac:dyDescent="0.3">
      <c r="A3" s="12">
        <v>3</v>
      </c>
      <c r="B3" s="77"/>
      <c r="C3" s="77"/>
      <c r="D3" s="12"/>
      <c r="E3" s="12"/>
      <c r="F3" s="119"/>
      <c r="G3" s="119"/>
      <c r="H3" s="12"/>
      <c r="I3" s="78"/>
      <c r="J3" s="78"/>
      <c r="K3" s="12"/>
      <c r="L3" s="12"/>
      <c r="M3" s="12"/>
      <c r="N3" s="12"/>
      <c r="O3" s="12"/>
      <c r="Q3" s="12"/>
      <c r="R3" s="12"/>
      <c r="S3" s="12"/>
      <c r="T3" s="12"/>
      <c r="U3" s="12"/>
      <c r="V3" s="12"/>
      <c r="W3" s="12"/>
    </row>
    <row r="4" spans="1:39" s="5" customFormat="1" ht="30.75" customHeight="1" x14ac:dyDescent="0.25">
      <c r="A4" s="12">
        <v>4</v>
      </c>
      <c r="B4" s="79" t="s">
        <v>1</v>
      </c>
      <c r="C4" s="79" t="s">
        <v>2</v>
      </c>
      <c r="D4" s="79" t="s">
        <v>3</v>
      </c>
      <c r="E4" s="79" t="s">
        <v>4</v>
      </c>
      <c r="F4" s="127" t="s">
        <v>66</v>
      </c>
      <c r="G4" s="127" t="s">
        <v>65</v>
      </c>
      <c r="H4" s="79" t="s">
        <v>5</v>
      </c>
      <c r="I4" s="80" t="s">
        <v>6</v>
      </c>
      <c r="J4" s="81" t="s">
        <v>7</v>
      </c>
      <c r="K4" s="82" t="s">
        <v>53</v>
      </c>
      <c r="L4" s="39" t="s">
        <v>54</v>
      </c>
      <c r="M4" s="39" t="s">
        <v>10</v>
      </c>
      <c r="N4" s="39" t="s">
        <v>55</v>
      </c>
      <c r="O4" s="39" t="s">
        <v>56</v>
      </c>
      <c r="P4" s="26" t="s">
        <v>13</v>
      </c>
      <c r="Q4" s="82" t="s">
        <v>57</v>
      </c>
      <c r="R4" s="39" t="s">
        <v>60</v>
      </c>
      <c r="S4" s="39" t="s">
        <v>58</v>
      </c>
      <c r="T4" s="39" t="s">
        <v>61</v>
      </c>
      <c r="U4" s="39" t="s">
        <v>49</v>
      </c>
      <c r="V4" s="26" t="s">
        <v>59</v>
      </c>
      <c r="W4" s="83" t="s">
        <v>20</v>
      </c>
      <c r="X4" s="18"/>
      <c r="Y4" s="18"/>
      <c r="Z4" s="18"/>
      <c r="AA4" s="18"/>
      <c r="AB4" s="18"/>
      <c r="AC4" s="18"/>
      <c r="AD4" s="63" t="s">
        <v>15</v>
      </c>
      <c r="AE4" s="63" t="s">
        <v>16</v>
      </c>
      <c r="AF4" s="63" t="s">
        <v>17</v>
      </c>
      <c r="AG4" s="63" t="s">
        <v>18</v>
      </c>
      <c r="AH4" s="63" t="s">
        <v>19</v>
      </c>
      <c r="AI4" s="63" t="s">
        <v>20</v>
      </c>
      <c r="AJ4" s="63"/>
      <c r="AK4" s="63"/>
      <c r="AL4" s="63"/>
      <c r="AM4" s="63"/>
    </row>
    <row r="5" spans="1:39" x14ac:dyDescent="0.25">
      <c r="A5" s="12">
        <v>5</v>
      </c>
      <c r="B5" s="145" t="s">
        <v>21</v>
      </c>
      <c r="C5" s="84">
        <v>1</v>
      </c>
      <c r="D5" s="84" t="s">
        <v>31</v>
      </c>
      <c r="E5" s="84">
        <v>11</v>
      </c>
      <c r="F5" s="92" t="str">
        <f t="shared" ref="F5:F13" si="0">168/12&amp;"-"&amp;180/12&amp;"yr  "</f>
        <v xml:space="preserve">14-15yr  </v>
      </c>
      <c r="G5" s="92" t="str">
        <f t="shared" ref="G5:G13" si="1">(168/12)-3&amp;"-"&amp;(180/12)-3&amp;"yr  "</f>
        <v xml:space="preserve">11-12yr  </v>
      </c>
      <c r="H5" s="84">
        <v>20</v>
      </c>
      <c r="I5" s="85">
        <v>1.67</v>
      </c>
      <c r="J5" s="86">
        <v>53.09</v>
      </c>
      <c r="K5" s="87">
        <f>W5*6%+1</f>
        <v>61.54</v>
      </c>
      <c r="L5" s="14">
        <f>W5*7%+1</f>
        <v>71.63000000000001</v>
      </c>
      <c r="M5" s="14">
        <f>W5*7%-1</f>
        <v>69.63000000000001</v>
      </c>
      <c r="N5" s="14">
        <f>W5*9%-1</f>
        <v>89.81</v>
      </c>
      <c r="O5" s="14">
        <f>W5*8%-1</f>
        <v>79.72</v>
      </c>
      <c r="P5" s="28">
        <f>W5*7%-1</f>
        <v>69.63000000000001</v>
      </c>
      <c r="Q5" s="87">
        <f t="shared" ref="Q5:Q11" si="2">W5*7%</f>
        <v>70.63000000000001</v>
      </c>
      <c r="R5" s="14">
        <f t="shared" ref="R5:R11" si="3">W5*8%</f>
        <v>80.72</v>
      </c>
      <c r="S5" s="14">
        <f t="shared" ref="S5:S11" si="4">W5*9%</f>
        <v>90.81</v>
      </c>
      <c r="T5" s="14">
        <f>W5*12%+1</f>
        <v>122.08</v>
      </c>
      <c r="U5" s="14">
        <f>W5*11%</f>
        <v>110.99</v>
      </c>
      <c r="V5" s="28">
        <f t="shared" ref="V5:V11" si="5">W5*9%</f>
        <v>90.81</v>
      </c>
      <c r="W5" s="88">
        <v>1009</v>
      </c>
      <c r="X5" s="19"/>
      <c r="Y5" s="19"/>
      <c r="Z5" s="19"/>
      <c r="AA5" s="19"/>
      <c r="AB5" s="19"/>
      <c r="AC5" s="19"/>
      <c r="AD5" s="64">
        <f>AI5*10%</f>
        <v>100.9</v>
      </c>
      <c r="AE5" s="64">
        <f>AI5*10%</f>
        <v>100.9</v>
      </c>
      <c r="AF5" s="64">
        <f>AI5*14%+1</f>
        <v>142.26000000000002</v>
      </c>
      <c r="AG5" s="64">
        <f>AI5*11%</f>
        <v>110.99</v>
      </c>
      <c r="AH5" s="64">
        <f>AI5*10%</f>
        <v>100.9</v>
      </c>
      <c r="AI5" s="64">
        <v>1009</v>
      </c>
    </row>
    <row r="6" spans="1:39" x14ac:dyDescent="0.25">
      <c r="A6" s="12">
        <v>6</v>
      </c>
      <c r="B6" s="146"/>
      <c r="C6" s="84">
        <v>2</v>
      </c>
      <c r="D6" s="84" t="s">
        <v>31</v>
      </c>
      <c r="E6" s="84">
        <v>11</v>
      </c>
      <c r="F6" s="92" t="str">
        <f t="shared" si="0"/>
        <v xml:space="preserve">14-15yr  </v>
      </c>
      <c r="G6" s="92" t="str">
        <f t="shared" si="1"/>
        <v xml:space="preserve">11-12yr  </v>
      </c>
      <c r="H6" s="84">
        <v>20</v>
      </c>
      <c r="I6" s="85">
        <v>1.67</v>
      </c>
      <c r="J6" s="86">
        <v>60.27</v>
      </c>
      <c r="K6" s="87">
        <f>W6*6%-1</f>
        <v>68.06</v>
      </c>
      <c r="L6" s="14">
        <f>W6*7%</f>
        <v>80.570000000000007</v>
      </c>
      <c r="M6" s="14">
        <f t="shared" ref="M6:M11" si="6">W6*7%</f>
        <v>80.570000000000007</v>
      </c>
      <c r="N6" s="14">
        <f t="shared" ref="N6:N11" si="7">W6*9%</f>
        <v>103.58999999999999</v>
      </c>
      <c r="O6" s="14">
        <f t="shared" ref="O6:O11" si="8">W6*8%</f>
        <v>92.08</v>
      </c>
      <c r="P6" s="28">
        <f t="shared" ref="P6:P11" si="9">W6*7%</f>
        <v>80.570000000000007</v>
      </c>
      <c r="Q6" s="87">
        <f t="shared" si="2"/>
        <v>80.570000000000007</v>
      </c>
      <c r="R6" s="14">
        <f t="shared" si="3"/>
        <v>92.08</v>
      </c>
      <c r="S6" s="14">
        <f t="shared" si="4"/>
        <v>103.58999999999999</v>
      </c>
      <c r="T6" s="14">
        <f t="shared" ref="T6:T11" si="10">W6*12%</f>
        <v>138.12</v>
      </c>
      <c r="U6" s="14">
        <f>W6*11%-1</f>
        <v>125.61</v>
      </c>
      <c r="V6" s="28">
        <f t="shared" si="5"/>
        <v>103.58999999999999</v>
      </c>
      <c r="W6" s="88">
        <v>1151</v>
      </c>
      <c r="X6" s="19"/>
      <c r="Y6" s="19"/>
      <c r="Z6" s="19"/>
      <c r="AA6" s="19"/>
      <c r="AB6" s="19"/>
      <c r="AC6" s="19"/>
      <c r="AD6" s="64">
        <f t="shared" ref="AD6:AD16" si="11">AI6*10%</f>
        <v>115.10000000000001</v>
      </c>
      <c r="AE6" s="64">
        <f t="shared" ref="AE6:AE16" si="12">AI6*10%</f>
        <v>115.10000000000001</v>
      </c>
      <c r="AF6" s="64">
        <f t="shared" ref="AF6:AF15" si="13">AI6*14%</f>
        <v>161.14000000000001</v>
      </c>
      <c r="AG6" s="64">
        <f>AI6*11%-1</f>
        <v>125.61</v>
      </c>
      <c r="AH6" s="64">
        <f t="shared" ref="AH6:AH16" si="14">AI6*10%</f>
        <v>115.10000000000001</v>
      </c>
      <c r="AI6" s="64">
        <v>1151</v>
      </c>
    </row>
    <row r="7" spans="1:39" x14ac:dyDescent="0.25">
      <c r="A7" s="12">
        <v>7</v>
      </c>
      <c r="B7" s="146"/>
      <c r="C7" s="84">
        <v>3</v>
      </c>
      <c r="D7" s="84" t="s">
        <v>31</v>
      </c>
      <c r="E7" s="84">
        <v>11</v>
      </c>
      <c r="F7" s="92" t="str">
        <f t="shared" si="0"/>
        <v xml:space="preserve">14-15yr  </v>
      </c>
      <c r="G7" s="92" t="str">
        <f t="shared" si="1"/>
        <v xml:space="preserve">11-12yr  </v>
      </c>
      <c r="H7" s="84">
        <v>20</v>
      </c>
      <c r="I7" s="85">
        <v>1.67</v>
      </c>
      <c r="J7" s="86">
        <v>69.040000000000006</v>
      </c>
      <c r="K7" s="87">
        <f>W7*6%</f>
        <v>78.72</v>
      </c>
      <c r="L7" s="14">
        <f>W7*7%</f>
        <v>91.84</v>
      </c>
      <c r="M7" s="14">
        <f t="shared" si="6"/>
        <v>91.84</v>
      </c>
      <c r="N7" s="14">
        <f t="shared" si="7"/>
        <v>118.08</v>
      </c>
      <c r="O7" s="14">
        <f t="shared" si="8"/>
        <v>104.96000000000001</v>
      </c>
      <c r="P7" s="28">
        <f t="shared" si="9"/>
        <v>91.84</v>
      </c>
      <c r="Q7" s="87">
        <f t="shared" si="2"/>
        <v>91.84</v>
      </c>
      <c r="R7" s="14">
        <f t="shared" si="3"/>
        <v>104.96000000000001</v>
      </c>
      <c r="S7" s="14">
        <f t="shared" si="4"/>
        <v>118.08</v>
      </c>
      <c r="T7" s="14">
        <f t="shared" si="10"/>
        <v>157.44</v>
      </c>
      <c r="U7" s="14">
        <f>W7*11%</f>
        <v>144.32</v>
      </c>
      <c r="V7" s="28">
        <f t="shared" si="5"/>
        <v>118.08</v>
      </c>
      <c r="W7" s="88">
        <v>1312</v>
      </c>
      <c r="X7" s="19"/>
      <c r="Y7" s="19"/>
      <c r="Z7" s="19"/>
      <c r="AA7" s="19"/>
      <c r="AB7" s="19"/>
      <c r="AC7" s="19"/>
      <c r="AD7" s="64">
        <f t="shared" si="11"/>
        <v>131.20000000000002</v>
      </c>
      <c r="AE7" s="64">
        <f t="shared" si="12"/>
        <v>131.20000000000002</v>
      </c>
      <c r="AF7" s="64">
        <f t="shared" si="13"/>
        <v>183.68</v>
      </c>
      <c r="AG7" s="64">
        <f t="shared" ref="AG7:AG16" si="15">AI7*11%</f>
        <v>144.32</v>
      </c>
      <c r="AH7" s="64">
        <f t="shared" si="14"/>
        <v>131.20000000000002</v>
      </c>
      <c r="AI7" s="64">
        <v>1312</v>
      </c>
    </row>
    <row r="8" spans="1:39" x14ac:dyDescent="0.25">
      <c r="A8" s="12">
        <v>8</v>
      </c>
      <c r="B8" s="146"/>
      <c r="C8" s="84">
        <v>4</v>
      </c>
      <c r="D8" s="84" t="s">
        <v>31</v>
      </c>
      <c r="E8" s="84">
        <v>11</v>
      </c>
      <c r="F8" s="92" t="str">
        <f t="shared" si="0"/>
        <v xml:space="preserve">14-15yr  </v>
      </c>
      <c r="G8" s="92" t="str">
        <f t="shared" si="1"/>
        <v xml:space="preserve">11-12yr  </v>
      </c>
      <c r="H8" s="84">
        <v>20</v>
      </c>
      <c r="I8" s="85">
        <v>1.67</v>
      </c>
      <c r="J8" s="86">
        <v>70.510000000000005</v>
      </c>
      <c r="K8" s="87">
        <f>W8*6%+1</f>
        <v>81.459999999999994</v>
      </c>
      <c r="L8" s="14">
        <f>W8*7%-1</f>
        <v>92.87</v>
      </c>
      <c r="M8" s="14">
        <f t="shared" si="6"/>
        <v>93.87</v>
      </c>
      <c r="N8" s="14">
        <f t="shared" si="7"/>
        <v>120.69</v>
      </c>
      <c r="O8" s="14">
        <f t="shared" si="8"/>
        <v>107.28</v>
      </c>
      <c r="P8" s="28">
        <f t="shared" si="9"/>
        <v>93.87</v>
      </c>
      <c r="Q8" s="87">
        <f t="shared" si="2"/>
        <v>93.87</v>
      </c>
      <c r="R8" s="14">
        <f t="shared" si="3"/>
        <v>107.28</v>
      </c>
      <c r="S8" s="14">
        <f t="shared" si="4"/>
        <v>120.69</v>
      </c>
      <c r="T8" s="14">
        <f t="shared" si="10"/>
        <v>160.91999999999999</v>
      </c>
      <c r="U8" s="14">
        <f>W8*11%-1</f>
        <v>146.51</v>
      </c>
      <c r="V8" s="28">
        <f t="shared" si="5"/>
        <v>120.69</v>
      </c>
      <c r="W8" s="88">
        <v>1341</v>
      </c>
      <c r="X8" s="19"/>
      <c r="Y8" s="19"/>
      <c r="Z8" s="19"/>
      <c r="AA8" s="19"/>
      <c r="AB8" s="19"/>
      <c r="AC8" s="19"/>
      <c r="AD8" s="64">
        <f t="shared" si="11"/>
        <v>134.1</v>
      </c>
      <c r="AE8" s="64">
        <f t="shared" si="12"/>
        <v>134.1</v>
      </c>
      <c r="AF8" s="64">
        <f t="shared" si="13"/>
        <v>187.74</v>
      </c>
      <c r="AG8" s="64">
        <f>AI8*11%-1</f>
        <v>146.51</v>
      </c>
      <c r="AH8" s="64">
        <f t="shared" si="14"/>
        <v>134.1</v>
      </c>
      <c r="AI8" s="64">
        <v>1341</v>
      </c>
    </row>
    <row r="9" spans="1:39" x14ac:dyDescent="0.25">
      <c r="A9" s="12">
        <v>9</v>
      </c>
      <c r="B9" s="146"/>
      <c r="C9" s="84">
        <v>5</v>
      </c>
      <c r="D9" s="84" t="s">
        <v>31</v>
      </c>
      <c r="E9" s="84">
        <v>11</v>
      </c>
      <c r="F9" s="92" t="str">
        <f t="shared" si="0"/>
        <v xml:space="preserve">14-15yr  </v>
      </c>
      <c r="G9" s="92" t="str">
        <f t="shared" si="1"/>
        <v xml:space="preserve">11-12yr  </v>
      </c>
      <c r="H9" s="84">
        <v>20</v>
      </c>
      <c r="I9" s="85">
        <v>1.67</v>
      </c>
      <c r="J9" s="86">
        <v>50.4</v>
      </c>
      <c r="K9" s="87">
        <f>W9*6%</f>
        <v>57.48</v>
      </c>
      <c r="L9" s="14">
        <f>W9*7%</f>
        <v>67.06</v>
      </c>
      <c r="M9" s="14">
        <f t="shared" si="6"/>
        <v>67.06</v>
      </c>
      <c r="N9" s="14">
        <f t="shared" si="7"/>
        <v>86.22</v>
      </c>
      <c r="O9" s="14">
        <f t="shared" si="8"/>
        <v>76.64</v>
      </c>
      <c r="P9" s="28">
        <f t="shared" si="9"/>
        <v>67.06</v>
      </c>
      <c r="Q9" s="87">
        <f t="shared" si="2"/>
        <v>67.06</v>
      </c>
      <c r="R9" s="14">
        <f t="shared" si="3"/>
        <v>76.64</v>
      </c>
      <c r="S9" s="14">
        <f t="shared" si="4"/>
        <v>86.22</v>
      </c>
      <c r="T9" s="14">
        <f t="shared" si="10"/>
        <v>114.96</v>
      </c>
      <c r="U9" s="14">
        <f>W9*11%</f>
        <v>105.38</v>
      </c>
      <c r="V9" s="28">
        <f t="shared" si="5"/>
        <v>86.22</v>
      </c>
      <c r="W9" s="88">
        <v>958</v>
      </c>
      <c r="X9" s="19"/>
      <c r="Y9" s="19"/>
      <c r="Z9" s="19"/>
      <c r="AA9" s="19"/>
      <c r="AB9" s="19"/>
      <c r="AC9" s="19"/>
      <c r="AD9" s="64">
        <f t="shared" si="11"/>
        <v>95.800000000000011</v>
      </c>
      <c r="AE9" s="64">
        <f t="shared" si="12"/>
        <v>95.800000000000011</v>
      </c>
      <c r="AF9" s="64">
        <f t="shared" si="13"/>
        <v>134.12</v>
      </c>
      <c r="AG9" s="64">
        <f t="shared" si="15"/>
        <v>105.38</v>
      </c>
      <c r="AH9" s="64">
        <f t="shared" si="14"/>
        <v>95.800000000000011</v>
      </c>
      <c r="AI9" s="64">
        <v>958</v>
      </c>
    </row>
    <row r="10" spans="1:39" x14ac:dyDescent="0.25">
      <c r="A10" s="12">
        <v>10</v>
      </c>
      <c r="B10" s="146"/>
      <c r="C10" s="84">
        <v>6</v>
      </c>
      <c r="D10" s="84" t="s">
        <v>31</v>
      </c>
      <c r="E10" s="84">
        <v>11</v>
      </c>
      <c r="F10" s="92" t="str">
        <f t="shared" si="0"/>
        <v xml:space="preserve">14-15yr  </v>
      </c>
      <c r="G10" s="92" t="str">
        <f t="shared" si="1"/>
        <v xml:space="preserve">11-12yr  </v>
      </c>
      <c r="H10" s="84">
        <v>20</v>
      </c>
      <c r="I10" s="85">
        <v>1.67</v>
      </c>
      <c r="J10" s="86">
        <v>58.6</v>
      </c>
      <c r="K10" s="87">
        <f>W10*6%</f>
        <v>66.84</v>
      </c>
      <c r="L10" s="14">
        <f>W10*7%</f>
        <v>77.98</v>
      </c>
      <c r="M10" s="14">
        <f t="shared" si="6"/>
        <v>77.98</v>
      </c>
      <c r="N10" s="14">
        <f t="shared" si="7"/>
        <v>100.25999999999999</v>
      </c>
      <c r="O10" s="14">
        <f t="shared" si="8"/>
        <v>89.12</v>
      </c>
      <c r="P10" s="28">
        <f t="shared" si="9"/>
        <v>77.98</v>
      </c>
      <c r="Q10" s="87">
        <f t="shared" si="2"/>
        <v>77.98</v>
      </c>
      <c r="R10" s="14">
        <f t="shared" si="3"/>
        <v>89.12</v>
      </c>
      <c r="S10" s="14">
        <f t="shared" si="4"/>
        <v>100.25999999999999</v>
      </c>
      <c r="T10" s="14">
        <f t="shared" si="10"/>
        <v>133.68</v>
      </c>
      <c r="U10" s="14">
        <f>W10*11%</f>
        <v>122.54</v>
      </c>
      <c r="V10" s="28">
        <f t="shared" si="5"/>
        <v>100.25999999999999</v>
      </c>
      <c r="W10" s="88">
        <v>1114</v>
      </c>
      <c r="X10" s="19"/>
      <c r="Y10" s="19"/>
      <c r="Z10" s="19"/>
      <c r="AA10" s="19"/>
      <c r="AB10" s="19"/>
      <c r="AC10" s="19"/>
      <c r="AD10" s="64">
        <f t="shared" si="11"/>
        <v>111.4</v>
      </c>
      <c r="AE10" s="64">
        <f t="shared" si="12"/>
        <v>111.4</v>
      </c>
      <c r="AF10" s="64">
        <f t="shared" si="13"/>
        <v>155.96</v>
      </c>
      <c r="AG10" s="64">
        <f t="shared" si="15"/>
        <v>122.54</v>
      </c>
      <c r="AH10" s="64">
        <f t="shared" si="14"/>
        <v>111.4</v>
      </c>
      <c r="AI10" s="64">
        <v>1114</v>
      </c>
    </row>
    <row r="11" spans="1:39" x14ac:dyDescent="0.25">
      <c r="A11" s="12">
        <v>11</v>
      </c>
      <c r="B11" s="146"/>
      <c r="C11" s="84">
        <v>7</v>
      </c>
      <c r="D11" s="84" t="s">
        <v>31</v>
      </c>
      <c r="E11" s="84">
        <v>11</v>
      </c>
      <c r="F11" s="92" t="str">
        <f t="shared" si="0"/>
        <v xml:space="preserve">14-15yr  </v>
      </c>
      <c r="G11" s="92" t="str">
        <f t="shared" si="1"/>
        <v xml:space="preserve">11-12yr  </v>
      </c>
      <c r="H11" s="84">
        <v>17</v>
      </c>
      <c r="I11" s="85">
        <v>1.42</v>
      </c>
      <c r="J11" s="86">
        <v>23.6</v>
      </c>
      <c r="K11" s="87">
        <f>W11*6%</f>
        <v>22.86</v>
      </c>
      <c r="L11" s="14">
        <f>W11*7%</f>
        <v>26.67</v>
      </c>
      <c r="M11" s="14">
        <f t="shared" si="6"/>
        <v>26.67</v>
      </c>
      <c r="N11" s="14">
        <f t="shared" si="7"/>
        <v>34.29</v>
      </c>
      <c r="O11" s="14">
        <f t="shared" si="8"/>
        <v>30.48</v>
      </c>
      <c r="P11" s="28">
        <f t="shared" si="9"/>
        <v>26.67</v>
      </c>
      <c r="Q11" s="87">
        <f t="shared" si="2"/>
        <v>26.67</v>
      </c>
      <c r="R11" s="14">
        <f t="shared" si="3"/>
        <v>30.48</v>
      </c>
      <c r="S11" s="14">
        <f t="shared" si="4"/>
        <v>34.29</v>
      </c>
      <c r="T11" s="14">
        <f t="shared" si="10"/>
        <v>45.72</v>
      </c>
      <c r="U11" s="14">
        <f>W11*11%</f>
        <v>41.910000000000004</v>
      </c>
      <c r="V11" s="28">
        <f t="shared" si="5"/>
        <v>34.29</v>
      </c>
      <c r="W11" s="88">
        <v>381</v>
      </c>
      <c r="X11" s="19"/>
      <c r="Y11" s="19"/>
      <c r="Z11" s="19"/>
      <c r="AA11" s="19"/>
      <c r="AB11" s="19"/>
      <c r="AC11" s="19"/>
      <c r="AD11" s="64">
        <f t="shared" si="11"/>
        <v>38.1</v>
      </c>
      <c r="AE11" s="64">
        <f t="shared" si="12"/>
        <v>38.1</v>
      </c>
      <c r="AF11" s="64">
        <f t="shared" si="13"/>
        <v>53.34</v>
      </c>
      <c r="AG11" s="64">
        <f t="shared" si="15"/>
        <v>41.910000000000004</v>
      </c>
      <c r="AH11" s="64">
        <f t="shared" si="14"/>
        <v>38.1</v>
      </c>
      <c r="AI11" s="64">
        <v>381</v>
      </c>
    </row>
    <row r="12" spans="1:39" x14ac:dyDescent="0.25">
      <c r="A12" s="12">
        <v>12</v>
      </c>
      <c r="B12" s="146"/>
      <c r="C12" s="84">
        <v>8</v>
      </c>
      <c r="D12" s="84" t="s">
        <v>31</v>
      </c>
      <c r="E12" s="84">
        <v>11</v>
      </c>
      <c r="F12" s="92" t="str">
        <f t="shared" si="0"/>
        <v xml:space="preserve">14-15yr  </v>
      </c>
      <c r="G12" s="92" t="str">
        <f t="shared" si="1"/>
        <v xml:space="preserve">11-12yr  </v>
      </c>
      <c r="H12" s="84">
        <v>20</v>
      </c>
      <c r="I12" s="85">
        <v>1.67</v>
      </c>
      <c r="J12" s="86">
        <v>61.6</v>
      </c>
      <c r="K12" s="87">
        <f>W12*6%+1</f>
        <v>70.3</v>
      </c>
      <c r="L12" s="14">
        <f>W12*7%+1</f>
        <v>81.850000000000009</v>
      </c>
      <c r="M12" s="14">
        <f>W12*7%-3</f>
        <v>77.850000000000009</v>
      </c>
      <c r="N12" s="14">
        <f>W12*9%-3</f>
        <v>100.95</v>
      </c>
      <c r="O12" s="14">
        <f>W12*8%-3</f>
        <v>89.4</v>
      </c>
      <c r="P12" s="28">
        <f>W12*7%-3</f>
        <v>77.850000000000009</v>
      </c>
      <c r="Q12" s="87">
        <f>W12*7%+2</f>
        <v>82.850000000000009</v>
      </c>
      <c r="R12" s="14">
        <f>W12*8%+1</f>
        <v>93.4</v>
      </c>
      <c r="S12" s="14">
        <f>W12*9%+1</f>
        <v>104.95</v>
      </c>
      <c r="T12" s="14">
        <f>W12*12%+1</f>
        <v>139.6</v>
      </c>
      <c r="U12" s="14">
        <f>W12*11%+2</f>
        <v>129.05000000000001</v>
      </c>
      <c r="V12" s="28">
        <f>W12*9%+1</f>
        <v>104.95</v>
      </c>
      <c r="W12" s="88">
        <v>1155</v>
      </c>
      <c r="X12" s="19"/>
      <c r="Y12" s="19"/>
      <c r="Z12" s="19"/>
      <c r="AA12" s="19"/>
      <c r="AB12" s="19"/>
      <c r="AC12" s="19"/>
      <c r="AD12" s="64">
        <f>AI12*10%+1</f>
        <v>116.5</v>
      </c>
      <c r="AE12" s="64">
        <f>AI12*10%+1</f>
        <v>116.5</v>
      </c>
      <c r="AF12" s="64">
        <f>AI12*14%+1</f>
        <v>162.70000000000002</v>
      </c>
      <c r="AG12" s="64">
        <f>AI12*11%+2</f>
        <v>129.05000000000001</v>
      </c>
      <c r="AH12" s="64">
        <f>AI12*10%+1</f>
        <v>116.5</v>
      </c>
      <c r="AI12" s="64">
        <v>1155</v>
      </c>
    </row>
    <row r="13" spans="1:39" x14ac:dyDescent="0.25">
      <c r="A13" s="12">
        <v>13</v>
      </c>
      <c r="B13" s="146"/>
      <c r="C13" s="84">
        <v>9</v>
      </c>
      <c r="D13" s="84" t="s">
        <v>31</v>
      </c>
      <c r="E13" s="84">
        <v>11</v>
      </c>
      <c r="F13" s="92" t="str">
        <f t="shared" si="0"/>
        <v xml:space="preserve">14-15yr  </v>
      </c>
      <c r="G13" s="92" t="str">
        <f t="shared" si="1"/>
        <v xml:space="preserve">11-12yr  </v>
      </c>
      <c r="H13" s="84">
        <v>18</v>
      </c>
      <c r="I13" s="85">
        <v>1.5</v>
      </c>
      <c r="J13" s="86">
        <v>38.299999999999997</v>
      </c>
      <c r="K13" s="87">
        <f>W13*6%</f>
        <v>39.479999999999997</v>
      </c>
      <c r="L13" s="14">
        <f>W13*7%+1</f>
        <v>47.06</v>
      </c>
      <c r="M13" s="14">
        <f>W13*7%</f>
        <v>46.06</v>
      </c>
      <c r="N13" s="14">
        <f>W13*9%</f>
        <v>59.22</v>
      </c>
      <c r="O13" s="14">
        <f>W13*8%</f>
        <v>52.64</v>
      </c>
      <c r="P13" s="28">
        <f>W13*7%</f>
        <v>46.06</v>
      </c>
      <c r="Q13" s="87">
        <f>W13*7%-1</f>
        <v>45.06</v>
      </c>
      <c r="R13" s="14">
        <f>W13*8%</f>
        <v>52.64</v>
      </c>
      <c r="S13" s="14">
        <f>W13*9%</f>
        <v>59.22</v>
      </c>
      <c r="T13" s="14">
        <f>W13*12%</f>
        <v>78.959999999999994</v>
      </c>
      <c r="U13" s="14">
        <f>W13*11%</f>
        <v>72.38</v>
      </c>
      <c r="V13" s="28">
        <f>W13*9%</f>
        <v>59.22</v>
      </c>
      <c r="W13" s="88">
        <v>658</v>
      </c>
      <c r="X13" s="19"/>
      <c r="Y13" s="19"/>
      <c r="Z13" s="19"/>
      <c r="AA13" s="19"/>
      <c r="AB13" s="19"/>
      <c r="AC13" s="19"/>
      <c r="AD13" s="64">
        <f t="shared" si="11"/>
        <v>65.8</v>
      </c>
      <c r="AE13" s="64">
        <f t="shared" si="12"/>
        <v>65.8</v>
      </c>
      <c r="AF13" s="64">
        <f t="shared" si="13"/>
        <v>92.12</v>
      </c>
      <c r="AG13" s="64">
        <f t="shared" si="15"/>
        <v>72.38</v>
      </c>
      <c r="AH13" s="64">
        <f t="shared" si="14"/>
        <v>65.8</v>
      </c>
      <c r="AI13" s="64">
        <v>658</v>
      </c>
    </row>
    <row r="14" spans="1:39" s="118" customFormat="1" ht="30" x14ac:dyDescent="0.25">
      <c r="A14" s="107">
        <v>14</v>
      </c>
      <c r="B14" s="146"/>
      <c r="C14" s="108">
        <v>11</v>
      </c>
      <c r="D14" s="108" t="s">
        <v>33</v>
      </c>
      <c r="E14" s="108">
        <v>10.5</v>
      </c>
      <c r="F14" s="121" t="str">
        <f>INT(162/12)&amp;"yr  "&amp;MOD(162,12)&amp;"m"&amp;"-"&amp;INT(174/12)&amp;"yr  "&amp;MOD(174,12)&amp;"m"</f>
        <v>13yr  6m-14yr  6m</v>
      </c>
      <c r="G14" s="121" t="str">
        <f>INT(162/12)-3&amp;"yr  "&amp;MOD(162,12)&amp;"m"&amp;"-"&amp;INT(174/12)-3&amp;"yr  "&amp;MOD(174,12)&amp;"m"</f>
        <v>10yr  6m-11yr  6m</v>
      </c>
      <c r="H14" s="108">
        <v>19</v>
      </c>
      <c r="I14" s="109">
        <v>1.58</v>
      </c>
      <c r="J14" s="110">
        <v>44.5</v>
      </c>
      <c r="K14" s="111">
        <f>W14*6%</f>
        <v>48.239999999999995</v>
      </c>
      <c r="L14" s="112">
        <f>W14*7%</f>
        <v>56.280000000000008</v>
      </c>
      <c r="M14" s="112">
        <f>W14*7%</f>
        <v>56.280000000000008</v>
      </c>
      <c r="N14" s="112">
        <f>W14*9%</f>
        <v>72.36</v>
      </c>
      <c r="O14" s="112">
        <f>W14*8%</f>
        <v>64.320000000000007</v>
      </c>
      <c r="P14" s="113">
        <f>W14*7%</f>
        <v>56.280000000000008</v>
      </c>
      <c r="Q14" s="111">
        <f>W14*7%+1</f>
        <v>57.280000000000008</v>
      </c>
      <c r="R14" s="112">
        <f>W14*8%+1</f>
        <v>65.320000000000007</v>
      </c>
      <c r="S14" s="112">
        <f>W14*9%+1</f>
        <v>73.36</v>
      </c>
      <c r="T14" s="112">
        <f>W14*12%-1</f>
        <v>95.47999999999999</v>
      </c>
      <c r="U14" s="112">
        <f>W14*11%</f>
        <v>88.44</v>
      </c>
      <c r="V14" s="113">
        <f>W14*9%+1</f>
        <v>73.36</v>
      </c>
      <c r="W14" s="114">
        <v>804</v>
      </c>
      <c r="X14" s="115"/>
      <c r="Y14" s="115"/>
      <c r="Z14" s="115"/>
      <c r="AA14" s="115"/>
      <c r="AB14" s="115"/>
      <c r="AC14" s="115"/>
      <c r="AD14" s="116">
        <f>AI14*10%+1</f>
        <v>81.400000000000006</v>
      </c>
      <c r="AE14" s="116">
        <f>AI14*10%+1</f>
        <v>81.400000000000006</v>
      </c>
      <c r="AF14" s="116">
        <f>AI14*14%-1</f>
        <v>111.56000000000002</v>
      </c>
      <c r="AG14" s="116">
        <f t="shared" si="15"/>
        <v>88.44</v>
      </c>
      <c r="AH14" s="116">
        <f>AI14*10%+1</f>
        <v>81.400000000000006</v>
      </c>
      <c r="AI14" s="116">
        <v>804</v>
      </c>
      <c r="AJ14" s="117"/>
      <c r="AK14" s="117"/>
      <c r="AL14" s="117"/>
      <c r="AM14" s="117"/>
    </row>
    <row r="15" spans="1:39" x14ac:dyDescent="0.25">
      <c r="A15" s="12">
        <v>15</v>
      </c>
      <c r="B15" s="146"/>
      <c r="C15" s="84">
        <v>12</v>
      </c>
      <c r="D15" s="84" t="s">
        <v>34</v>
      </c>
      <c r="E15" s="84">
        <v>10</v>
      </c>
      <c r="F15" s="92" t="str">
        <f>156/12&amp;"-"&amp;168/12&amp;"yr  "</f>
        <v xml:space="preserve">13-14yr  </v>
      </c>
      <c r="G15" s="92" t="str">
        <f>(156/12)-3&amp;"-"&amp;(168/12)-3&amp;"yr  "</f>
        <v xml:space="preserve">10-11yr  </v>
      </c>
      <c r="H15" s="84">
        <v>20</v>
      </c>
      <c r="I15" s="85">
        <v>1.67</v>
      </c>
      <c r="J15" s="86">
        <v>71</v>
      </c>
      <c r="K15" s="87">
        <f>W15*6%+1</f>
        <v>81.88</v>
      </c>
      <c r="L15" s="14">
        <f>W15*7%</f>
        <v>94.360000000000014</v>
      </c>
      <c r="M15" s="14">
        <f>W15*7%</f>
        <v>94.360000000000014</v>
      </c>
      <c r="N15" s="14">
        <f>W15*9%</f>
        <v>121.32</v>
      </c>
      <c r="O15" s="14">
        <f>W15*8%</f>
        <v>107.84</v>
      </c>
      <c r="P15" s="28">
        <f>W15*7%</f>
        <v>94.360000000000014</v>
      </c>
      <c r="Q15" s="87">
        <f>W15*7%</f>
        <v>94.360000000000014</v>
      </c>
      <c r="R15" s="14">
        <f>W15*8%</f>
        <v>107.84</v>
      </c>
      <c r="S15" s="14">
        <f>W15*9%</f>
        <v>121.32</v>
      </c>
      <c r="T15" s="14">
        <f>W15*12%</f>
        <v>161.76</v>
      </c>
      <c r="U15" s="14">
        <f>W15*11%</f>
        <v>148.28</v>
      </c>
      <c r="V15" s="28">
        <f>W15*9%</f>
        <v>121.32</v>
      </c>
      <c r="W15" s="88">
        <v>1348</v>
      </c>
      <c r="X15" s="19"/>
      <c r="Y15" s="19"/>
      <c r="Z15" s="19"/>
      <c r="AA15" s="19"/>
      <c r="AB15" s="19"/>
      <c r="AC15" s="19"/>
      <c r="AD15" s="64">
        <f t="shared" si="11"/>
        <v>134.80000000000001</v>
      </c>
      <c r="AE15" s="64">
        <f t="shared" si="12"/>
        <v>134.80000000000001</v>
      </c>
      <c r="AF15" s="64">
        <f t="shared" si="13"/>
        <v>188.72000000000003</v>
      </c>
      <c r="AG15" s="64">
        <f t="shared" si="15"/>
        <v>148.28</v>
      </c>
      <c r="AH15" s="64">
        <f t="shared" si="14"/>
        <v>134.80000000000001</v>
      </c>
      <c r="AI15" s="64">
        <v>1348</v>
      </c>
    </row>
    <row r="16" spans="1:39" ht="15.75" thickBot="1" x14ac:dyDescent="0.3">
      <c r="A16" s="12">
        <v>16</v>
      </c>
      <c r="B16" s="147"/>
      <c r="C16" s="84">
        <v>23</v>
      </c>
      <c r="D16" s="84" t="s">
        <v>34</v>
      </c>
      <c r="E16" s="84">
        <v>10</v>
      </c>
      <c r="F16" s="92" t="str">
        <f>156/12&amp;"-"&amp;168/12&amp;"yr  "</f>
        <v xml:space="preserve">13-14yr  </v>
      </c>
      <c r="G16" s="92" t="str">
        <f>(156/12)-3&amp;"-"&amp;(168/12)-3&amp;"yr  "</f>
        <v xml:space="preserve">10-11yr  </v>
      </c>
      <c r="H16" s="84">
        <v>21</v>
      </c>
      <c r="I16" s="85">
        <v>1.75</v>
      </c>
      <c r="J16" s="86">
        <v>14.6</v>
      </c>
      <c r="K16" s="89">
        <f>W16*6%</f>
        <v>17.34</v>
      </c>
      <c r="L16" s="40">
        <f>W16*7%-1</f>
        <v>19.23</v>
      </c>
      <c r="M16" s="40">
        <f>W16*7%</f>
        <v>20.23</v>
      </c>
      <c r="N16" s="40">
        <f>W16*9%</f>
        <v>26.009999999999998</v>
      </c>
      <c r="O16" s="40">
        <f>W16*8%</f>
        <v>23.12</v>
      </c>
      <c r="P16" s="31">
        <f>W16*7%</f>
        <v>20.23</v>
      </c>
      <c r="Q16" s="89">
        <f>W16*7%+1</f>
        <v>21.23</v>
      </c>
      <c r="R16" s="40">
        <f>W16*8%</f>
        <v>23.12</v>
      </c>
      <c r="S16" s="40">
        <f>W16*9%</f>
        <v>26.009999999999998</v>
      </c>
      <c r="T16" s="40">
        <f>W16*12%+1</f>
        <v>35.68</v>
      </c>
      <c r="U16" s="40">
        <f>W16*11%</f>
        <v>31.79</v>
      </c>
      <c r="V16" s="31">
        <f>W16*9%</f>
        <v>26.009999999999998</v>
      </c>
      <c r="W16" s="88">
        <v>289</v>
      </c>
      <c r="X16" s="19"/>
      <c r="Y16" s="19"/>
      <c r="Z16" s="19"/>
      <c r="AA16" s="19"/>
      <c r="AB16" s="19"/>
      <c r="AC16" s="19"/>
      <c r="AD16" s="64">
        <f t="shared" si="11"/>
        <v>28.900000000000002</v>
      </c>
      <c r="AE16" s="64">
        <f t="shared" si="12"/>
        <v>28.900000000000002</v>
      </c>
      <c r="AF16" s="64">
        <f>AI16*14%+1</f>
        <v>41.46</v>
      </c>
      <c r="AG16" s="64">
        <f t="shared" si="15"/>
        <v>31.79</v>
      </c>
      <c r="AH16" s="64">
        <f t="shared" si="14"/>
        <v>28.900000000000002</v>
      </c>
      <c r="AI16" s="64">
        <v>289</v>
      </c>
    </row>
    <row r="17" spans="1:39" s="1" customFormat="1" x14ac:dyDescent="0.25">
      <c r="A17" s="12">
        <v>17</v>
      </c>
      <c r="B17" s="77"/>
      <c r="C17" s="77"/>
      <c r="D17" s="77"/>
      <c r="E17" s="77"/>
      <c r="F17" s="122"/>
      <c r="G17" s="122"/>
      <c r="H17" s="77"/>
      <c r="I17" s="90" t="s">
        <v>42</v>
      </c>
      <c r="J17" s="91">
        <f>SUBTOTAL(9,J5:J16)</f>
        <v>615.5100000000001</v>
      </c>
      <c r="K17" s="16">
        <f>SUBTOTAL(9,K5:K16)</f>
        <v>694.2</v>
      </c>
      <c r="L17" s="16">
        <f>SUBTOTAL(9,L5:L16)-1</f>
        <v>806.4</v>
      </c>
      <c r="M17" s="16">
        <f>SUBTOTAL(9,M5:M16)+1</f>
        <v>803.4</v>
      </c>
      <c r="N17" s="16">
        <f>SUBTOTAL(9,N5:N16)+1</f>
        <v>1033.8</v>
      </c>
      <c r="O17" s="16">
        <f>SUBTOTAL(9,O5:O16)+1</f>
        <v>918.6</v>
      </c>
      <c r="P17" s="16">
        <f>SUBTOTAL(9,P5:P16)+1</f>
        <v>803.4</v>
      </c>
      <c r="Q17" s="16">
        <f>SUBTOTAL(9,Q5:Q16)-1</f>
        <v>808.4</v>
      </c>
      <c r="R17" s="16">
        <f t="shared" ref="R17:V17" si="16">SUBTOTAL(9,R5:R16)</f>
        <v>923.6</v>
      </c>
      <c r="S17" s="16">
        <f t="shared" si="16"/>
        <v>1038.8</v>
      </c>
      <c r="T17" s="16">
        <f t="shared" si="16"/>
        <v>1384.4</v>
      </c>
      <c r="U17" s="16">
        <f t="shared" si="16"/>
        <v>1267.1999999999998</v>
      </c>
      <c r="V17" s="16">
        <f t="shared" si="16"/>
        <v>1038.8</v>
      </c>
      <c r="W17" s="16">
        <f>SUBTOTAL(9,W5:W16)</f>
        <v>11520</v>
      </c>
      <c r="X17" s="20"/>
      <c r="Y17" s="20"/>
      <c r="Z17" s="20"/>
      <c r="AA17" s="20"/>
      <c r="AB17" s="20"/>
      <c r="AC17" s="20"/>
      <c r="AD17" s="65">
        <f t="shared" ref="AD17:AH17" si="17">SUBTOTAL(9,AD5:AD16)</f>
        <v>1154.0000000000002</v>
      </c>
      <c r="AE17" s="65">
        <f t="shared" si="17"/>
        <v>1154.0000000000002</v>
      </c>
      <c r="AF17" s="65">
        <f t="shared" si="17"/>
        <v>1614.8</v>
      </c>
      <c r="AG17" s="65">
        <f t="shared" si="17"/>
        <v>1267.1999999999998</v>
      </c>
      <c r="AH17" s="65">
        <f t="shared" si="17"/>
        <v>1154.0000000000002</v>
      </c>
      <c r="AI17" s="65">
        <f>SUBTOTAL(9,AI5:AI16)</f>
        <v>11520</v>
      </c>
      <c r="AJ17" s="66"/>
      <c r="AK17" s="66"/>
      <c r="AL17" s="66"/>
      <c r="AM17" s="66"/>
    </row>
    <row r="18" spans="1:39" ht="15.75" thickBot="1" x14ac:dyDescent="0.3">
      <c r="A18" s="12">
        <v>18</v>
      </c>
      <c r="B18" s="12"/>
      <c r="C18" s="12"/>
      <c r="D18" s="12"/>
      <c r="E18" s="12"/>
      <c r="F18" s="119"/>
      <c r="G18" s="119"/>
      <c r="H18" s="12"/>
      <c r="I18" s="78"/>
      <c r="J18" s="78"/>
      <c r="K18" s="12"/>
      <c r="L18" s="12"/>
      <c r="M18" s="12"/>
      <c r="N18" s="12"/>
      <c r="O18" s="12"/>
      <c r="Q18" s="12"/>
      <c r="R18" s="12"/>
      <c r="S18" s="12"/>
      <c r="T18" s="12"/>
      <c r="U18" s="12"/>
      <c r="V18" s="12"/>
      <c r="W18" s="12"/>
      <c r="X18" s="21"/>
      <c r="Y18" s="21"/>
      <c r="Z18" s="21"/>
      <c r="AA18" s="21"/>
      <c r="AB18" s="21"/>
      <c r="AC18" s="21"/>
    </row>
    <row r="19" spans="1:39" s="5" customFormat="1" ht="30.75" customHeight="1" x14ac:dyDescent="0.25">
      <c r="A19" s="12">
        <v>19</v>
      </c>
      <c r="B19" s="79" t="s">
        <v>1</v>
      </c>
      <c r="C19" s="79" t="s">
        <v>2</v>
      </c>
      <c r="D19" s="79" t="s">
        <v>3</v>
      </c>
      <c r="E19" s="79" t="s">
        <v>4</v>
      </c>
      <c r="F19" s="127" t="s">
        <v>66</v>
      </c>
      <c r="G19" s="127" t="s">
        <v>65</v>
      </c>
      <c r="H19" s="79" t="s">
        <v>5</v>
      </c>
      <c r="I19" s="80" t="s">
        <v>6</v>
      </c>
      <c r="J19" s="81" t="s">
        <v>7</v>
      </c>
      <c r="K19" s="82" t="s">
        <v>53</v>
      </c>
      <c r="L19" s="39" t="s">
        <v>54</v>
      </c>
      <c r="M19" s="39" t="s">
        <v>10</v>
      </c>
      <c r="N19" s="39" t="s">
        <v>55</v>
      </c>
      <c r="O19" s="39" t="s">
        <v>56</v>
      </c>
      <c r="P19" s="26" t="s">
        <v>13</v>
      </c>
      <c r="Q19" s="82" t="s">
        <v>57</v>
      </c>
      <c r="R19" s="39" t="s">
        <v>60</v>
      </c>
      <c r="S19" s="39" t="s">
        <v>58</v>
      </c>
      <c r="T19" s="39" t="s">
        <v>61</v>
      </c>
      <c r="U19" s="39" t="s">
        <v>49</v>
      </c>
      <c r="V19" s="26" t="s">
        <v>59</v>
      </c>
      <c r="W19" s="83" t="s">
        <v>20</v>
      </c>
      <c r="X19" s="18"/>
      <c r="Y19" s="18"/>
      <c r="Z19" s="18"/>
      <c r="AA19" s="18"/>
      <c r="AB19" s="18"/>
      <c r="AC19" s="18"/>
      <c r="AD19" s="63" t="s">
        <v>15</v>
      </c>
      <c r="AE19" s="63" t="s">
        <v>16</v>
      </c>
      <c r="AF19" s="63" t="s">
        <v>17</v>
      </c>
      <c r="AG19" s="63" t="s">
        <v>18</v>
      </c>
      <c r="AH19" s="63" t="s">
        <v>19</v>
      </c>
      <c r="AI19" s="63" t="s">
        <v>20</v>
      </c>
      <c r="AJ19" s="63"/>
      <c r="AK19" s="63"/>
      <c r="AL19" s="63"/>
      <c r="AM19" s="63"/>
    </row>
    <row r="20" spans="1:39" ht="30" x14ac:dyDescent="0.25">
      <c r="A20" s="12">
        <v>20</v>
      </c>
      <c r="B20" s="145" t="s">
        <v>22</v>
      </c>
      <c r="C20" s="84">
        <v>10</v>
      </c>
      <c r="D20" s="84" t="s">
        <v>35</v>
      </c>
      <c r="E20" s="84">
        <v>9.5</v>
      </c>
      <c r="F20" s="121" t="str">
        <f>INT(150/12)&amp;"yr  "&amp;MOD(150,12)&amp;"m"&amp;"-"&amp;INT(162/12)&amp;"yr  "&amp;MOD(162,12)&amp;"m"</f>
        <v>12yr  6m-13yr  6m</v>
      </c>
      <c r="G20" s="121" t="str">
        <f>INT(150/12)-3&amp;"yr  "&amp;MOD(150,12)&amp;"m"&amp;"-"&amp;INT(162/12)-3&amp;"yr  "&amp;MOD(162,12)&amp;"m"</f>
        <v>9yr  6m-10yr  6m</v>
      </c>
      <c r="H20" s="84">
        <v>19</v>
      </c>
      <c r="I20" s="85">
        <v>1.58</v>
      </c>
      <c r="J20" s="86">
        <v>19.100000000000001</v>
      </c>
      <c r="K20" s="87">
        <f t="shared" ref="K20:K26" si="18">AI20*6%</f>
        <v>20.58</v>
      </c>
      <c r="L20" s="14">
        <f t="shared" ref="L20:L26" si="19">AI20*7%</f>
        <v>24.01</v>
      </c>
      <c r="M20" s="14">
        <f>AI20*7%</f>
        <v>24.01</v>
      </c>
      <c r="N20" s="14">
        <f>AI20*9%</f>
        <v>30.869999999999997</v>
      </c>
      <c r="O20" s="14">
        <f>AI20*8%</f>
        <v>27.44</v>
      </c>
      <c r="P20" s="28">
        <f>AI20*7%</f>
        <v>24.01</v>
      </c>
      <c r="Q20" s="87">
        <f>W20*7%+1</f>
        <v>25.01</v>
      </c>
      <c r="R20" s="14">
        <f t="shared" ref="R20:R26" si="20">W20*8%</f>
        <v>27.44</v>
      </c>
      <c r="S20" s="14">
        <f t="shared" ref="S20:S26" si="21">W20*9%</f>
        <v>30.869999999999997</v>
      </c>
      <c r="T20" s="14">
        <f>W20*12%</f>
        <v>41.16</v>
      </c>
      <c r="U20" s="14">
        <f t="shared" ref="U20:U26" si="22">W20*11%</f>
        <v>37.729999999999997</v>
      </c>
      <c r="V20" s="28">
        <f t="shared" ref="V20:V26" si="23">W20*9%</f>
        <v>30.869999999999997</v>
      </c>
      <c r="W20" s="88">
        <v>343</v>
      </c>
      <c r="X20" s="19"/>
      <c r="Y20" s="19"/>
      <c r="Z20" s="19"/>
      <c r="AA20" s="19"/>
      <c r="AB20" s="19"/>
      <c r="AC20" s="19"/>
      <c r="AD20" s="64">
        <f>AI20*10%</f>
        <v>34.300000000000004</v>
      </c>
      <c r="AE20" s="64">
        <f>AI20*10%</f>
        <v>34.300000000000004</v>
      </c>
      <c r="AF20" s="64">
        <f>AI20*14%</f>
        <v>48.02</v>
      </c>
      <c r="AG20" s="64">
        <f>AI20*11%</f>
        <v>37.729999999999997</v>
      </c>
      <c r="AH20" s="64">
        <f>AI20*10%</f>
        <v>34.300000000000004</v>
      </c>
      <c r="AI20" s="64">
        <v>343</v>
      </c>
    </row>
    <row r="21" spans="1:39" x14ac:dyDescent="0.25">
      <c r="A21" s="12">
        <v>21</v>
      </c>
      <c r="B21" s="146"/>
      <c r="C21" s="84">
        <v>13</v>
      </c>
      <c r="D21" s="84" t="s">
        <v>36</v>
      </c>
      <c r="E21" s="84">
        <v>10</v>
      </c>
      <c r="F21" s="92" t="str">
        <f>156/12&amp;"-"&amp;168/12&amp;"yr  "</f>
        <v xml:space="preserve">13-14yr  </v>
      </c>
      <c r="G21" s="92" t="str">
        <f>(156/12)-3&amp;"-"&amp;(168/12)-3&amp;"yr  "</f>
        <v xml:space="preserve">10-11yr  </v>
      </c>
      <c r="H21" s="84">
        <v>22</v>
      </c>
      <c r="I21" s="85">
        <v>1.83</v>
      </c>
      <c r="J21" s="86">
        <v>60.8</v>
      </c>
      <c r="K21" s="87">
        <f t="shared" si="18"/>
        <v>76.319999999999993</v>
      </c>
      <c r="L21" s="14">
        <f t="shared" si="19"/>
        <v>89.04</v>
      </c>
      <c r="M21" s="14">
        <f>AI21*7%</f>
        <v>89.04</v>
      </c>
      <c r="N21" s="14">
        <f>AI21*9%</f>
        <v>114.47999999999999</v>
      </c>
      <c r="O21" s="14">
        <f>AI21*8%</f>
        <v>101.76</v>
      </c>
      <c r="P21" s="28">
        <f>AI21*7%</f>
        <v>89.04</v>
      </c>
      <c r="Q21" s="87">
        <f>W21*7%</f>
        <v>89.04</v>
      </c>
      <c r="R21" s="14">
        <f t="shared" si="20"/>
        <v>101.76</v>
      </c>
      <c r="S21" s="14">
        <f t="shared" si="21"/>
        <v>114.47999999999999</v>
      </c>
      <c r="T21" s="14">
        <f>W21*12%</f>
        <v>152.63999999999999</v>
      </c>
      <c r="U21" s="14">
        <f t="shared" si="22"/>
        <v>139.91999999999999</v>
      </c>
      <c r="V21" s="28">
        <f t="shared" si="23"/>
        <v>114.47999999999999</v>
      </c>
      <c r="W21" s="88">
        <v>1272</v>
      </c>
      <c r="X21" s="19"/>
      <c r="Y21" s="19"/>
      <c r="Z21" s="19"/>
      <c r="AA21" s="19"/>
      <c r="AB21" s="19"/>
      <c r="AC21" s="19"/>
      <c r="AD21" s="64">
        <f t="shared" ref="AD21:AD26" si="24">AI21*10%</f>
        <v>127.2</v>
      </c>
      <c r="AE21" s="64">
        <f t="shared" ref="AE21:AE26" si="25">AI21*10%</f>
        <v>127.2</v>
      </c>
      <c r="AF21" s="64">
        <f t="shared" ref="AF21:AF25" si="26">AI21*14%</f>
        <v>178.08</v>
      </c>
      <c r="AG21" s="64">
        <f t="shared" ref="AG21:AG26" si="27">AI21*11%</f>
        <v>139.91999999999999</v>
      </c>
      <c r="AH21" s="64">
        <f t="shared" ref="AH21:AH26" si="28">AI21*10%</f>
        <v>127.2</v>
      </c>
      <c r="AI21" s="64">
        <v>1272</v>
      </c>
    </row>
    <row r="22" spans="1:39" x14ac:dyDescent="0.25">
      <c r="A22" s="12">
        <v>22</v>
      </c>
      <c r="B22" s="146"/>
      <c r="C22" s="84">
        <v>14</v>
      </c>
      <c r="D22" s="84" t="s">
        <v>36</v>
      </c>
      <c r="E22" s="84">
        <v>10</v>
      </c>
      <c r="F22" s="92" t="str">
        <f>156/12&amp;"-"&amp;168/12&amp;"yr  "</f>
        <v xml:space="preserve">13-14yr  </v>
      </c>
      <c r="G22" s="92" t="str">
        <f>(156/12)-3&amp;"-"&amp;(168/12)-3&amp;"yr  "</f>
        <v xml:space="preserve">10-11yr  </v>
      </c>
      <c r="H22" s="84">
        <v>21</v>
      </c>
      <c r="I22" s="85">
        <v>1.75</v>
      </c>
      <c r="J22" s="86">
        <v>41.6</v>
      </c>
      <c r="K22" s="87">
        <f t="shared" si="18"/>
        <v>49.8</v>
      </c>
      <c r="L22" s="14">
        <f t="shared" si="19"/>
        <v>58.100000000000009</v>
      </c>
      <c r="M22" s="14">
        <f>AI22*7%</f>
        <v>58.100000000000009</v>
      </c>
      <c r="N22" s="14">
        <f>AI22*9%</f>
        <v>74.7</v>
      </c>
      <c r="O22" s="14">
        <f>AI22*8%</f>
        <v>66.400000000000006</v>
      </c>
      <c r="P22" s="28">
        <f>AI22*7%</f>
        <v>58.100000000000009</v>
      </c>
      <c r="Q22" s="87">
        <f>W22*7%+1</f>
        <v>59.100000000000009</v>
      </c>
      <c r="R22" s="14">
        <f t="shared" si="20"/>
        <v>66.400000000000006</v>
      </c>
      <c r="S22" s="14">
        <f t="shared" si="21"/>
        <v>74.7</v>
      </c>
      <c r="T22" s="14">
        <f>W22*12%</f>
        <v>99.6</v>
      </c>
      <c r="U22" s="14">
        <f t="shared" si="22"/>
        <v>91.3</v>
      </c>
      <c r="V22" s="28">
        <f t="shared" si="23"/>
        <v>74.7</v>
      </c>
      <c r="W22" s="88">
        <v>830</v>
      </c>
      <c r="X22" s="19"/>
      <c r="Y22" s="19"/>
      <c r="Z22" s="19"/>
      <c r="AA22" s="19"/>
      <c r="AB22" s="19"/>
      <c r="AC22" s="19"/>
      <c r="AD22" s="64">
        <f t="shared" si="24"/>
        <v>83</v>
      </c>
      <c r="AE22" s="64">
        <f t="shared" si="25"/>
        <v>83</v>
      </c>
      <c r="AF22" s="64">
        <f t="shared" si="26"/>
        <v>116.20000000000002</v>
      </c>
      <c r="AG22" s="64">
        <f t="shared" si="27"/>
        <v>91.3</v>
      </c>
      <c r="AH22" s="64">
        <f t="shared" si="28"/>
        <v>83</v>
      </c>
      <c r="AI22" s="64">
        <v>830</v>
      </c>
    </row>
    <row r="23" spans="1:39" x14ac:dyDescent="0.25">
      <c r="A23" s="12">
        <v>23</v>
      </c>
      <c r="B23" s="146"/>
      <c r="C23" s="84">
        <v>15</v>
      </c>
      <c r="D23" s="84" t="s">
        <v>36</v>
      </c>
      <c r="E23" s="84">
        <v>10</v>
      </c>
      <c r="F23" s="92" t="str">
        <f>156/12&amp;"-"&amp;168/12&amp;"yr  "</f>
        <v xml:space="preserve">13-14yr  </v>
      </c>
      <c r="G23" s="92" t="str">
        <f>(156/12)-3&amp;"-"&amp;(168/12)-3&amp;"yr  "</f>
        <v xml:space="preserve">10-11yr  </v>
      </c>
      <c r="H23" s="84">
        <v>20</v>
      </c>
      <c r="I23" s="85">
        <v>1.67</v>
      </c>
      <c r="J23" s="86">
        <v>49.17</v>
      </c>
      <c r="K23" s="87">
        <f t="shared" si="18"/>
        <v>56.339999999999996</v>
      </c>
      <c r="L23" s="14">
        <f t="shared" si="19"/>
        <v>65.73</v>
      </c>
      <c r="M23" s="14">
        <f>AI23*7%</f>
        <v>65.73</v>
      </c>
      <c r="N23" s="14">
        <f>AI23*9%</f>
        <v>84.509999999999991</v>
      </c>
      <c r="O23" s="14">
        <f>AI23*8%</f>
        <v>75.12</v>
      </c>
      <c r="P23" s="28">
        <f>AI23*7%</f>
        <v>65.73</v>
      </c>
      <c r="Q23" s="87">
        <f>W23*7%</f>
        <v>65.73</v>
      </c>
      <c r="R23" s="14">
        <f t="shared" si="20"/>
        <v>75.12</v>
      </c>
      <c r="S23" s="14">
        <f t="shared" si="21"/>
        <v>84.509999999999991</v>
      </c>
      <c r="T23" s="14">
        <f>W23*12%</f>
        <v>112.67999999999999</v>
      </c>
      <c r="U23" s="14">
        <f t="shared" si="22"/>
        <v>103.29</v>
      </c>
      <c r="V23" s="28">
        <f t="shared" si="23"/>
        <v>84.509999999999991</v>
      </c>
      <c r="W23" s="88">
        <v>939</v>
      </c>
      <c r="X23" s="19"/>
      <c r="Y23" s="19"/>
      <c r="Z23" s="19"/>
      <c r="AA23" s="19"/>
      <c r="AB23" s="19"/>
      <c r="AC23" s="19"/>
      <c r="AD23" s="64">
        <f t="shared" si="24"/>
        <v>93.9</v>
      </c>
      <c r="AE23" s="64">
        <f t="shared" si="25"/>
        <v>93.9</v>
      </c>
      <c r="AF23" s="64">
        <f t="shared" si="26"/>
        <v>131.46</v>
      </c>
      <c r="AG23" s="64">
        <f t="shared" si="27"/>
        <v>103.29</v>
      </c>
      <c r="AH23" s="64">
        <f t="shared" si="28"/>
        <v>93.9</v>
      </c>
      <c r="AI23" s="64">
        <v>939</v>
      </c>
    </row>
    <row r="24" spans="1:39" x14ac:dyDescent="0.25">
      <c r="A24" s="12">
        <v>24</v>
      </c>
      <c r="B24" s="146"/>
      <c r="C24" s="84">
        <v>16</v>
      </c>
      <c r="D24" s="84" t="s">
        <v>36</v>
      </c>
      <c r="E24" s="84">
        <v>9.5</v>
      </c>
      <c r="F24" s="92" t="str">
        <f>156/12&amp;"-"&amp;168/12&amp;"yr  "</f>
        <v xml:space="preserve">13-14yr  </v>
      </c>
      <c r="G24" s="92" t="str">
        <f>(156/12)-3&amp;"-"&amp;(168/12)-3&amp;"yr  "</f>
        <v xml:space="preserve">10-11yr  </v>
      </c>
      <c r="H24" s="84">
        <v>20</v>
      </c>
      <c r="I24" s="85">
        <v>1.67</v>
      </c>
      <c r="J24" s="86">
        <v>52.61</v>
      </c>
      <c r="K24" s="87">
        <f t="shared" si="18"/>
        <v>60.48</v>
      </c>
      <c r="L24" s="14">
        <f t="shared" si="19"/>
        <v>70.56</v>
      </c>
      <c r="M24" s="14">
        <f>AI24*7%-1</f>
        <v>69.56</v>
      </c>
      <c r="N24" s="14">
        <f>AI24*9%-1</f>
        <v>89.72</v>
      </c>
      <c r="O24" s="14">
        <f>AI24*8%-1</f>
        <v>79.64</v>
      </c>
      <c r="P24" s="28">
        <f>AI24*7%-1</f>
        <v>69.56</v>
      </c>
      <c r="Q24" s="87">
        <f>W24*7%-1</f>
        <v>69.56</v>
      </c>
      <c r="R24" s="14">
        <f t="shared" si="20"/>
        <v>80.64</v>
      </c>
      <c r="S24" s="14">
        <f t="shared" si="21"/>
        <v>90.72</v>
      </c>
      <c r="T24" s="14">
        <f>W24*12%+1</f>
        <v>121.96</v>
      </c>
      <c r="U24" s="14">
        <f t="shared" si="22"/>
        <v>110.88</v>
      </c>
      <c r="V24" s="28">
        <f t="shared" si="23"/>
        <v>90.72</v>
      </c>
      <c r="W24" s="88">
        <v>1008</v>
      </c>
      <c r="X24" s="19"/>
      <c r="Y24" s="19"/>
      <c r="Z24" s="19"/>
      <c r="AA24" s="19"/>
      <c r="AB24" s="19"/>
      <c r="AC24" s="19"/>
      <c r="AD24" s="64">
        <f t="shared" si="24"/>
        <v>100.80000000000001</v>
      </c>
      <c r="AE24" s="64">
        <f t="shared" si="25"/>
        <v>100.80000000000001</v>
      </c>
      <c r="AF24" s="64">
        <f>AI24*14%+1</f>
        <v>142.12</v>
      </c>
      <c r="AG24" s="64">
        <f t="shared" si="27"/>
        <v>110.88</v>
      </c>
      <c r="AH24" s="64">
        <f t="shared" si="28"/>
        <v>100.80000000000001</v>
      </c>
      <c r="AI24" s="64">
        <v>1008</v>
      </c>
    </row>
    <row r="25" spans="1:39" ht="30" x14ac:dyDescent="0.25">
      <c r="A25" s="12">
        <v>25</v>
      </c>
      <c r="B25" s="146"/>
      <c r="C25" s="84">
        <v>17</v>
      </c>
      <c r="D25" s="84" t="s">
        <v>35</v>
      </c>
      <c r="E25" s="84">
        <v>9.5</v>
      </c>
      <c r="F25" s="121" t="str">
        <f>INT(150/12)&amp;"yr  "&amp;MOD(150,12)&amp;"m"&amp;"-"&amp;INT(162/12)&amp;"yr  "&amp;MOD(162,12)&amp;"m"</f>
        <v>12yr  6m-13yr  6m</v>
      </c>
      <c r="G25" s="121" t="str">
        <f>INT(150/12)-3&amp;"yr  "&amp;MOD(150,12)&amp;"m"&amp;"-"&amp;INT(162/12)-3&amp;"yr  "&amp;MOD(162,12)&amp;"m"</f>
        <v>9yr  6m-10yr  6m</v>
      </c>
      <c r="H25" s="84">
        <v>22</v>
      </c>
      <c r="I25" s="85">
        <v>1.83</v>
      </c>
      <c r="J25" s="86">
        <v>45.58</v>
      </c>
      <c r="K25" s="87">
        <f t="shared" si="18"/>
        <v>57.419999999999995</v>
      </c>
      <c r="L25" s="14">
        <f t="shared" si="19"/>
        <v>66.990000000000009</v>
      </c>
      <c r="M25" s="14">
        <f>AI25*7%</f>
        <v>66.990000000000009</v>
      </c>
      <c r="N25" s="14">
        <f>AI25*9%</f>
        <v>86.13</v>
      </c>
      <c r="O25" s="14">
        <f>AI25*8%</f>
        <v>76.56</v>
      </c>
      <c r="P25" s="28">
        <f>AI25*7%</f>
        <v>66.990000000000009</v>
      </c>
      <c r="Q25" s="87">
        <f>W25*7%-1</f>
        <v>65.990000000000009</v>
      </c>
      <c r="R25" s="14">
        <f t="shared" si="20"/>
        <v>76.56</v>
      </c>
      <c r="S25" s="14">
        <f t="shared" si="21"/>
        <v>86.13</v>
      </c>
      <c r="T25" s="14">
        <f>W25*12%</f>
        <v>114.83999999999999</v>
      </c>
      <c r="U25" s="14">
        <f t="shared" si="22"/>
        <v>105.27</v>
      </c>
      <c r="V25" s="28">
        <f t="shared" si="23"/>
        <v>86.13</v>
      </c>
      <c r="W25" s="88">
        <v>957</v>
      </c>
      <c r="X25" s="19"/>
      <c r="Y25" s="19"/>
      <c r="Z25" s="19"/>
      <c r="AA25" s="19"/>
      <c r="AB25" s="19"/>
      <c r="AC25" s="19"/>
      <c r="AD25" s="64">
        <f t="shared" si="24"/>
        <v>95.7</v>
      </c>
      <c r="AE25" s="64">
        <f t="shared" si="25"/>
        <v>95.7</v>
      </c>
      <c r="AF25" s="64">
        <f t="shared" si="26"/>
        <v>133.98000000000002</v>
      </c>
      <c r="AG25" s="64">
        <f t="shared" si="27"/>
        <v>105.27</v>
      </c>
      <c r="AH25" s="64">
        <f t="shared" si="28"/>
        <v>95.7</v>
      </c>
      <c r="AI25" s="64">
        <v>957</v>
      </c>
    </row>
    <row r="26" spans="1:39" ht="30.75" thickBot="1" x14ac:dyDescent="0.3">
      <c r="A26" s="12">
        <v>26</v>
      </c>
      <c r="B26" s="147"/>
      <c r="C26" s="84">
        <v>18</v>
      </c>
      <c r="D26" s="84" t="s">
        <v>35</v>
      </c>
      <c r="E26" s="84">
        <v>9.5</v>
      </c>
      <c r="F26" s="121" t="str">
        <f>INT(150/12)&amp;"yr  "&amp;MOD(150,12)&amp;"m"&amp;"-"&amp;INT(162/12)&amp;"yr  "&amp;MOD(162,12)&amp;"m"</f>
        <v>12yr  6m-13yr  6m</v>
      </c>
      <c r="G26" s="121" t="str">
        <f>INT(150/12)-3&amp;"yr  "&amp;MOD(150,12)&amp;"m"&amp;"-"&amp;INT(162/12)-3&amp;"yr  "&amp;MOD(162,12)&amp;"m"</f>
        <v>9yr  6m-10yr  6m</v>
      </c>
      <c r="H26" s="84">
        <v>22</v>
      </c>
      <c r="I26" s="85">
        <v>1.83</v>
      </c>
      <c r="J26" s="86">
        <v>40.799999999999997</v>
      </c>
      <c r="K26" s="89">
        <f t="shared" si="18"/>
        <v>51.36</v>
      </c>
      <c r="L26" s="40">
        <f t="shared" si="19"/>
        <v>59.920000000000009</v>
      </c>
      <c r="M26" s="40">
        <f>AI26*7%</f>
        <v>59.920000000000009</v>
      </c>
      <c r="N26" s="40">
        <f>AI26*9%</f>
        <v>77.039999999999992</v>
      </c>
      <c r="O26" s="40">
        <f>AI26*8%</f>
        <v>68.48</v>
      </c>
      <c r="P26" s="31">
        <f>AI26*7%</f>
        <v>59.920000000000009</v>
      </c>
      <c r="Q26" s="89">
        <f>W26*7%</f>
        <v>59.920000000000009</v>
      </c>
      <c r="R26" s="40">
        <f t="shared" si="20"/>
        <v>68.48</v>
      </c>
      <c r="S26" s="40">
        <f t="shared" si="21"/>
        <v>77.039999999999992</v>
      </c>
      <c r="T26" s="40">
        <f>W26*12%-1</f>
        <v>101.72</v>
      </c>
      <c r="U26" s="40">
        <f t="shared" si="22"/>
        <v>94.16</v>
      </c>
      <c r="V26" s="31">
        <f t="shared" si="23"/>
        <v>77.039999999999992</v>
      </c>
      <c r="W26" s="88">
        <v>856</v>
      </c>
      <c r="X26" s="19"/>
      <c r="Y26" s="19"/>
      <c r="Z26" s="19"/>
      <c r="AA26" s="19"/>
      <c r="AB26" s="19"/>
      <c r="AC26" s="19"/>
      <c r="AD26" s="64">
        <f t="shared" si="24"/>
        <v>85.600000000000009</v>
      </c>
      <c r="AE26" s="64">
        <f t="shared" si="25"/>
        <v>85.600000000000009</v>
      </c>
      <c r="AF26" s="64">
        <f>AI26*14%-1</f>
        <v>118.84000000000002</v>
      </c>
      <c r="AG26" s="64">
        <f t="shared" si="27"/>
        <v>94.16</v>
      </c>
      <c r="AH26" s="64">
        <f t="shared" si="28"/>
        <v>85.600000000000009</v>
      </c>
      <c r="AI26" s="64">
        <v>856</v>
      </c>
    </row>
    <row r="27" spans="1:39" s="1" customFormat="1" x14ac:dyDescent="0.25">
      <c r="A27" s="12">
        <v>27</v>
      </c>
      <c r="B27" s="77"/>
      <c r="C27" s="77"/>
      <c r="D27" s="77"/>
      <c r="E27" s="77"/>
      <c r="F27" s="122"/>
      <c r="G27" s="122"/>
      <c r="H27" s="77"/>
      <c r="I27" s="90" t="s">
        <v>42</v>
      </c>
      <c r="J27" s="91">
        <f>SUBTOTAL(9,J20:J26)</f>
        <v>309.66000000000003</v>
      </c>
      <c r="K27" s="16">
        <f>SUBTOTAL(9,K20:K26)+1</f>
        <v>373.3</v>
      </c>
      <c r="L27" s="16">
        <f>SUBTOTAL(9,L20:L26)</f>
        <v>434.35000000000008</v>
      </c>
      <c r="M27" s="16">
        <f>SUBTOTAL(9,M20:M26)+1</f>
        <v>434.35000000000008</v>
      </c>
      <c r="N27" s="16">
        <f>SUBTOTAL(9,N20:N26)+1</f>
        <v>558.44999999999993</v>
      </c>
      <c r="O27" s="16">
        <f>SUBTOTAL(9,O20:O26)+1</f>
        <v>496.40000000000003</v>
      </c>
      <c r="P27" s="16">
        <f>SUBTOTAL(9,P20:P26)+1</f>
        <v>434.35000000000008</v>
      </c>
      <c r="Q27" s="16">
        <f>SUBTOTAL(9,Q20:Q26)</f>
        <v>434.35000000000008</v>
      </c>
      <c r="R27" s="16">
        <f>SUBTOTAL(9,R20:R26)</f>
        <v>496.40000000000003</v>
      </c>
      <c r="S27" s="16">
        <f>SUBTOTAL(9,S20:S26)</f>
        <v>558.44999999999993</v>
      </c>
      <c r="T27" s="16">
        <f>SUBTOTAL(9,T20:T26)-1</f>
        <v>743.6</v>
      </c>
      <c r="U27" s="16">
        <f>SUBTOTAL(9,U20:U26)-1</f>
        <v>681.55</v>
      </c>
      <c r="V27" s="16">
        <f>SUBTOTAL(9,V20:V26)</f>
        <v>558.44999999999993</v>
      </c>
      <c r="W27" s="16">
        <f>SUBTOTAL(9,W20:W26)-1</f>
        <v>6204</v>
      </c>
      <c r="X27" s="20"/>
      <c r="Y27" s="20"/>
      <c r="Z27" s="20"/>
      <c r="AA27" s="20"/>
      <c r="AB27" s="20"/>
      <c r="AC27" s="20"/>
      <c r="AD27" s="65">
        <f>SUBTOTAL(9,AD20:AD26)</f>
        <v>620.5</v>
      </c>
      <c r="AE27" s="65">
        <f>SUBTOTAL(9,AE20:AE26)</f>
        <v>620.5</v>
      </c>
      <c r="AF27" s="65">
        <f>SUBTOTAL(9,AF20:AF26)-1</f>
        <v>867.70000000000016</v>
      </c>
      <c r="AG27" s="65">
        <f>SUBTOTAL(9,AG20:AG26)-1</f>
        <v>681.55</v>
      </c>
      <c r="AH27" s="65">
        <f>SUBTOTAL(9,AH20:AH26)</f>
        <v>620.5</v>
      </c>
      <c r="AI27" s="65">
        <f>SUBTOTAL(9,AI20:AI26)-1</f>
        <v>6204</v>
      </c>
      <c r="AJ27" s="66"/>
      <c r="AK27" s="66"/>
      <c r="AL27" s="66"/>
      <c r="AM27" s="66"/>
    </row>
    <row r="28" spans="1:39" ht="15.75" thickBot="1" x14ac:dyDescent="0.3">
      <c r="A28" s="12">
        <v>28</v>
      </c>
      <c r="B28" s="77"/>
      <c r="C28" s="12"/>
      <c r="D28" s="12"/>
      <c r="E28" s="12"/>
      <c r="F28" s="119"/>
      <c r="G28" s="119"/>
      <c r="H28" s="12"/>
      <c r="I28" s="78"/>
      <c r="J28" s="78"/>
      <c r="K28" s="12"/>
      <c r="L28" s="12"/>
      <c r="M28" s="12"/>
      <c r="N28" s="12"/>
      <c r="O28" s="12"/>
      <c r="Q28" s="12"/>
      <c r="R28" s="12"/>
      <c r="S28" s="12"/>
      <c r="T28" s="12"/>
      <c r="U28" s="12"/>
      <c r="V28" s="12"/>
      <c r="W28" s="12"/>
      <c r="X28" s="21"/>
      <c r="Y28" s="21"/>
      <c r="Z28" s="21"/>
      <c r="AA28" s="21"/>
      <c r="AB28" s="21"/>
      <c r="AC28" s="21"/>
    </row>
    <row r="29" spans="1:39" s="5" customFormat="1" ht="30.75" customHeight="1" x14ac:dyDescent="0.25">
      <c r="A29" s="12">
        <v>29</v>
      </c>
      <c r="B29" s="79" t="s">
        <v>1</v>
      </c>
      <c r="C29" s="79" t="s">
        <v>2</v>
      </c>
      <c r="D29" s="79" t="s">
        <v>3</v>
      </c>
      <c r="E29" s="79" t="s">
        <v>4</v>
      </c>
      <c r="F29" s="127" t="s">
        <v>66</v>
      </c>
      <c r="G29" s="127" t="s">
        <v>65</v>
      </c>
      <c r="H29" s="79" t="s">
        <v>5</v>
      </c>
      <c r="I29" s="80" t="s">
        <v>6</v>
      </c>
      <c r="J29" s="81" t="s">
        <v>7</v>
      </c>
      <c r="K29" s="82" t="s">
        <v>53</v>
      </c>
      <c r="L29" s="39" t="s">
        <v>54</v>
      </c>
      <c r="M29" s="39" t="s">
        <v>10</v>
      </c>
      <c r="N29" s="39" t="s">
        <v>55</v>
      </c>
      <c r="O29" s="39" t="s">
        <v>56</v>
      </c>
      <c r="P29" s="26" t="s">
        <v>13</v>
      </c>
      <c r="Q29" s="82" t="s">
        <v>57</v>
      </c>
      <c r="R29" s="39" t="s">
        <v>60</v>
      </c>
      <c r="S29" s="39" t="s">
        <v>58</v>
      </c>
      <c r="T29" s="39" t="s">
        <v>61</v>
      </c>
      <c r="U29" s="39" t="s">
        <v>49</v>
      </c>
      <c r="V29" s="26" t="s">
        <v>59</v>
      </c>
      <c r="W29" s="83" t="s">
        <v>20</v>
      </c>
      <c r="X29" s="18"/>
      <c r="Y29" s="18"/>
      <c r="Z29" s="18"/>
      <c r="AA29" s="18"/>
      <c r="AB29" s="18"/>
      <c r="AC29" s="18"/>
      <c r="AD29" s="63" t="s">
        <v>15</v>
      </c>
      <c r="AE29" s="63" t="s">
        <v>16</v>
      </c>
      <c r="AF29" s="63" t="s">
        <v>17</v>
      </c>
      <c r="AG29" s="63" t="s">
        <v>18</v>
      </c>
      <c r="AH29" s="63" t="s">
        <v>19</v>
      </c>
      <c r="AI29" s="63" t="s">
        <v>20</v>
      </c>
      <c r="AJ29" s="63"/>
      <c r="AK29" s="63"/>
      <c r="AL29" s="63"/>
      <c r="AM29" s="63"/>
    </row>
    <row r="30" spans="1:39" ht="30" x14ac:dyDescent="0.25">
      <c r="A30" s="12">
        <v>30</v>
      </c>
      <c r="B30" s="145" t="s">
        <v>23</v>
      </c>
      <c r="C30" s="84">
        <v>19</v>
      </c>
      <c r="D30" s="84" t="s">
        <v>35</v>
      </c>
      <c r="E30" s="84">
        <v>9.5</v>
      </c>
      <c r="F30" s="121" t="str">
        <f>INT(150/12)&amp;"yr  "&amp;MOD(150,12)&amp;"m"&amp;"-"&amp;INT(162/12)&amp;"yr  "&amp;MOD(162,12)&amp;"m"</f>
        <v>12yr  6m-13yr  6m</v>
      </c>
      <c r="G30" s="121" t="str">
        <f>INT(150/12)-3&amp;"yr  "&amp;MOD(150,12)&amp;"m"&amp;"-"&amp;INT(162/12)-3&amp;"yr  "&amp;MOD(162,12)&amp;"m"</f>
        <v>9yr  6m-10yr  6m</v>
      </c>
      <c r="H30" s="84">
        <v>21</v>
      </c>
      <c r="I30" s="85">
        <v>1.75</v>
      </c>
      <c r="J30" s="86">
        <v>50.6</v>
      </c>
      <c r="K30" s="87">
        <f>AI30*6%</f>
        <v>60.48</v>
      </c>
      <c r="L30" s="14">
        <f>AI30*7%+1</f>
        <v>71.56</v>
      </c>
      <c r="M30" s="14">
        <f>AI30*7%-1</f>
        <v>69.56</v>
      </c>
      <c r="N30" s="14">
        <f>AI30*9%-1</f>
        <v>89.72</v>
      </c>
      <c r="O30" s="14">
        <f>AI30*8%-1</f>
        <v>79.64</v>
      </c>
      <c r="P30" s="28">
        <f>AI30*7%-1</f>
        <v>69.56</v>
      </c>
      <c r="Q30" s="87">
        <f>W30*7%</f>
        <v>70.56</v>
      </c>
      <c r="R30" s="14">
        <f>W30*8%</f>
        <v>80.64</v>
      </c>
      <c r="S30" s="14">
        <f>W30*9%</f>
        <v>90.72</v>
      </c>
      <c r="T30" s="14">
        <f>W30*12%+1</f>
        <v>121.96</v>
      </c>
      <c r="U30" s="14">
        <f>W30*11%</f>
        <v>110.88</v>
      </c>
      <c r="V30" s="28">
        <f>W30*9%</f>
        <v>90.72</v>
      </c>
      <c r="W30" s="88">
        <v>1008</v>
      </c>
      <c r="X30" s="19"/>
      <c r="Y30" s="19"/>
      <c r="Z30" s="19"/>
      <c r="AA30" s="19"/>
      <c r="AB30" s="19"/>
      <c r="AC30" s="19"/>
      <c r="AD30" s="64">
        <f>AI30*10%</f>
        <v>100.80000000000001</v>
      </c>
      <c r="AE30" s="64">
        <f>AI30*10%</f>
        <v>100.80000000000001</v>
      </c>
      <c r="AF30" s="64">
        <f>AI30*14%+1</f>
        <v>142.12</v>
      </c>
      <c r="AG30" s="64">
        <f>AI30*11%</f>
        <v>110.88</v>
      </c>
      <c r="AH30" s="64">
        <f>AI30*10%</f>
        <v>100.80000000000001</v>
      </c>
      <c r="AI30" s="64">
        <v>1008</v>
      </c>
    </row>
    <row r="31" spans="1:39" ht="30" x14ac:dyDescent="0.25">
      <c r="A31" s="12">
        <v>31</v>
      </c>
      <c r="B31" s="146"/>
      <c r="C31" s="84">
        <v>20</v>
      </c>
      <c r="D31" s="84" t="s">
        <v>37</v>
      </c>
      <c r="E31" s="84">
        <v>9</v>
      </c>
      <c r="F31" s="121" t="str">
        <f>INT(144/12)&amp;"yr  "&amp;MOD(150,12)&amp;"m"&amp;"-"&amp;INT(156/12)&amp;"yr  "&amp;MOD(162,12)&amp;"m"</f>
        <v>12yr  6m-13yr  6m</v>
      </c>
      <c r="G31" s="121" t="str">
        <f>INT(144/12)-3&amp;"yr  "&amp;MOD(150,12)&amp;"m"&amp;"-"&amp;INT(156/12)-3&amp;"yr  "&amp;MOD(162,12)&amp;"m"</f>
        <v>9yr  6m-10yr  6m</v>
      </c>
      <c r="H31" s="84">
        <v>21</v>
      </c>
      <c r="I31" s="85">
        <v>1.75</v>
      </c>
      <c r="J31" s="86">
        <v>61.98</v>
      </c>
      <c r="K31" s="87">
        <f>AI31*6%</f>
        <v>74.16</v>
      </c>
      <c r="L31" s="14">
        <f>AI31*7%</f>
        <v>86.52000000000001</v>
      </c>
      <c r="M31" s="14">
        <f>AI31*7%-1</f>
        <v>85.52000000000001</v>
      </c>
      <c r="N31" s="14">
        <f>AI31*9%-1</f>
        <v>110.24</v>
      </c>
      <c r="O31" s="14">
        <f>AI31*8%-1</f>
        <v>97.88</v>
      </c>
      <c r="P31" s="28">
        <f>AI31*7%-1</f>
        <v>85.52000000000001</v>
      </c>
      <c r="Q31" s="87">
        <f>W31*7%</f>
        <v>86.52000000000001</v>
      </c>
      <c r="R31" s="14">
        <f>W31*8%</f>
        <v>98.88</v>
      </c>
      <c r="S31" s="14">
        <f>W31*9%</f>
        <v>111.24</v>
      </c>
      <c r="T31" s="14">
        <f>W31*12%+1</f>
        <v>149.32</v>
      </c>
      <c r="U31" s="14">
        <f>W31*11%</f>
        <v>135.96</v>
      </c>
      <c r="V31" s="28">
        <f>W31*9%</f>
        <v>111.24</v>
      </c>
      <c r="W31" s="88">
        <v>1236</v>
      </c>
      <c r="X31" s="19"/>
      <c r="Y31" s="19"/>
      <c r="Z31" s="19"/>
      <c r="AA31" s="19"/>
      <c r="AB31" s="19"/>
      <c r="AC31" s="19"/>
      <c r="AD31" s="64">
        <f t="shared" ref="AD31:AD34" si="29">AI31*10%</f>
        <v>123.60000000000001</v>
      </c>
      <c r="AE31" s="64">
        <f t="shared" ref="AE31:AE34" si="30">AI31*10%</f>
        <v>123.60000000000001</v>
      </c>
      <c r="AF31" s="64">
        <f>AI31*14%+1</f>
        <v>174.04000000000002</v>
      </c>
      <c r="AG31" s="64">
        <f t="shared" ref="AG31:AG33" si="31">AI31*11%</f>
        <v>135.96</v>
      </c>
      <c r="AH31" s="64">
        <f t="shared" ref="AH31:AH34" si="32">AI31*10%</f>
        <v>123.60000000000001</v>
      </c>
      <c r="AI31" s="64">
        <v>1236</v>
      </c>
    </row>
    <row r="32" spans="1:39" ht="30" x14ac:dyDescent="0.25">
      <c r="A32" s="12">
        <v>32</v>
      </c>
      <c r="B32" s="146"/>
      <c r="C32" s="84">
        <v>21</v>
      </c>
      <c r="D32" s="84" t="s">
        <v>37</v>
      </c>
      <c r="E32" s="84">
        <v>9</v>
      </c>
      <c r="F32" s="121" t="str">
        <f>INT(144/12)&amp;"yr  "&amp;MOD(150,12)&amp;"m"&amp;"-"&amp;INT(156/12)&amp;"yr  "&amp;MOD(162,12)&amp;"m"</f>
        <v>12yr  6m-13yr  6m</v>
      </c>
      <c r="G32" s="121" t="str">
        <f>INT(144/12)-3&amp;"yr  "&amp;MOD(150,12)&amp;"m"&amp;"-"&amp;INT(156/12)-3&amp;"yr  "&amp;MOD(162,12)&amp;"m"</f>
        <v>9yr  6m-10yr  6m</v>
      </c>
      <c r="H32" s="84">
        <v>23</v>
      </c>
      <c r="I32" s="85">
        <v>1.92</v>
      </c>
      <c r="J32" s="86">
        <v>71.59</v>
      </c>
      <c r="K32" s="87">
        <f>AI32*6%</f>
        <v>94.56</v>
      </c>
      <c r="L32" s="14">
        <f>AI32*7%</f>
        <v>110.32000000000001</v>
      </c>
      <c r="M32" s="14">
        <f>AI32*7%</f>
        <v>110.32000000000001</v>
      </c>
      <c r="N32" s="14">
        <f>AI32*9%</f>
        <v>141.84</v>
      </c>
      <c r="O32" s="14">
        <f>AI32*8%</f>
        <v>126.08</v>
      </c>
      <c r="P32" s="28">
        <f>AI32*7%</f>
        <v>110.32000000000001</v>
      </c>
      <c r="Q32" s="87">
        <f>W32*7%</f>
        <v>110.32000000000001</v>
      </c>
      <c r="R32" s="14">
        <f>W32*8%</f>
        <v>126.08</v>
      </c>
      <c r="S32" s="14">
        <f>W32*9%</f>
        <v>141.84</v>
      </c>
      <c r="T32" s="14">
        <f>W32*12%-1</f>
        <v>188.12</v>
      </c>
      <c r="U32" s="14">
        <f>W32*11%+1</f>
        <v>174.36</v>
      </c>
      <c r="V32" s="28">
        <f>W32*9%</f>
        <v>141.84</v>
      </c>
      <c r="W32" s="88">
        <v>1576</v>
      </c>
      <c r="X32" s="19"/>
      <c r="Y32" s="19"/>
      <c r="Z32" s="19"/>
      <c r="AA32" s="19"/>
      <c r="AB32" s="19"/>
      <c r="AC32" s="19"/>
      <c r="AD32" s="64">
        <f t="shared" si="29"/>
        <v>157.60000000000002</v>
      </c>
      <c r="AE32" s="64">
        <f t="shared" si="30"/>
        <v>157.60000000000002</v>
      </c>
      <c r="AF32" s="64">
        <f>AI32*14%-1</f>
        <v>219.64000000000001</v>
      </c>
      <c r="AG32" s="64">
        <f>AI32*11%+1</f>
        <v>174.36</v>
      </c>
      <c r="AH32" s="64">
        <f t="shared" si="32"/>
        <v>157.60000000000002</v>
      </c>
      <c r="AI32" s="64">
        <v>1576</v>
      </c>
    </row>
    <row r="33" spans="1:39" ht="30" x14ac:dyDescent="0.25">
      <c r="A33" s="12">
        <v>33</v>
      </c>
      <c r="B33" s="146"/>
      <c r="C33" s="84">
        <v>22</v>
      </c>
      <c r="D33" s="84" t="s">
        <v>37</v>
      </c>
      <c r="E33" s="84">
        <v>9</v>
      </c>
      <c r="F33" s="121" t="str">
        <f>INT(144/12)&amp;"yr  "&amp;MOD(150,12)&amp;"m"&amp;"-"&amp;INT(156/12)&amp;"yr  "&amp;MOD(162,12)&amp;"m"</f>
        <v>12yr  6m-13yr  6m</v>
      </c>
      <c r="G33" s="121" t="str">
        <f>INT(144/12)-3&amp;"yr  "&amp;MOD(150,12)&amp;"m"&amp;"-"&amp;INT(156/12)-3&amp;"yr  "&amp;MOD(162,12)&amp;"m"</f>
        <v>9yr  6m-10yr  6m</v>
      </c>
      <c r="H33" s="84">
        <v>21</v>
      </c>
      <c r="I33" s="85">
        <v>1.75</v>
      </c>
      <c r="J33" s="86">
        <v>52.08</v>
      </c>
      <c r="K33" s="87">
        <f>AI33*6%</f>
        <v>62.76</v>
      </c>
      <c r="L33" s="14">
        <f>AI33*7%</f>
        <v>73.220000000000013</v>
      </c>
      <c r="M33" s="14">
        <f>AI33*7%</f>
        <v>73.220000000000013</v>
      </c>
      <c r="N33" s="14">
        <f>AI33*9%</f>
        <v>94.14</v>
      </c>
      <c r="O33" s="14">
        <f>AI33*8%</f>
        <v>83.68</v>
      </c>
      <c r="P33" s="28">
        <f>AI33*7%</f>
        <v>73.220000000000013</v>
      </c>
      <c r="Q33" s="87">
        <f>W33*7%</f>
        <v>73.220000000000013</v>
      </c>
      <c r="R33" s="14">
        <f>W33*8%</f>
        <v>83.68</v>
      </c>
      <c r="S33" s="14">
        <f>W33*9%</f>
        <v>94.14</v>
      </c>
      <c r="T33" s="14">
        <f>W33*12%</f>
        <v>125.52</v>
      </c>
      <c r="U33" s="14">
        <f>W33*11%</f>
        <v>115.06</v>
      </c>
      <c r="V33" s="28">
        <f>W33*9%</f>
        <v>94.14</v>
      </c>
      <c r="W33" s="88">
        <v>1046</v>
      </c>
      <c r="X33" s="19"/>
      <c r="Y33" s="19"/>
      <c r="Z33" s="19"/>
      <c r="AA33" s="19"/>
      <c r="AB33" s="19"/>
      <c r="AC33" s="19"/>
      <c r="AD33" s="64">
        <f t="shared" si="29"/>
        <v>104.60000000000001</v>
      </c>
      <c r="AE33" s="64">
        <f t="shared" si="30"/>
        <v>104.60000000000001</v>
      </c>
      <c r="AF33" s="64">
        <f t="shared" ref="AF33:AF34" si="33">AI33*14%</f>
        <v>146.44000000000003</v>
      </c>
      <c r="AG33" s="64">
        <f t="shared" si="31"/>
        <v>115.06</v>
      </c>
      <c r="AH33" s="64">
        <f t="shared" si="32"/>
        <v>104.60000000000001</v>
      </c>
      <c r="AI33" s="64">
        <v>1046</v>
      </c>
    </row>
    <row r="34" spans="1:39" ht="30.75" thickBot="1" x14ac:dyDescent="0.3">
      <c r="A34" s="12">
        <v>34</v>
      </c>
      <c r="B34" s="147"/>
      <c r="C34" s="84">
        <v>24</v>
      </c>
      <c r="D34" s="84" t="s">
        <v>37</v>
      </c>
      <c r="E34" s="84">
        <v>9</v>
      </c>
      <c r="F34" s="121" t="str">
        <f>INT(144/12)&amp;"yr  "&amp;MOD(150,12)&amp;"m"&amp;"-"&amp;INT(156/12)&amp;"yr  "&amp;MOD(162,12)&amp;"m"</f>
        <v>12yr  6m-13yr  6m</v>
      </c>
      <c r="G34" s="121" t="str">
        <f>INT(144/12)-3&amp;"yr  "&amp;MOD(150,12)&amp;"m"&amp;"-"&amp;INT(156/12)-3&amp;"yr  "&amp;MOD(162,12)&amp;"m"</f>
        <v>9yr  6m-10yr  6m</v>
      </c>
      <c r="H34" s="84">
        <v>18</v>
      </c>
      <c r="I34" s="85">
        <v>1.5</v>
      </c>
      <c r="J34" s="86">
        <v>44.67</v>
      </c>
      <c r="K34" s="89">
        <f>AI34*6%</f>
        <v>45.66</v>
      </c>
      <c r="L34" s="40">
        <f>AI34*7%</f>
        <v>53.27</v>
      </c>
      <c r="M34" s="40">
        <f>AI34*7%</f>
        <v>53.27</v>
      </c>
      <c r="N34" s="40">
        <f>AI34*9%</f>
        <v>68.489999999999995</v>
      </c>
      <c r="O34" s="40">
        <f>AI34*8%</f>
        <v>60.88</v>
      </c>
      <c r="P34" s="31">
        <f>AI34*7%</f>
        <v>53.27</v>
      </c>
      <c r="Q34" s="89">
        <f>W34*7%</f>
        <v>53.27</v>
      </c>
      <c r="R34" s="40">
        <f>W34*8%</f>
        <v>60.88</v>
      </c>
      <c r="S34" s="40">
        <f>W34*9%</f>
        <v>68.489999999999995</v>
      </c>
      <c r="T34" s="40">
        <f>W34*12%</f>
        <v>91.32</v>
      </c>
      <c r="U34" s="40">
        <f>W34*11%+1</f>
        <v>84.71</v>
      </c>
      <c r="V34" s="31">
        <f>W34*9%</f>
        <v>68.489999999999995</v>
      </c>
      <c r="W34" s="88">
        <v>761</v>
      </c>
      <c r="X34" s="19"/>
      <c r="Y34" s="19"/>
      <c r="Z34" s="19"/>
      <c r="AA34" s="19"/>
      <c r="AB34" s="19"/>
      <c r="AC34" s="19"/>
      <c r="AD34" s="64">
        <f t="shared" si="29"/>
        <v>76.100000000000009</v>
      </c>
      <c r="AE34" s="64">
        <f t="shared" si="30"/>
        <v>76.100000000000009</v>
      </c>
      <c r="AF34" s="64">
        <f t="shared" si="33"/>
        <v>106.54</v>
      </c>
      <c r="AG34" s="64">
        <f>AI34*11%+1</f>
        <v>84.71</v>
      </c>
      <c r="AH34" s="64">
        <f t="shared" si="32"/>
        <v>76.100000000000009</v>
      </c>
      <c r="AI34" s="64">
        <v>761</v>
      </c>
    </row>
    <row r="35" spans="1:39" s="1" customFormat="1" x14ac:dyDescent="0.25">
      <c r="A35" s="12">
        <v>35</v>
      </c>
      <c r="B35" s="77"/>
      <c r="C35" s="77"/>
      <c r="D35" s="77"/>
      <c r="E35" s="77"/>
      <c r="F35" s="122"/>
      <c r="G35" s="122"/>
      <c r="H35" s="77"/>
      <c r="I35" s="90" t="s">
        <v>42</v>
      </c>
      <c r="J35" s="91">
        <f>SUBTOTAL(9,J30:J34)</f>
        <v>280.92</v>
      </c>
      <c r="K35" s="16">
        <f>SUBTOTAL(9,K30:K34)</f>
        <v>337.62</v>
      </c>
      <c r="L35" s="16">
        <f>SUBTOTAL(9,L30:L34)-1</f>
        <v>393.89000000000004</v>
      </c>
      <c r="M35" s="16">
        <f t="shared" ref="M35:AG35" si="34">SUBTOTAL(9,M30:M34)</f>
        <v>391.89000000000004</v>
      </c>
      <c r="N35" s="16">
        <f t="shared" si="34"/>
        <v>504.42999999999995</v>
      </c>
      <c r="O35" s="16">
        <f t="shared" si="34"/>
        <v>448.15999999999997</v>
      </c>
      <c r="P35" s="16">
        <f t="shared" si="34"/>
        <v>391.89000000000004</v>
      </c>
      <c r="Q35" s="16">
        <f>SUBTOTAL(9,Q30:Q34)+1</f>
        <v>394.89000000000004</v>
      </c>
      <c r="R35" s="16">
        <f>SUBTOTAL(9,R30:R34)+1</f>
        <v>451.15999999999997</v>
      </c>
      <c r="S35" s="16">
        <f>SUBTOTAL(9,S30:S34)+1</f>
        <v>507.42999999999995</v>
      </c>
      <c r="T35" s="16">
        <f t="shared" ref="T35:U35" si="35">SUBTOTAL(9,T30:T34)</f>
        <v>676.24</v>
      </c>
      <c r="U35" s="16">
        <f t="shared" si="35"/>
        <v>620.97</v>
      </c>
      <c r="V35" s="16">
        <f>SUBTOTAL(9,V30:V34)+1</f>
        <v>507.42999999999995</v>
      </c>
      <c r="W35" s="16">
        <f>SUBTOTAL(9,W30:W34)+1</f>
        <v>5628</v>
      </c>
      <c r="X35" s="20"/>
      <c r="Y35" s="20"/>
      <c r="Z35" s="20"/>
      <c r="AA35" s="20"/>
      <c r="AB35" s="20"/>
      <c r="AC35" s="20"/>
      <c r="AD35" s="65">
        <f>SUBTOTAL(9,AD30:AD34)+1</f>
        <v>563.70000000000005</v>
      </c>
      <c r="AE35" s="65">
        <f>SUBTOTAL(9,AE30:AE34)+1</f>
        <v>563.70000000000005</v>
      </c>
      <c r="AF35" s="65">
        <f t="shared" si="34"/>
        <v>788.78000000000009</v>
      </c>
      <c r="AG35" s="65">
        <f t="shared" si="34"/>
        <v>620.97</v>
      </c>
      <c r="AH35" s="65">
        <f>SUBTOTAL(9,AH30:AH34)+1</f>
        <v>563.70000000000005</v>
      </c>
      <c r="AI35" s="65">
        <f>SUBTOTAL(9,AI27:AI34)</f>
        <v>5627</v>
      </c>
      <c r="AJ35" s="62"/>
      <c r="AK35" s="66"/>
      <c r="AL35" s="66"/>
      <c r="AM35" s="66"/>
    </row>
    <row r="36" spans="1:39" ht="15.75" thickBot="1" x14ac:dyDescent="0.3">
      <c r="A36" s="12">
        <v>39</v>
      </c>
      <c r="B36" s="12"/>
      <c r="C36" s="12"/>
      <c r="D36" s="12"/>
      <c r="E36" s="12"/>
      <c r="F36" s="119"/>
      <c r="G36" s="119"/>
      <c r="H36" s="12"/>
      <c r="I36" s="78"/>
      <c r="J36" s="78"/>
      <c r="K36" s="12"/>
      <c r="L36" s="12"/>
      <c r="M36" s="12"/>
      <c r="N36" s="12"/>
      <c r="O36" s="12"/>
      <c r="Q36" s="12"/>
      <c r="R36" s="12"/>
      <c r="S36" s="12"/>
      <c r="T36" s="12"/>
      <c r="U36" s="12"/>
      <c r="V36" s="12"/>
      <c r="W36" s="12"/>
      <c r="X36" s="21"/>
      <c r="Y36" s="21"/>
      <c r="Z36" s="21"/>
      <c r="AA36" s="21"/>
      <c r="AB36" s="21"/>
      <c r="AC36" s="21"/>
    </row>
    <row r="37" spans="1:39" s="5" customFormat="1" ht="30.75" customHeight="1" x14ac:dyDescent="0.25">
      <c r="A37" s="12">
        <v>40</v>
      </c>
      <c r="B37" s="79" t="s">
        <v>1</v>
      </c>
      <c r="C37" s="79" t="s">
        <v>2</v>
      </c>
      <c r="D37" s="79" t="s">
        <v>3</v>
      </c>
      <c r="E37" s="79" t="s">
        <v>4</v>
      </c>
      <c r="F37" s="127" t="s">
        <v>66</v>
      </c>
      <c r="G37" s="127" t="s">
        <v>65</v>
      </c>
      <c r="H37" s="79" t="s">
        <v>5</v>
      </c>
      <c r="I37" s="80" t="s">
        <v>6</v>
      </c>
      <c r="J37" s="81" t="s">
        <v>7</v>
      </c>
      <c r="K37" s="82" t="s">
        <v>53</v>
      </c>
      <c r="L37" s="39" t="s">
        <v>54</v>
      </c>
      <c r="M37" s="39" t="s">
        <v>10</v>
      </c>
      <c r="N37" s="39" t="s">
        <v>55</v>
      </c>
      <c r="O37" s="39" t="s">
        <v>56</v>
      </c>
      <c r="P37" s="26" t="s">
        <v>13</v>
      </c>
      <c r="Q37" s="82" t="s">
        <v>57</v>
      </c>
      <c r="R37" s="39" t="s">
        <v>60</v>
      </c>
      <c r="S37" s="39" t="s">
        <v>58</v>
      </c>
      <c r="T37" s="39" t="s">
        <v>61</v>
      </c>
      <c r="U37" s="39" t="s">
        <v>49</v>
      </c>
      <c r="V37" s="26" t="s">
        <v>59</v>
      </c>
      <c r="W37" s="83" t="s">
        <v>20</v>
      </c>
      <c r="X37" s="18"/>
      <c r="Y37" s="18"/>
      <c r="Z37" s="18"/>
      <c r="AA37" s="18"/>
      <c r="AB37" s="18"/>
      <c r="AC37" s="18"/>
      <c r="AD37" s="63" t="s">
        <v>15</v>
      </c>
      <c r="AE37" s="63" t="s">
        <v>16</v>
      </c>
      <c r="AF37" s="63" t="s">
        <v>17</v>
      </c>
      <c r="AG37" s="63" t="s">
        <v>18</v>
      </c>
      <c r="AH37" s="63" t="s">
        <v>19</v>
      </c>
      <c r="AI37" s="63" t="s">
        <v>20</v>
      </c>
      <c r="AJ37" s="63"/>
      <c r="AK37" s="63"/>
      <c r="AL37" s="63"/>
      <c r="AM37" s="63"/>
    </row>
    <row r="38" spans="1:39" x14ac:dyDescent="0.25">
      <c r="A38" s="12">
        <v>41</v>
      </c>
      <c r="B38" s="145" t="s">
        <v>24</v>
      </c>
      <c r="C38" s="92">
        <v>25</v>
      </c>
      <c r="D38" s="84" t="s">
        <v>38</v>
      </c>
      <c r="E38" s="84">
        <v>2</v>
      </c>
      <c r="F38" s="92" t="str">
        <f>60/12&amp;"-"&amp;72/12&amp;"yr  "</f>
        <v xml:space="preserve">5-6yr  </v>
      </c>
      <c r="G38" s="92" t="str">
        <f>(60/12)-3&amp;"-"&amp;(72/12)-3&amp;"yr  "</f>
        <v xml:space="preserve">2-3yr  </v>
      </c>
      <c r="H38" s="84">
        <v>4</v>
      </c>
      <c r="I38" s="85"/>
      <c r="J38" s="86">
        <v>38.200000000000003</v>
      </c>
      <c r="K38" s="87">
        <f>AI38*6%-1</f>
        <v>8.06</v>
      </c>
      <c r="L38" s="14">
        <f>AI38*7%-1</f>
        <v>9.57</v>
      </c>
      <c r="M38" s="14">
        <f>AI38*7%</f>
        <v>10.57</v>
      </c>
      <c r="N38" s="14">
        <f>AI38*9%</f>
        <v>13.59</v>
      </c>
      <c r="O38" s="14">
        <f>AI38*8%</f>
        <v>12.08</v>
      </c>
      <c r="P38" s="28">
        <f>AI38*7%</f>
        <v>10.57</v>
      </c>
      <c r="Q38" s="87">
        <f>W38*7%</f>
        <v>10.57</v>
      </c>
      <c r="R38" s="14">
        <f>W38*8%</f>
        <v>12.08</v>
      </c>
      <c r="S38" s="14">
        <f>W38*9%</f>
        <v>13.59</v>
      </c>
      <c r="T38" s="14">
        <f>W38*12%</f>
        <v>18.12</v>
      </c>
      <c r="U38" s="14">
        <f>W38*11%</f>
        <v>16.61</v>
      </c>
      <c r="V38" s="28">
        <f>W38*9%</f>
        <v>13.59</v>
      </c>
      <c r="W38" s="88">
        <v>151</v>
      </c>
      <c r="X38" s="19"/>
      <c r="Y38" s="19"/>
      <c r="Z38" s="19"/>
      <c r="AA38" s="19"/>
      <c r="AB38" s="19"/>
      <c r="AC38" s="19"/>
      <c r="AD38" s="64">
        <f>AI38*10%</f>
        <v>15.100000000000001</v>
      </c>
      <c r="AE38" s="64">
        <f>AI38*10%</f>
        <v>15.100000000000001</v>
      </c>
      <c r="AF38" s="64">
        <f>AI38*14%</f>
        <v>21.14</v>
      </c>
      <c r="AG38" s="64">
        <f>AI38*11%</f>
        <v>16.61</v>
      </c>
      <c r="AH38" s="64">
        <f>AI38*10%</f>
        <v>15.100000000000001</v>
      </c>
      <c r="AI38" s="64">
        <v>151</v>
      </c>
    </row>
    <row r="39" spans="1:39" ht="15.75" thickBot="1" x14ac:dyDescent="0.3">
      <c r="A39" s="12">
        <v>42</v>
      </c>
      <c r="B39" s="146"/>
      <c r="C39" s="92" t="s">
        <v>25</v>
      </c>
      <c r="D39" s="84" t="s">
        <v>38</v>
      </c>
      <c r="E39" s="84">
        <v>2</v>
      </c>
      <c r="F39" s="92" t="str">
        <f>60/12&amp;"-"&amp;72/12&amp;"yr  "</f>
        <v xml:space="preserve">5-6yr  </v>
      </c>
      <c r="G39" s="92" t="str">
        <f>(60/12)-3&amp;"-"&amp;(72/12)-3&amp;"yr  "</f>
        <v xml:space="preserve">2-3yr  </v>
      </c>
      <c r="H39" s="84">
        <v>6</v>
      </c>
      <c r="I39" s="85"/>
      <c r="J39" s="86">
        <v>22.7</v>
      </c>
      <c r="K39" s="89">
        <f>AI39*6%-2</f>
        <v>5.9799999999999995</v>
      </c>
      <c r="L39" s="40">
        <f>AI39*7%-1</f>
        <v>8.31</v>
      </c>
      <c r="M39" s="40">
        <f>AI39*7%+1</f>
        <v>10.31</v>
      </c>
      <c r="N39" s="40">
        <f>AI39*9%+1</f>
        <v>12.969999999999999</v>
      </c>
      <c r="O39" s="40">
        <f>AI39*8%+1</f>
        <v>11.64</v>
      </c>
      <c r="P39" s="31">
        <f>AI39*7%+1</f>
        <v>10.31</v>
      </c>
      <c r="Q39" s="89">
        <f>W39*7%</f>
        <v>9.31</v>
      </c>
      <c r="R39" s="40">
        <f>W39*8%+1</f>
        <v>11.64</v>
      </c>
      <c r="S39" s="40">
        <f>W39*9%+1</f>
        <v>12.969999999999999</v>
      </c>
      <c r="T39" s="40">
        <f>W39*12%</f>
        <v>15.959999999999999</v>
      </c>
      <c r="U39" s="40">
        <f>W39*11%</f>
        <v>14.63</v>
      </c>
      <c r="V39" s="31">
        <f>W39*9%+1</f>
        <v>12.969999999999999</v>
      </c>
      <c r="W39" s="88">
        <v>133</v>
      </c>
      <c r="X39" s="19"/>
      <c r="Y39" s="19"/>
      <c r="Z39" s="19"/>
      <c r="AA39" s="19"/>
      <c r="AB39" s="19"/>
      <c r="AC39" s="19"/>
      <c r="AD39" s="64">
        <f>AI39*10%+1</f>
        <v>14.3</v>
      </c>
      <c r="AE39" s="64">
        <f>AI39*10%+1</f>
        <v>14.3</v>
      </c>
      <c r="AF39" s="64">
        <f>AI39*14%</f>
        <v>18.62</v>
      </c>
      <c r="AG39" s="64">
        <f>AI39*11%</f>
        <v>14.63</v>
      </c>
      <c r="AH39" s="64">
        <f>AI39*10%+1</f>
        <v>14.3</v>
      </c>
      <c r="AI39" s="64">
        <v>133</v>
      </c>
    </row>
    <row r="40" spans="1:39" ht="15.75" hidden="1" thickBot="1" x14ac:dyDescent="0.3">
      <c r="A40" s="12">
        <v>43</v>
      </c>
      <c r="B40" s="146"/>
      <c r="C40" s="93" t="s">
        <v>26</v>
      </c>
      <c r="D40" s="148" t="s">
        <v>27</v>
      </c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50"/>
      <c r="Q40" s="95"/>
      <c r="R40" s="95"/>
      <c r="S40" s="95"/>
      <c r="T40" s="95"/>
      <c r="U40" s="95"/>
      <c r="V40" s="95"/>
      <c r="W40" s="96"/>
      <c r="X40" s="21"/>
      <c r="Y40" s="21"/>
      <c r="Z40" s="21"/>
      <c r="AA40" s="21"/>
      <c r="AB40" s="21"/>
      <c r="AC40" s="21"/>
    </row>
    <row r="41" spans="1:39" x14ac:dyDescent="0.25">
      <c r="A41" s="12">
        <v>44</v>
      </c>
      <c r="B41" s="146"/>
      <c r="C41" s="92">
        <v>27</v>
      </c>
      <c r="D41" s="84" t="s">
        <v>38</v>
      </c>
      <c r="E41" s="84">
        <v>2</v>
      </c>
      <c r="F41" s="92" t="str">
        <f>60/12&amp;"-"&amp;72/12&amp;"yr  "</f>
        <v xml:space="preserve">5-6yr  </v>
      </c>
      <c r="G41" s="92" t="str">
        <f>(60/12)-3&amp;"-"&amp;(72/12)-3&amp;"yr  "</f>
        <v xml:space="preserve">2-3yr  </v>
      </c>
      <c r="H41" s="84">
        <v>6</v>
      </c>
      <c r="I41" s="85"/>
      <c r="J41" s="86">
        <v>14.3</v>
      </c>
      <c r="K41" s="97">
        <f>AI41*6%</f>
        <v>5.0999999999999996</v>
      </c>
      <c r="L41" s="41">
        <f>AI41*7%</f>
        <v>5.95</v>
      </c>
      <c r="M41" s="41">
        <f>AI41*7%</f>
        <v>5.95</v>
      </c>
      <c r="N41" s="41">
        <f>AI41*9%</f>
        <v>7.6499999999999995</v>
      </c>
      <c r="O41" s="41">
        <f>AI41*8%</f>
        <v>6.8</v>
      </c>
      <c r="P41" s="34">
        <f>AI41*7%</f>
        <v>5.95</v>
      </c>
      <c r="Q41" s="97">
        <f>W41*7%</f>
        <v>5.95</v>
      </c>
      <c r="R41" s="41">
        <f>W41*8%</f>
        <v>6.8</v>
      </c>
      <c r="S41" s="41">
        <f>W41*9%</f>
        <v>7.6499999999999995</v>
      </c>
      <c r="T41" s="41">
        <f>W41*12%</f>
        <v>10.199999999999999</v>
      </c>
      <c r="U41" s="41">
        <f>W41*11%</f>
        <v>9.35</v>
      </c>
      <c r="V41" s="34">
        <f>W41*9%</f>
        <v>7.6499999999999995</v>
      </c>
      <c r="W41" s="88">
        <v>85</v>
      </c>
      <c r="X41" s="19"/>
      <c r="Y41" s="19"/>
      <c r="Z41" s="19"/>
      <c r="AA41" s="19"/>
      <c r="AB41" s="19"/>
      <c r="AC41" s="19"/>
      <c r="AD41" s="64">
        <f t="shared" ref="AD41:AD45" si="36">AI41*10%</f>
        <v>8.5</v>
      </c>
      <c r="AE41" s="64">
        <f t="shared" ref="AE41:AE45" si="37">AI41*10%</f>
        <v>8.5</v>
      </c>
      <c r="AF41" s="64">
        <f t="shared" ref="AF41:AF45" si="38">AI41*14%</f>
        <v>11.9</v>
      </c>
      <c r="AG41" s="64">
        <f t="shared" ref="AG41:AG45" si="39">AI41*11%</f>
        <v>9.35</v>
      </c>
      <c r="AH41" s="64">
        <f t="shared" ref="AH41:AH45" si="40">AI41*10%</f>
        <v>8.5</v>
      </c>
      <c r="AI41" s="64">
        <v>85</v>
      </c>
    </row>
    <row r="42" spans="1:39" x14ac:dyDescent="0.25">
      <c r="A42" s="12">
        <v>45</v>
      </c>
      <c r="B42" s="146"/>
      <c r="C42" s="92">
        <v>28</v>
      </c>
      <c r="D42" s="84" t="s">
        <v>39</v>
      </c>
      <c r="E42" s="84">
        <v>3</v>
      </c>
      <c r="F42" s="92" t="str">
        <f>72/12&amp;"-"&amp;84/12&amp;"yr  "</f>
        <v xml:space="preserve">6-7yr  </v>
      </c>
      <c r="G42" s="92" t="str">
        <f>(72/12)-3&amp;"-"&amp;(84/12)-3&amp;"yr  "</f>
        <v xml:space="preserve">3-4yr  </v>
      </c>
      <c r="H42" s="84">
        <v>12</v>
      </c>
      <c r="I42" s="85"/>
      <c r="J42" s="86">
        <v>21.9</v>
      </c>
      <c r="K42" s="87">
        <f>AI42*6%</f>
        <v>15.719999999999999</v>
      </c>
      <c r="L42" s="14">
        <f>AI42*7%</f>
        <v>18.340000000000003</v>
      </c>
      <c r="M42" s="14">
        <f>AI42*7%</f>
        <v>18.340000000000003</v>
      </c>
      <c r="N42" s="14">
        <f>AI42*9%</f>
        <v>23.58</v>
      </c>
      <c r="O42" s="14">
        <f>AI42*8%</f>
        <v>20.96</v>
      </c>
      <c r="P42" s="28">
        <f>AI42*7%</f>
        <v>18.340000000000003</v>
      </c>
      <c r="Q42" s="87">
        <f>W42*7%</f>
        <v>18.340000000000003</v>
      </c>
      <c r="R42" s="14">
        <f>W42*8%</f>
        <v>20.96</v>
      </c>
      <c r="S42" s="14">
        <f>W42*9%</f>
        <v>23.58</v>
      </c>
      <c r="T42" s="14">
        <f>W42*12%</f>
        <v>31.439999999999998</v>
      </c>
      <c r="U42" s="14">
        <f>W42*11%</f>
        <v>28.82</v>
      </c>
      <c r="V42" s="28">
        <f>W42*9%</f>
        <v>23.58</v>
      </c>
      <c r="W42" s="88">
        <v>262</v>
      </c>
      <c r="X42" s="19"/>
      <c r="Y42" s="19"/>
      <c r="Z42" s="19"/>
      <c r="AA42" s="19"/>
      <c r="AB42" s="19"/>
      <c r="AC42" s="19"/>
      <c r="AD42" s="64">
        <f t="shared" si="36"/>
        <v>26.200000000000003</v>
      </c>
      <c r="AE42" s="64">
        <f t="shared" si="37"/>
        <v>26.200000000000003</v>
      </c>
      <c r="AF42" s="64">
        <f t="shared" si="38"/>
        <v>36.680000000000007</v>
      </c>
      <c r="AG42" s="64">
        <f t="shared" si="39"/>
        <v>28.82</v>
      </c>
      <c r="AH42" s="64">
        <f t="shared" si="40"/>
        <v>26.200000000000003</v>
      </c>
      <c r="AI42" s="64">
        <v>262</v>
      </c>
    </row>
    <row r="43" spans="1:39" x14ac:dyDescent="0.25">
      <c r="A43" s="12">
        <v>46</v>
      </c>
      <c r="B43" s="146"/>
      <c r="C43" s="92">
        <v>29</v>
      </c>
      <c r="D43" s="84" t="s">
        <v>40</v>
      </c>
      <c r="E43" s="84" t="s">
        <v>28</v>
      </c>
      <c r="F43" s="92" t="str">
        <f>48/12&amp;"-"&amp;60/12&amp;"yr  "</f>
        <v xml:space="preserve">4-5yr  </v>
      </c>
      <c r="G43" s="92" t="s">
        <v>28</v>
      </c>
      <c r="H43" s="84">
        <v>4</v>
      </c>
      <c r="I43" s="85"/>
      <c r="J43" s="86">
        <v>19.2</v>
      </c>
      <c r="K43" s="87">
        <f>AI43*6%-1</f>
        <v>3.5599999999999996</v>
      </c>
      <c r="L43" s="14">
        <f>AI43*7%</f>
        <v>5.32</v>
      </c>
      <c r="M43" s="14">
        <f>AI43*7%</f>
        <v>5.32</v>
      </c>
      <c r="N43" s="14">
        <f>AI43*9%</f>
        <v>6.84</v>
      </c>
      <c r="O43" s="14">
        <f>AI43*8%</f>
        <v>6.08</v>
      </c>
      <c r="P43" s="28">
        <f>AI43*7%</f>
        <v>5.32</v>
      </c>
      <c r="Q43" s="87">
        <f>W43*7%</f>
        <v>5.32</v>
      </c>
      <c r="R43" s="14">
        <f>W43*8%</f>
        <v>6.08</v>
      </c>
      <c r="S43" s="14">
        <f>W43*9%</f>
        <v>6.84</v>
      </c>
      <c r="T43" s="14">
        <f>W43*12%</f>
        <v>9.1199999999999992</v>
      </c>
      <c r="U43" s="14">
        <f>W43*11%</f>
        <v>8.36</v>
      </c>
      <c r="V43" s="28">
        <f>W43*9%</f>
        <v>6.84</v>
      </c>
      <c r="W43" s="88">
        <v>76</v>
      </c>
      <c r="X43" s="19"/>
      <c r="Y43" s="19"/>
      <c r="Z43" s="19"/>
      <c r="AA43" s="19"/>
      <c r="AB43" s="19"/>
      <c r="AC43" s="19"/>
      <c r="AD43" s="64">
        <f t="shared" si="36"/>
        <v>7.6000000000000005</v>
      </c>
      <c r="AE43" s="64">
        <f t="shared" si="37"/>
        <v>7.6000000000000005</v>
      </c>
      <c r="AF43" s="64">
        <f t="shared" si="38"/>
        <v>10.64</v>
      </c>
      <c r="AG43" s="64">
        <f t="shared" si="39"/>
        <v>8.36</v>
      </c>
      <c r="AH43" s="64">
        <f t="shared" si="40"/>
        <v>7.6000000000000005</v>
      </c>
      <c r="AI43" s="64">
        <v>76</v>
      </c>
    </row>
    <row r="44" spans="1:39" x14ac:dyDescent="0.25">
      <c r="A44" s="12">
        <v>47</v>
      </c>
      <c r="B44" s="146"/>
      <c r="C44" s="92">
        <v>30</v>
      </c>
      <c r="D44" s="84" t="s">
        <v>40</v>
      </c>
      <c r="E44" s="84" t="s">
        <v>28</v>
      </c>
      <c r="F44" s="92" t="str">
        <f>48/12&amp;"-"&amp;60/12&amp;"yr  "</f>
        <v xml:space="preserve">4-5yr  </v>
      </c>
      <c r="G44" s="92" t="s">
        <v>28</v>
      </c>
      <c r="H44" s="84">
        <v>4</v>
      </c>
      <c r="I44" s="85"/>
      <c r="J44" s="86">
        <v>24.3</v>
      </c>
      <c r="K44" s="87">
        <f>AI44*6%-1</f>
        <v>4.7</v>
      </c>
      <c r="L44" s="14">
        <f>AI44*7%-1</f>
        <v>5.65</v>
      </c>
      <c r="M44" s="14">
        <f>AI44*7%</f>
        <v>6.65</v>
      </c>
      <c r="N44" s="14">
        <f>AI44*9%</f>
        <v>8.5499999999999989</v>
      </c>
      <c r="O44" s="14">
        <f>AI44*8%</f>
        <v>7.6000000000000005</v>
      </c>
      <c r="P44" s="28">
        <f>AI44*7%</f>
        <v>6.65</v>
      </c>
      <c r="Q44" s="87">
        <f>W44*7%</f>
        <v>6.65</v>
      </c>
      <c r="R44" s="14">
        <f>W44*8%</f>
        <v>7.6000000000000005</v>
      </c>
      <c r="S44" s="14">
        <f>W44*9%</f>
        <v>8.5499999999999989</v>
      </c>
      <c r="T44" s="14">
        <f>W44*12%+1</f>
        <v>12.4</v>
      </c>
      <c r="U44" s="14">
        <f>W44*11%+1</f>
        <v>11.45</v>
      </c>
      <c r="V44" s="28">
        <f>W44*9%</f>
        <v>8.5499999999999989</v>
      </c>
      <c r="W44" s="88">
        <v>95</v>
      </c>
      <c r="X44" s="19"/>
      <c r="Y44" s="19"/>
      <c r="Z44" s="19"/>
      <c r="AA44" s="19"/>
      <c r="AB44" s="19"/>
      <c r="AC44" s="19"/>
      <c r="AD44" s="64">
        <f t="shared" si="36"/>
        <v>9.5</v>
      </c>
      <c r="AE44" s="64">
        <f t="shared" si="37"/>
        <v>9.5</v>
      </c>
      <c r="AF44" s="64">
        <f>AI44*14%+1</f>
        <v>14.3</v>
      </c>
      <c r="AG44" s="64">
        <f>AI44*11%+1</f>
        <v>11.45</v>
      </c>
      <c r="AH44" s="64">
        <f t="shared" si="40"/>
        <v>9.5</v>
      </c>
      <c r="AI44" s="64">
        <v>95</v>
      </c>
    </row>
    <row r="45" spans="1:39" ht="15.75" thickBot="1" x14ac:dyDescent="0.3">
      <c r="A45" s="12">
        <v>48</v>
      </c>
      <c r="B45" s="146"/>
      <c r="C45" s="92">
        <v>31</v>
      </c>
      <c r="D45" s="84" t="s">
        <v>40</v>
      </c>
      <c r="E45" s="84" t="s">
        <v>28</v>
      </c>
      <c r="F45" s="92" t="str">
        <f>48/12&amp;"-"&amp;60/12&amp;"yr  "</f>
        <v xml:space="preserve">4-5yr  </v>
      </c>
      <c r="G45" s="92" t="s">
        <v>28</v>
      </c>
      <c r="H45" s="84">
        <v>4</v>
      </c>
      <c r="I45" s="85"/>
      <c r="J45" s="86">
        <v>34</v>
      </c>
      <c r="K45" s="89">
        <f>AI45*6%-1</f>
        <v>7.1</v>
      </c>
      <c r="L45" s="40">
        <f>AI45*7%</f>
        <v>9.4500000000000011</v>
      </c>
      <c r="M45" s="40">
        <f>AI45*7%+1</f>
        <v>10.450000000000001</v>
      </c>
      <c r="N45" s="40">
        <f>AI45*9%+1</f>
        <v>13.15</v>
      </c>
      <c r="O45" s="40">
        <f>AI45*8%+1</f>
        <v>11.8</v>
      </c>
      <c r="P45" s="31">
        <f>AI45*7%+1</f>
        <v>10.450000000000001</v>
      </c>
      <c r="Q45" s="89">
        <f>W45*7%</f>
        <v>9.4500000000000011</v>
      </c>
      <c r="R45" s="40">
        <f>W45*8%</f>
        <v>10.8</v>
      </c>
      <c r="S45" s="40">
        <f>W45*9%</f>
        <v>12.15</v>
      </c>
      <c r="T45" s="40">
        <f>W45*12%</f>
        <v>16.2</v>
      </c>
      <c r="U45" s="40">
        <f>W45*11%</f>
        <v>14.85</v>
      </c>
      <c r="V45" s="31">
        <f>W45*9%</f>
        <v>12.15</v>
      </c>
      <c r="W45" s="87">
        <v>135</v>
      </c>
      <c r="X45" s="19"/>
      <c r="Y45" s="19"/>
      <c r="Z45" s="19"/>
      <c r="AA45" s="19"/>
      <c r="AB45" s="19"/>
      <c r="AC45" s="19"/>
      <c r="AD45" s="64">
        <f t="shared" si="36"/>
        <v>13.5</v>
      </c>
      <c r="AE45" s="64">
        <f t="shared" si="37"/>
        <v>13.5</v>
      </c>
      <c r="AF45" s="64">
        <f t="shared" si="38"/>
        <v>18.900000000000002</v>
      </c>
      <c r="AG45" s="64">
        <f t="shared" si="39"/>
        <v>14.85</v>
      </c>
      <c r="AH45" s="64">
        <f t="shared" si="40"/>
        <v>13.5</v>
      </c>
      <c r="AI45" s="64">
        <v>135</v>
      </c>
    </row>
    <row r="46" spans="1:39" hidden="1" x14ac:dyDescent="0.25">
      <c r="A46" s="12">
        <v>49</v>
      </c>
      <c r="B46" s="147"/>
      <c r="C46" s="93">
        <v>32</v>
      </c>
      <c r="D46" s="151" t="s">
        <v>29</v>
      </c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3"/>
      <c r="Q46" s="98"/>
      <c r="R46" s="98"/>
      <c r="S46" s="98"/>
      <c r="T46" s="98"/>
      <c r="U46" s="98"/>
      <c r="V46" s="98"/>
      <c r="W46" s="99"/>
      <c r="X46" s="21"/>
      <c r="Y46" s="21"/>
      <c r="Z46" s="21"/>
      <c r="AA46" s="21"/>
      <c r="AB46" s="21"/>
      <c r="AC46" s="21"/>
    </row>
    <row r="47" spans="1:39" s="1" customFormat="1" x14ac:dyDescent="0.25">
      <c r="A47" s="12">
        <v>50</v>
      </c>
      <c r="B47" s="77"/>
      <c r="C47" s="77"/>
      <c r="D47" s="77"/>
      <c r="E47" s="77"/>
      <c r="F47" s="122"/>
      <c r="G47" s="122"/>
      <c r="H47" s="77"/>
      <c r="I47" s="90" t="s">
        <v>42</v>
      </c>
      <c r="J47" s="91">
        <f>SUBTOTAL(9,J38:J46)</f>
        <v>174.6</v>
      </c>
      <c r="K47" s="16">
        <f>SUBTOTAL(9,K38:K46)+1</f>
        <v>51.220000000000006</v>
      </c>
      <c r="L47" s="16">
        <f>SUBTOTAL(9,L38:L46)</f>
        <v>62.59</v>
      </c>
      <c r="M47" s="16">
        <f>SUBTOTAL(9,M38:M46)-2</f>
        <v>65.59</v>
      </c>
      <c r="N47" s="16">
        <f>SUBTOTAL(9,N38:N46)-2</f>
        <v>84.33</v>
      </c>
      <c r="O47" s="16">
        <f>SUBTOTAL(9,O38:O46)-2</f>
        <v>74.959999999999994</v>
      </c>
      <c r="P47" s="16">
        <f>SUBTOTAL(9,P38:P46)-2</f>
        <v>65.59</v>
      </c>
      <c r="Q47" s="16">
        <f>SUBTOTAL(9,Q38:Q46)+1</f>
        <v>66.59</v>
      </c>
      <c r="R47" s="16">
        <f t="shared" ref="R47:S47" si="41">SUBTOTAL(9,R38:R46)</f>
        <v>75.959999999999994</v>
      </c>
      <c r="S47" s="16">
        <f t="shared" si="41"/>
        <v>85.33</v>
      </c>
      <c r="T47" s="16">
        <f>SUBTOTAL(9,T38:T46)+1</f>
        <v>114.44000000000001</v>
      </c>
      <c r="U47" s="16">
        <f t="shared" ref="U47:V47" si="42">SUBTOTAL(9,U38:U46)</f>
        <v>104.07</v>
      </c>
      <c r="V47" s="16">
        <f t="shared" si="42"/>
        <v>85.33</v>
      </c>
      <c r="W47" s="16">
        <f>SUBTOTAL(9,W38:W46)+1</f>
        <v>938</v>
      </c>
      <c r="X47" s="20"/>
      <c r="Y47" s="20"/>
      <c r="Z47" s="20"/>
      <c r="AA47" s="20"/>
      <c r="AB47" s="20"/>
      <c r="AC47" s="20"/>
      <c r="AD47" s="65">
        <f>SUBTOTAL(9,AD38:AD46)</f>
        <v>94.7</v>
      </c>
      <c r="AE47" s="65">
        <f>SUBTOTAL(9,AE38:AE46)</f>
        <v>94.7</v>
      </c>
      <c r="AF47" s="65">
        <f>SUBTOTAL(9,AF38:AF46)+1</f>
        <v>133.18</v>
      </c>
      <c r="AG47" s="65">
        <f>SUBTOTAL(9,AG38:AG46)</f>
        <v>104.07</v>
      </c>
      <c r="AH47" s="65">
        <f>SUBTOTAL(9,AH38:AH46)</f>
        <v>94.7</v>
      </c>
      <c r="AI47" s="65">
        <f>SUBTOTAL(9,AI38:AI46)+1</f>
        <v>938</v>
      </c>
      <c r="AJ47" s="66"/>
      <c r="AK47" s="66"/>
      <c r="AL47" s="66"/>
      <c r="AM47" s="66"/>
    </row>
    <row r="48" spans="1:39" ht="15.75" thickBot="1" x14ac:dyDescent="0.3">
      <c r="A48" s="12">
        <v>52</v>
      </c>
      <c r="B48" s="12"/>
      <c r="C48" s="12"/>
      <c r="D48" s="12"/>
      <c r="E48" s="12"/>
      <c r="F48" s="119"/>
      <c r="G48" s="119"/>
      <c r="H48" s="12"/>
      <c r="I48" s="78"/>
      <c r="J48" s="78"/>
      <c r="K48" s="12"/>
      <c r="L48" s="12"/>
      <c r="M48" s="12"/>
      <c r="N48" s="12"/>
      <c r="O48" s="12"/>
      <c r="Q48" s="12"/>
      <c r="R48" s="12"/>
      <c r="S48" s="12"/>
      <c r="T48" s="12"/>
      <c r="U48" s="12"/>
      <c r="V48" s="12"/>
      <c r="W48" s="12"/>
      <c r="X48" s="21"/>
      <c r="Y48" s="21"/>
      <c r="Z48" s="21"/>
      <c r="AA48" s="21"/>
      <c r="AB48" s="21"/>
      <c r="AC48" s="21"/>
    </row>
    <row r="49" spans="1:39" s="5" customFormat="1" ht="30.75" customHeight="1" x14ac:dyDescent="0.25">
      <c r="A49" s="12">
        <v>53</v>
      </c>
      <c r="B49" s="79" t="s">
        <v>1</v>
      </c>
      <c r="C49" s="79" t="s">
        <v>2</v>
      </c>
      <c r="D49" s="79" t="s">
        <v>3</v>
      </c>
      <c r="E49" s="79" t="s">
        <v>4</v>
      </c>
      <c r="F49" s="127" t="s">
        <v>66</v>
      </c>
      <c r="G49" s="127" t="s">
        <v>65</v>
      </c>
      <c r="H49" s="79" t="s">
        <v>5</v>
      </c>
      <c r="I49" s="80" t="s">
        <v>6</v>
      </c>
      <c r="J49" s="81" t="s">
        <v>7</v>
      </c>
      <c r="K49" s="82" t="s">
        <v>53</v>
      </c>
      <c r="L49" s="39" t="s">
        <v>54</v>
      </c>
      <c r="M49" s="39" t="s">
        <v>10</v>
      </c>
      <c r="N49" s="39" t="s">
        <v>55</v>
      </c>
      <c r="O49" s="39" t="s">
        <v>56</v>
      </c>
      <c r="P49" s="26" t="s">
        <v>13</v>
      </c>
      <c r="Q49" s="82" t="s">
        <v>57</v>
      </c>
      <c r="R49" s="39" t="s">
        <v>60</v>
      </c>
      <c r="S49" s="39" t="s">
        <v>58</v>
      </c>
      <c r="T49" s="39" t="s">
        <v>61</v>
      </c>
      <c r="U49" s="39" t="s">
        <v>49</v>
      </c>
      <c r="V49" s="26" t="s">
        <v>59</v>
      </c>
      <c r="W49" s="83" t="s">
        <v>20</v>
      </c>
      <c r="X49" s="18"/>
      <c r="Y49" s="18"/>
      <c r="Z49" s="18"/>
      <c r="AA49" s="18"/>
      <c r="AB49" s="18"/>
      <c r="AC49" s="18"/>
      <c r="AD49" s="63" t="s">
        <v>15</v>
      </c>
      <c r="AE49" s="63" t="s">
        <v>16</v>
      </c>
      <c r="AF49" s="63" t="s">
        <v>17</v>
      </c>
      <c r="AG49" s="63" t="s">
        <v>18</v>
      </c>
      <c r="AH49" s="63" t="s">
        <v>19</v>
      </c>
      <c r="AI49" s="63" t="s">
        <v>20</v>
      </c>
      <c r="AJ49" s="63"/>
      <c r="AK49" s="63"/>
      <c r="AL49" s="63"/>
      <c r="AM49" s="63"/>
    </row>
    <row r="50" spans="1:39" x14ac:dyDescent="0.25">
      <c r="A50" s="12">
        <v>54</v>
      </c>
      <c r="B50" s="145" t="s">
        <v>30</v>
      </c>
      <c r="C50" s="84">
        <v>33</v>
      </c>
      <c r="D50" s="84" t="s">
        <v>39</v>
      </c>
      <c r="E50" s="84">
        <v>3</v>
      </c>
      <c r="F50" s="92" t="str">
        <f>72/12&amp;"-"&amp;84/12&amp;"yr  "</f>
        <v xml:space="preserve">6-7yr  </v>
      </c>
      <c r="G50" s="92" t="str">
        <f>(72/12)-3&amp;"-"&amp;(84/12)-3&amp;"yr  "</f>
        <v xml:space="preserve">3-4yr  </v>
      </c>
      <c r="H50" s="84">
        <v>15</v>
      </c>
      <c r="I50" s="85">
        <v>1.25</v>
      </c>
      <c r="J50" s="86">
        <v>28.4</v>
      </c>
      <c r="K50" s="87">
        <f>AI50*6%+1</f>
        <v>26.619999999999997</v>
      </c>
      <c r="L50" s="14">
        <f>AI50*7%</f>
        <v>29.890000000000004</v>
      </c>
      <c r="M50" s="14">
        <f>AI50*7%</f>
        <v>29.890000000000004</v>
      </c>
      <c r="N50" s="14">
        <f>AI50*9%</f>
        <v>38.43</v>
      </c>
      <c r="O50" s="14">
        <f>AI50*8%</f>
        <v>34.160000000000004</v>
      </c>
      <c r="P50" s="28">
        <f>AI50*7%</f>
        <v>29.890000000000004</v>
      </c>
      <c r="Q50" s="87">
        <f>W50*7%</f>
        <v>29.890000000000004</v>
      </c>
      <c r="R50" s="14">
        <f>W50*8%</f>
        <v>34.160000000000004</v>
      </c>
      <c r="S50" s="14">
        <f>W50*9%</f>
        <v>38.43</v>
      </c>
      <c r="T50" s="14">
        <f>W50*12%</f>
        <v>51.239999999999995</v>
      </c>
      <c r="U50" s="14">
        <f>W50*11%</f>
        <v>46.97</v>
      </c>
      <c r="V50" s="28">
        <f>W50*9%</f>
        <v>38.43</v>
      </c>
      <c r="W50" s="88">
        <v>427</v>
      </c>
      <c r="X50" s="19"/>
      <c r="Y50" s="19"/>
      <c r="Z50" s="19"/>
      <c r="AA50" s="19"/>
      <c r="AB50" s="19"/>
      <c r="AC50" s="19"/>
      <c r="AD50" s="64">
        <f>AI50*10%</f>
        <v>42.7</v>
      </c>
      <c r="AE50" s="64">
        <f>AI50*10%</f>
        <v>42.7</v>
      </c>
      <c r="AF50" s="64">
        <f>AI50*14%</f>
        <v>59.780000000000008</v>
      </c>
      <c r="AG50" s="64">
        <f>AI50*11%</f>
        <v>46.97</v>
      </c>
      <c r="AH50" s="64">
        <f>AI50*10%</f>
        <v>42.7</v>
      </c>
      <c r="AI50" s="64">
        <v>427</v>
      </c>
    </row>
    <row r="51" spans="1:39" ht="15.75" thickBot="1" x14ac:dyDescent="0.3">
      <c r="A51" s="12">
        <v>55</v>
      </c>
      <c r="B51" s="147"/>
      <c r="C51" s="84">
        <v>39</v>
      </c>
      <c r="D51" s="84" t="s">
        <v>41</v>
      </c>
      <c r="E51" s="84">
        <v>8</v>
      </c>
      <c r="F51" s="92" t="str">
        <f>96/12&amp;"-"&amp;108/12&amp;"yr  "</f>
        <v xml:space="preserve">8-9yr  </v>
      </c>
      <c r="G51" s="92" t="str">
        <f>(96/12)-3&amp;"-"&amp;(108/12)-3&amp;"yr  "</f>
        <v xml:space="preserve">5-6yr  </v>
      </c>
      <c r="H51" s="84">
        <v>6</v>
      </c>
      <c r="I51" s="85">
        <v>0.5</v>
      </c>
      <c r="J51" s="86">
        <v>4.5</v>
      </c>
      <c r="K51" s="89">
        <f>AI51*6%-1</f>
        <v>0.61999999999999988</v>
      </c>
      <c r="L51" s="40">
        <f>AI51*7%-1</f>
        <v>0.89000000000000012</v>
      </c>
      <c r="M51" s="40">
        <f>AI51*7%</f>
        <v>1.8900000000000001</v>
      </c>
      <c r="N51" s="40">
        <f>AI51*9%</f>
        <v>2.4299999999999997</v>
      </c>
      <c r="O51" s="40">
        <f>AI51*8%</f>
        <v>2.16</v>
      </c>
      <c r="P51" s="31">
        <f>AI51*7%</f>
        <v>1.8900000000000001</v>
      </c>
      <c r="Q51" s="89">
        <f>W51*7%</f>
        <v>1.8900000000000001</v>
      </c>
      <c r="R51" s="40">
        <f>W51*8%</f>
        <v>2.16</v>
      </c>
      <c r="S51" s="40">
        <f>W51*9%</f>
        <v>2.4299999999999997</v>
      </c>
      <c r="T51" s="40">
        <f>W51*12%</f>
        <v>3.2399999999999998</v>
      </c>
      <c r="U51" s="40">
        <f>W51*11%</f>
        <v>2.97</v>
      </c>
      <c r="V51" s="31">
        <f>W51*9%</f>
        <v>2.4299999999999997</v>
      </c>
      <c r="W51" s="88">
        <v>27</v>
      </c>
      <c r="X51" s="19"/>
      <c r="Y51" s="19"/>
      <c r="Z51" s="19"/>
      <c r="AA51" s="19"/>
      <c r="AB51" s="19"/>
      <c r="AC51" s="19"/>
      <c r="AD51" s="64">
        <f>AI51*10%</f>
        <v>2.7</v>
      </c>
      <c r="AE51" s="64">
        <f>AI51*10%</f>
        <v>2.7</v>
      </c>
      <c r="AF51" s="64">
        <f>AI51*14%</f>
        <v>3.7800000000000002</v>
      </c>
      <c r="AG51" s="64">
        <f>AI51*11%</f>
        <v>2.97</v>
      </c>
      <c r="AH51" s="64">
        <f>AI51*10%</f>
        <v>2.7</v>
      </c>
      <c r="AI51" s="64">
        <v>27</v>
      </c>
    </row>
    <row r="52" spans="1:39" s="1" customFormat="1" x14ac:dyDescent="0.25">
      <c r="A52" s="77"/>
      <c r="B52" s="77"/>
      <c r="C52" s="77"/>
      <c r="D52" s="77"/>
      <c r="E52" s="77"/>
      <c r="F52" s="122"/>
      <c r="G52" s="122"/>
      <c r="H52" s="77"/>
      <c r="I52" s="90" t="s">
        <v>42</v>
      </c>
      <c r="J52" s="91">
        <f>SUBTOTAL(9,J47:J51)</f>
        <v>32.9</v>
      </c>
      <c r="K52" s="16">
        <f>SUBTOTAL(9,K50:K51)-1</f>
        <v>26.24</v>
      </c>
      <c r="L52" s="16">
        <f t="shared" ref="L52:AI52" si="43">SUBTOTAL(9,L50:L51)</f>
        <v>30.780000000000005</v>
      </c>
      <c r="M52" s="16">
        <f t="shared" si="43"/>
        <v>31.780000000000005</v>
      </c>
      <c r="N52" s="16">
        <f t="shared" si="43"/>
        <v>40.86</v>
      </c>
      <c r="O52" s="16">
        <f t="shared" si="43"/>
        <v>36.320000000000007</v>
      </c>
      <c r="P52" s="16">
        <f t="shared" si="43"/>
        <v>31.780000000000005</v>
      </c>
      <c r="Q52" s="16">
        <f t="shared" ref="Q52:W52" si="44">SUBTOTAL(9,Q50:Q51)</f>
        <v>31.780000000000005</v>
      </c>
      <c r="R52" s="16">
        <f t="shared" si="44"/>
        <v>36.320000000000007</v>
      </c>
      <c r="S52" s="16">
        <f t="shared" si="44"/>
        <v>40.86</v>
      </c>
      <c r="T52" s="16">
        <f t="shared" si="44"/>
        <v>54.48</v>
      </c>
      <c r="U52" s="16">
        <f t="shared" si="44"/>
        <v>49.94</v>
      </c>
      <c r="V52" s="16">
        <f t="shared" si="44"/>
        <v>40.86</v>
      </c>
      <c r="W52" s="16">
        <f t="shared" si="44"/>
        <v>454</v>
      </c>
      <c r="X52" s="20"/>
      <c r="Y52" s="20"/>
      <c r="Z52" s="20"/>
      <c r="AA52" s="20"/>
      <c r="AB52" s="20"/>
      <c r="AC52" s="20"/>
      <c r="AD52" s="65">
        <f t="shared" si="43"/>
        <v>45.400000000000006</v>
      </c>
      <c r="AE52" s="65">
        <f t="shared" si="43"/>
        <v>45.400000000000006</v>
      </c>
      <c r="AF52" s="65">
        <f t="shared" si="43"/>
        <v>63.560000000000009</v>
      </c>
      <c r="AG52" s="65">
        <f t="shared" si="43"/>
        <v>49.94</v>
      </c>
      <c r="AH52" s="65">
        <f t="shared" si="43"/>
        <v>45.400000000000006</v>
      </c>
      <c r="AI52" s="65">
        <f t="shared" si="43"/>
        <v>454</v>
      </c>
      <c r="AJ52" s="66"/>
      <c r="AK52" s="66"/>
      <c r="AL52" s="66"/>
      <c r="AM52" s="66"/>
    </row>
    <row r="53" spans="1:39" s="1" customFormat="1" ht="15.75" thickBot="1" x14ac:dyDescent="0.3">
      <c r="A53" s="77"/>
      <c r="B53" s="77" t="s">
        <v>43</v>
      </c>
      <c r="C53" s="77"/>
      <c r="D53" s="77"/>
      <c r="E53" s="77"/>
      <c r="F53" s="122"/>
      <c r="G53" s="122"/>
      <c r="H53" s="77"/>
      <c r="I53" s="90"/>
      <c r="J53" s="91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5"/>
      <c r="Y53" s="15"/>
      <c r="Z53" s="15"/>
      <c r="AA53" s="15"/>
      <c r="AB53" s="15"/>
      <c r="AC53" s="15"/>
      <c r="AD53" s="65"/>
      <c r="AE53" s="65"/>
      <c r="AF53" s="65"/>
      <c r="AG53" s="65"/>
      <c r="AH53" s="65"/>
      <c r="AI53" s="65"/>
      <c r="AJ53" s="66"/>
      <c r="AK53" s="66"/>
      <c r="AL53" s="66"/>
      <c r="AM53" s="66"/>
    </row>
    <row r="54" spans="1:39" s="1" customFormat="1" ht="30" x14ac:dyDescent="0.25">
      <c r="A54" s="77"/>
      <c r="B54" s="100" t="s">
        <v>7</v>
      </c>
      <c r="C54" s="82" t="s">
        <v>53</v>
      </c>
      <c r="D54" s="129"/>
      <c r="E54" s="129"/>
      <c r="F54" s="39" t="s">
        <v>54</v>
      </c>
      <c r="G54" s="39" t="s">
        <v>10</v>
      </c>
      <c r="H54" s="128" t="s">
        <v>64</v>
      </c>
      <c r="I54" s="128" t="s">
        <v>56</v>
      </c>
      <c r="J54" s="26" t="s">
        <v>13</v>
      </c>
      <c r="K54" s="82" t="s">
        <v>57</v>
      </c>
      <c r="L54" s="39" t="s">
        <v>60</v>
      </c>
      <c r="M54" s="39" t="s">
        <v>58</v>
      </c>
      <c r="N54" s="39" t="s">
        <v>61</v>
      </c>
      <c r="O54" s="39" t="s">
        <v>49</v>
      </c>
      <c r="P54" s="26" t="s">
        <v>59</v>
      </c>
      <c r="Q54" s="101" t="s">
        <v>20</v>
      </c>
      <c r="R54" s="102"/>
      <c r="S54" s="102"/>
      <c r="T54" s="102"/>
      <c r="U54" s="102"/>
      <c r="V54" s="102"/>
      <c r="W54" s="102"/>
      <c r="X54" s="5"/>
      <c r="Y54" s="5"/>
      <c r="Z54" s="5"/>
      <c r="AA54" s="5"/>
      <c r="AB54" s="5"/>
      <c r="AC54" s="5"/>
      <c r="AD54" s="65"/>
      <c r="AE54" s="65"/>
      <c r="AF54" s="65"/>
      <c r="AG54" s="65"/>
      <c r="AH54" s="65"/>
      <c r="AI54" s="65"/>
      <c r="AJ54" s="66"/>
      <c r="AK54" s="67" t="s">
        <v>46</v>
      </c>
      <c r="AL54" s="66"/>
      <c r="AM54" s="66"/>
    </row>
    <row r="55" spans="1:39" s="17" customFormat="1" ht="15.75" customHeight="1" thickBot="1" x14ac:dyDescent="0.3">
      <c r="B55" s="49">
        <f>J17+J27+J35+J47+J52</f>
        <v>1413.5900000000001</v>
      </c>
      <c r="C55" s="55">
        <f>K17+K27+K35+K47+K52</f>
        <v>1482.58</v>
      </c>
      <c r="D55" s="130"/>
      <c r="E55" s="130"/>
      <c r="F55" s="56">
        <f>L17+L27+L35+L47+L52-1</f>
        <v>1727.01</v>
      </c>
      <c r="G55" s="56">
        <f t="shared" ref="G55:O55" si="45">M17+M27+M35+M47+M52</f>
        <v>1727.01</v>
      </c>
      <c r="H55" s="123">
        <f t="shared" si="45"/>
        <v>2221.87</v>
      </c>
      <c r="I55" s="123">
        <f t="shared" si="45"/>
        <v>1974.4399999999998</v>
      </c>
      <c r="J55" s="56">
        <f t="shared" si="45"/>
        <v>1727.01</v>
      </c>
      <c r="K55" s="56">
        <f t="shared" si="45"/>
        <v>1736.01</v>
      </c>
      <c r="L55" s="56">
        <f t="shared" si="45"/>
        <v>1983.4399999999998</v>
      </c>
      <c r="M55" s="56">
        <f t="shared" si="45"/>
        <v>2230.87</v>
      </c>
      <c r="N55" s="56">
        <f t="shared" si="45"/>
        <v>2973.16</v>
      </c>
      <c r="O55" s="56">
        <f t="shared" si="45"/>
        <v>2723.73</v>
      </c>
      <c r="P55" s="58">
        <f>V17+V27+V35+V47+V52+1</f>
        <v>2231.87</v>
      </c>
      <c r="Q55" s="51">
        <f>AI17+AI27+AI35+AI47+AI52+1</f>
        <v>24744</v>
      </c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2"/>
      <c r="AE55" s="72"/>
      <c r="AF55" s="72"/>
      <c r="AG55" s="72"/>
      <c r="AH55" s="72"/>
      <c r="AI55" s="72"/>
      <c r="AJ55" s="72"/>
      <c r="AK55" s="73">
        <f>Q55/B55</f>
        <v>17.504368310471918</v>
      </c>
      <c r="AL55" s="72"/>
      <c r="AM55" s="72"/>
    </row>
    <row r="56" spans="1:39" hidden="1" x14ac:dyDescent="0.25">
      <c r="A56" s="12"/>
      <c r="B56" s="77" t="s">
        <v>45</v>
      </c>
      <c r="C56" s="12"/>
      <c r="D56" s="12"/>
      <c r="E56" s="12"/>
      <c r="F56" s="119"/>
      <c r="G56" s="119"/>
      <c r="H56" s="12"/>
      <c r="I56" s="78"/>
      <c r="J56" s="78"/>
      <c r="K56" s="12"/>
      <c r="L56" s="12"/>
      <c r="M56" s="12"/>
      <c r="N56" s="12"/>
      <c r="O56" s="12"/>
      <c r="Q56" s="12"/>
      <c r="R56" s="12"/>
      <c r="S56" s="12"/>
      <c r="T56" s="12"/>
      <c r="U56" s="12"/>
      <c r="V56" s="12"/>
      <c r="W56" s="12"/>
      <c r="X56" s="21"/>
      <c r="Y56" s="21"/>
      <c r="Z56" s="21"/>
      <c r="AA56" s="21"/>
      <c r="AB56" s="21"/>
      <c r="AC56" s="21"/>
    </row>
    <row r="57" spans="1:39" s="5" customFormat="1" ht="30.75" hidden="1" customHeight="1" x14ac:dyDescent="0.25">
      <c r="A57" s="12">
        <v>4</v>
      </c>
      <c r="B57" s="79" t="s">
        <v>1</v>
      </c>
      <c r="C57" s="79" t="s">
        <v>2</v>
      </c>
      <c r="D57" s="79" t="s">
        <v>3</v>
      </c>
      <c r="E57" s="79" t="s">
        <v>4</v>
      </c>
      <c r="F57" s="120"/>
      <c r="G57" s="120"/>
      <c r="H57" s="79" t="s">
        <v>5</v>
      </c>
      <c r="I57" s="80" t="s">
        <v>6</v>
      </c>
      <c r="J57" s="81" t="s">
        <v>7</v>
      </c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AD57" s="63"/>
      <c r="AE57" s="63"/>
      <c r="AF57" s="63"/>
      <c r="AG57" s="63"/>
      <c r="AH57" s="63"/>
      <c r="AI57" s="63"/>
      <c r="AJ57" s="63"/>
      <c r="AK57" s="67" t="s">
        <v>46</v>
      </c>
      <c r="AL57" s="63"/>
      <c r="AM57" s="63"/>
    </row>
    <row r="58" spans="1:39" hidden="1" x14ac:dyDescent="0.25">
      <c r="A58" s="12">
        <v>5</v>
      </c>
      <c r="B58" s="145" t="s">
        <v>21</v>
      </c>
      <c r="C58" s="84">
        <v>1</v>
      </c>
      <c r="D58" s="84" t="s">
        <v>31</v>
      </c>
      <c r="E58" s="84">
        <v>11</v>
      </c>
      <c r="F58" s="92"/>
      <c r="G58" s="92"/>
      <c r="H58" s="84">
        <v>20</v>
      </c>
      <c r="I58" s="85">
        <v>1.67</v>
      </c>
      <c r="J58" s="86">
        <v>53.09</v>
      </c>
      <c r="K58" s="12"/>
      <c r="L58" s="12"/>
      <c r="M58" s="12"/>
      <c r="N58" s="12"/>
      <c r="O58" s="12"/>
      <c r="Q58" s="12"/>
      <c r="R58" s="103"/>
      <c r="S58" s="103"/>
      <c r="T58" s="103"/>
      <c r="U58" s="103"/>
      <c r="V58" s="103"/>
      <c r="W58" s="103"/>
      <c r="X58" s="74"/>
      <c r="Y58" s="74"/>
      <c r="Z58" s="74"/>
      <c r="AA58" s="74"/>
      <c r="AB58" s="74"/>
      <c r="AC58" s="74"/>
      <c r="AE58" s="62">
        <f>(J58/J70)*W17</f>
        <v>993.64234537213031</v>
      </c>
      <c r="AK58" s="68">
        <f t="shared" ref="AK58:AK70" si="46">W5/J58</f>
        <v>19.005462422301751</v>
      </c>
    </row>
    <row r="59" spans="1:39" hidden="1" x14ac:dyDescent="0.25">
      <c r="A59" s="12">
        <v>6</v>
      </c>
      <c r="B59" s="146"/>
      <c r="C59" s="84">
        <v>2</v>
      </c>
      <c r="D59" s="84" t="s">
        <v>31</v>
      </c>
      <c r="E59" s="84">
        <v>11</v>
      </c>
      <c r="F59" s="92"/>
      <c r="G59" s="92"/>
      <c r="H59" s="84">
        <v>20</v>
      </c>
      <c r="I59" s="85">
        <v>1.67</v>
      </c>
      <c r="J59" s="86">
        <v>60.27</v>
      </c>
      <c r="K59" s="12"/>
      <c r="L59" s="12"/>
      <c r="M59" s="12"/>
      <c r="N59" s="12"/>
      <c r="O59" s="12"/>
      <c r="Q59" s="12"/>
      <c r="R59" s="103"/>
      <c r="S59" s="103"/>
      <c r="T59" s="103"/>
      <c r="U59" s="103"/>
      <c r="V59" s="103"/>
      <c r="W59" s="103"/>
      <c r="X59" s="74"/>
      <c r="Y59" s="74"/>
      <c r="Z59" s="74"/>
      <c r="AA59" s="74"/>
      <c r="AB59" s="74"/>
      <c r="AC59" s="74"/>
      <c r="AE59" s="62">
        <f>(J59/J70)*W17</f>
        <v>1128.0245649948822</v>
      </c>
      <c r="AK59" s="68">
        <f t="shared" si="46"/>
        <v>19.097395055583206</v>
      </c>
    </row>
    <row r="60" spans="1:39" hidden="1" x14ac:dyDescent="0.25">
      <c r="A60" s="12">
        <v>7</v>
      </c>
      <c r="B60" s="146"/>
      <c r="C60" s="84">
        <v>3</v>
      </c>
      <c r="D60" s="84" t="s">
        <v>31</v>
      </c>
      <c r="E60" s="84">
        <v>11</v>
      </c>
      <c r="F60" s="92"/>
      <c r="G60" s="92"/>
      <c r="H60" s="84">
        <v>20</v>
      </c>
      <c r="I60" s="85">
        <v>1.67</v>
      </c>
      <c r="J60" s="86">
        <v>69.040000000000006</v>
      </c>
      <c r="K60" s="12"/>
      <c r="L60" s="12"/>
      <c r="M60" s="12"/>
      <c r="N60" s="12"/>
      <c r="O60" s="12"/>
      <c r="Q60" s="12"/>
      <c r="R60" s="103"/>
      <c r="S60" s="103"/>
      <c r="T60" s="103"/>
      <c r="U60" s="103"/>
      <c r="V60" s="103"/>
      <c r="W60" s="103"/>
      <c r="X60" s="74"/>
      <c r="Y60" s="74"/>
      <c r="Z60" s="74"/>
      <c r="AA60" s="74"/>
      <c r="AB60" s="74"/>
      <c r="AC60" s="74"/>
      <c r="AE60" s="62">
        <f>(J60/J70)*W17</f>
        <v>1292.1655212750402</v>
      </c>
      <c r="AK60" s="68">
        <f t="shared" si="46"/>
        <v>19.003476245654692</v>
      </c>
    </row>
    <row r="61" spans="1:39" hidden="1" x14ac:dyDescent="0.25">
      <c r="A61" s="12">
        <v>8</v>
      </c>
      <c r="B61" s="146"/>
      <c r="C61" s="84">
        <v>4</v>
      </c>
      <c r="D61" s="84" t="s">
        <v>31</v>
      </c>
      <c r="E61" s="84">
        <v>11</v>
      </c>
      <c r="F61" s="92"/>
      <c r="G61" s="92"/>
      <c r="H61" s="84">
        <v>20</v>
      </c>
      <c r="I61" s="85">
        <v>1.67</v>
      </c>
      <c r="J61" s="86">
        <v>70.510000000000005</v>
      </c>
      <c r="K61" s="12"/>
      <c r="L61" s="12"/>
      <c r="M61" s="12"/>
      <c r="N61" s="12"/>
      <c r="O61" s="12"/>
      <c r="Q61" s="12"/>
      <c r="R61" s="103"/>
      <c r="S61" s="103"/>
      <c r="T61" s="103"/>
      <c r="U61" s="103"/>
      <c r="V61" s="103"/>
      <c r="W61" s="103"/>
      <c r="X61" s="74"/>
      <c r="Y61" s="74"/>
      <c r="Z61" s="74"/>
      <c r="AA61" s="74"/>
      <c r="AB61" s="74"/>
      <c r="AC61" s="74"/>
      <c r="AE61" s="62">
        <f>(J61/J70)*W17</f>
        <v>1319.6783155432079</v>
      </c>
      <c r="AK61" s="68">
        <f t="shared" si="46"/>
        <v>19.018578924975181</v>
      </c>
    </row>
    <row r="62" spans="1:39" hidden="1" x14ac:dyDescent="0.25">
      <c r="A62" s="12">
        <v>9</v>
      </c>
      <c r="B62" s="146"/>
      <c r="C62" s="84">
        <v>5</v>
      </c>
      <c r="D62" s="84" t="s">
        <v>31</v>
      </c>
      <c r="E62" s="84">
        <v>11</v>
      </c>
      <c r="F62" s="92"/>
      <c r="G62" s="92"/>
      <c r="H62" s="84">
        <v>20</v>
      </c>
      <c r="I62" s="85">
        <v>1.67</v>
      </c>
      <c r="J62" s="86">
        <v>50.4</v>
      </c>
      <c r="K62" s="12"/>
      <c r="L62" s="12"/>
      <c r="M62" s="12"/>
      <c r="N62" s="12"/>
      <c r="O62" s="12"/>
      <c r="Q62" s="12"/>
      <c r="R62" s="103"/>
      <c r="S62" s="103"/>
      <c r="T62" s="103"/>
      <c r="U62" s="103"/>
      <c r="V62" s="103"/>
      <c r="W62" s="103"/>
      <c r="X62" s="74"/>
      <c r="Y62" s="74"/>
      <c r="Z62" s="74"/>
      <c r="AA62" s="74"/>
      <c r="AB62" s="74"/>
      <c r="AC62" s="74"/>
      <c r="AE62" s="62">
        <f>(J62/J70)*W17</f>
        <v>943.29580348004072</v>
      </c>
      <c r="AK62" s="68">
        <f t="shared" si="46"/>
        <v>19.00793650793651</v>
      </c>
    </row>
    <row r="63" spans="1:39" hidden="1" x14ac:dyDescent="0.25">
      <c r="A63" s="12">
        <v>10</v>
      </c>
      <c r="B63" s="146"/>
      <c r="C63" s="84">
        <v>6</v>
      </c>
      <c r="D63" s="84" t="s">
        <v>31</v>
      </c>
      <c r="E63" s="84">
        <v>11</v>
      </c>
      <c r="F63" s="92"/>
      <c r="G63" s="92"/>
      <c r="H63" s="84">
        <v>20</v>
      </c>
      <c r="I63" s="85">
        <v>1.67</v>
      </c>
      <c r="J63" s="86">
        <v>58.6</v>
      </c>
      <c r="K63" s="12"/>
      <c r="L63" s="12"/>
      <c r="M63" s="12"/>
      <c r="N63" s="12"/>
      <c r="O63" s="12"/>
      <c r="Q63" s="12"/>
      <c r="R63" s="103"/>
      <c r="S63" s="103"/>
      <c r="T63" s="103"/>
      <c r="U63" s="103"/>
      <c r="V63" s="103"/>
      <c r="W63" s="103"/>
      <c r="X63" s="74"/>
      <c r="Y63" s="74"/>
      <c r="Z63" s="74"/>
      <c r="AA63" s="74"/>
      <c r="AB63" s="74"/>
      <c r="AC63" s="74"/>
      <c r="AE63" s="62">
        <f>(J63/J70)*W17</f>
        <v>1096.7685334113173</v>
      </c>
      <c r="AK63" s="68">
        <f t="shared" si="46"/>
        <v>19.010238907849828</v>
      </c>
    </row>
    <row r="64" spans="1:39" hidden="1" x14ac:dyDescent="0.25">
      <c r="A64" s="12">
        <v>11</v>
      </c>
      <c r="B64" s="146"/>
      <c r="C64" s="84">
        <v>7</v>
      </c>
      <c r="D64" s="84" t="s">
        <v>31</v>
      </c>
      <c r="E64" s="84">
        <v>11</v>
      </c>
      <c r="F64" s="92"/>
      <c r="G64" s="92"/>
      <c r="H64" s="84">
        <v>17</v>
      </c>
      <c r="I64" s="85">
        <v>1.42</v>
      </c>
      <c r="J64" s="86">
        <v>23.6</v>
      </c>
      <c r="K64" s="12"/>
      <c r="L64" s="12"/>
      <c r="M64" s="12"/>
      <c r="N64" s="12"/>
      <c r="O64" s="12"/>
      <c r="Q64" s="12"/>
      <c r="R64" s="103"/>
      <c r="S64" s="103"/>
      <c r="T64" s="103"/>
      <c r="U64" s="103"/>
      <c r="V64" s="103"/>
      <c r="W64" s="103"/>
      <c r="X64" s="74"/>
      <c r="Y64" s="74"/>
      <c r="Z64" s="74"/>
      <c r="AA64" s="74"/>
      <c r="AB64" s="74"/>
      <c r="AC64" s="74"/>
      <c r="AE64" s="62">
        <f>(J64/J70)*W17</f>
        <v>441.70200321684456</v>
      </c>
      <c r="AK64" s="68">
        <f t="shared" si="46"/>
        <v>16.14406779661017</v>
      </c>
    </row>
    <row r="65" spans="1:39" hidden="1" x14ac:dyDescent="0.25">
      <c r="A65" s="12">
        <v>12</v>
      </c>
      <c r="B65" s="146"/>
      <c r="C65" s="84">
        <v>8</v>
      </c>
      <c r="D65" s="84" t="s">
        <v>31</v>
      </c>
      <c r="E65" s="84">
        <v>11</v>
      </c>
      <c r="F65" s="92"/>
      <c r="G65" s="92"/>
      <c r="H65" s="84">
        <v>20</v>
      </c>
      <c r="I65" s="85">
        <v>1.67</v>
      </c>
      <c r="J65" s="86">
        <v>61.6</v>
      </c>
      <c r="K65" s="12"/>
      <c r="L65" s="12"/>
      <c r="M65" s="12"/>
      <c r="N65" s="12"/>
      <c r="O65" s="12"/>
      <c r="Q65" s="12"/>
      <c r="R65" s="103"/>
      <c r="S65" s="103"/>
      <c r="T65" s="103"/>
      <c r="U65" s="103"/>
      <c r="V65" s="103"/>
      <c r="W65" s="103"/>
      <c r="X65" s="74"/>
      <c r="Y65" s="74"/>
      <c r="Z65" s="74"/>
      <c r="AA65" s="74"/>
      <c r="AB65" s="74"/>
      <c r="AC65" s="74"/>
      <c r="AE65" s="62">
        <f>(J65/J70)*W17</f>
        <v>1152.9170931422721</v>
      </c>
      <c r="AK65" s="68">
        <f t="shared" si="46"/>
        <v>18.75</v>
      </c>
    </row>
    <row r="66" spans="1:39" hidden="1" x14ac:dyDescent="0.25">
      <c r="A66" s="12">
        <v>13</v>
      </c>
      <c r="B66" s="146"/>
      <c r="C66" s="84">
        <v>9</v>
      </c>
      <c r="D66" s="84" t="s">
        <v>31</v>
      </c>
      <c r="E66" s="84">
        <v>11</v>
      </c>
      <c r="F66" s="92"/>
      <c r="G66" s="92"/>
      <c r="H66" s="84">
        <v>18</v>
      </c>
      <c r="I66" s="85">
        <v>1.5</v>
      </c>
      <c r="J66" s="86">
        <v>38.299999999999997</v>
      </c>
      <c r="K66" s="12"/>
      <c r="L66" s="12"/>
      <c r="M66" s="12"/>
      <c r="N66" s="12"/>
      <c r="O66" s="12"/>
      <c r="Q66" s="12"/>
      <c r="R66" s="103"/>
      <c r="S66" s="103"/>
      <c r="T66" s="103"/>
      <c r="U66" s="103"/>
      <c r="V66" s="103"/>
      <c r="W66" s="103"/>
      <c r="X66" s="74"/>
      <c r="Y66" s="74"/>
      <c r="Z66" s="74"/>
      <c r="AA66" s="74"/>
      <c r="AB66" s="74"/>
      <c r="AC66" s="74"/>
      <c r="AE66" s="62">
        <f>(J66/J70)*W17</f>
        <v>716.82994589852308</v>
      </c>
      <c r="AK66" s="68">
        <f t="shared" si="46"/>
        <v>17.180156657963447</v>
      </c>
    </row>
    <row r="67" spans="1:39" hidden="1" x14ac:dyDescent="0.25">
      <c r="A67" s="12">
        <v>14</v>
      </c>
      <c r="B67" s="146"/>
      <c r="C67" s="84">
        <v>11</v>
      </c>
      <c r="D67" s="84" t="s">
        <v>33</v>
      </c>
      <c r="E67" s="84">
        <v>10.5</v>
      </c>
      <c r="F67" s="92"/>
      <c r="G67" s="92"/>
      <c r="H67" s="84">
        <v>19</v>
      </c>
      <c r="I67" s="85">
        <v>1.58</v>
      </c>
      <c r="J67" s="86">
        <v>44.5</v>
      </c>
      <c r="K67" s="12"/>
      <c r="L67" s="12"/>
      <c r="M67" s="12"/>
      <c r="N67" s="12"/>
      <c r="O67" s="12"/>
      <c r="Q67" s="12"/>
      <c r="R67" s="103"/>
      <c r="S67" s="103"/>
      <c r="T67" s="103"/>
      <c r="U67" s="103"/>
      <c r="V67" s="103"/>
      <c r="W67" s="103"/>
      <c r="X67" s="74"/>
      <c r="Y67" s="74"/>
      <c r="Z67" s="74"/>
      <c r="AA67" s="74"/>
      <c r="AB67" s="74"/>
      <c r="AC67" s="74"/>
      <c r="AE67" s="62">
        <f>(J67/J70)*W17</f>
        <v>832.87030267582975</v>
      </c>
      <c r="AK67" s="68">
        <f t="shared" si="46"/>
        <v>18.067415730337078</v>
      </c>
    </row>
    <row r="68" spans="1:39" hidden="1" x14ac:dyDescent="0.25">
      <c r="A68" s="12">
        <v>15</v>
      </c>
      <c r="B68" s="146"/>
      <c r="C68" s="84">
        <v>12</v>
      </c>
      <c r="D68" s="84" t="s">
        <v>34</v>
      </c>
      <c r="E68" s="84">
        <v>10</v>
      </c>
      <c r="F68" s="92"/>
      <c r="G68" s="92"/>
      <c r="H68" s="84">
        <v>20</v>
      </c>
      <c r="I68" s="85">
        <v>1.67</v>
      </c>
      <c r="J68" s="86">
        <v>71</v>
      </c>
      <c r="K68" s="12"/>
      <c r="L68" s="12"/>
      <c r="M68" s="12"/>
      <c r="N68" s="12"/>
      <c r="O68" s="12"/>
      <c r="Q68" s="12"/>
      <c r="R68" s="103"/>
      <c r="S68" s="103"/>
      <c r="T68" s="103"/>
      <c r="U68" s="103"/>
      <c r="V68" s="103"/>
      <c r="W68" s="103"/>
      <c r="X68" s="74"/>
      <c r="Y68" s="74"/>
      <c r="Z68" s="74"/>
      <c r="AA68" s="74"/>
      <c r="AB68" s="74"/>
      <c r="AC68" s="74"/>
      <c r="AE68" s="62">
        <f>(J68/J70)*W17</f>
        <v>1328.8492469659304</v>
      </c>
      <c r="AK68" s="68">
        <f t="shared" si="46"/>
        <v>18.985915492957748</v>
      </c>
    </row>
    <row r="69" spans="1:39" hidden="1" x14ac:dyDescent="0.25">
      <c r="A69" s="12">
        <v>16</v>
      </c>
      <c r="B69" s="147"/>
      <c r="C69" s="84">
        <v>23</v>
      </c>
      <c r="D69" s="84" t="s">
        <v>34</v>
      </c>
      <c r="E69" s="84">
        <v>10</v>
      </c>
      <c r="F69" s="92"/>
      <c r="G69" s="92"/>
      <c r="H69" s="84">
        <v>21</v>
      </c>
      <c r="I69" s="85">
        <v>1.75</v>
      </c>
      <c r="J69" s="86">
        <v>14.6</v>
      </c>
      <c r="K69" s="12"/>
      <c r="L69" s="12"/>
      <c r="M69" s="12"/>
      <c r="N69" s="12"/>
      <c r="O69" s="12"/>
      <c r="Q69" s="12"/>
      <c r="R69" s="103"/>
      <c r="S69" s="103"/>
      <c r="T69" s="103"/>
      <c r="U69" s="103"/>
      <c r="V69" s="103"/>
      <c r="W69" s="103"/>
      <c r="X69" s="74"/>
      <c r="Y69" s="74"/>
      <c r="Z69" s="74"/>
      <c r="AA69" s="74"/>
      <c r="AB69" s="74"/>
      <c r="AC69" s="74"/>
      <c r="AE69" s="62">
        <f>(J69/J70)*W17</f>
        <v>273.25632402398008</v>
      </c>
      <c r="AK69" s="68">
        <f t="shared" si="46"/>
        <v>19.794520547945204</v>
      </c>
    </row>
    <row r="70" spans="1:39" s="1" customFormat="1" hidden="1" x14ac:dyDescent="0.25">
      <c r="A70" s="12">
        <v>17</v>
      </c>
      <c r="B70" s="77"/>
      <c r="C70" s="77"/>
      <c r="D70" s="77"/>
      <c r="E70" s="77"/>
      <c r="F70" s="122"/>
      <c r="G70" s="122"/>
      <c r="H70" s="77"/>
      <c r="I70" s="90" t="s">
        <v>42</v>
      </c>
      <c r="J70" s="91">
        <f>SUBTOTAL(9,J58:J69)</f>
        <v>615.5100000000001</v>
      </c>
      <c r="K70" s="77"/>
      <c r="L70" s="77"/>
      <c r="M70" s="77"/>
      <c r="N70" s="77"/>
      <c r="O70" s="77"/>
      <c r="P70" s="77"/>
      <c r="Q70" s="77"/>
      <c r="R70" s="16"/>
      <c r="S70" s="16"/>
      <c r="T70" s="16"/>
      <c r="U70" s="16"/>
      <c r="V70" s="16"/>
      <c r="W70" s="16"/>
      <c r="X70" s="15"/>
      <c r="Y70" s="15"/>
      <c r="Z70" s="15"/>
      <c r="AA70" s="15"/>
      <c r="AB70" s="15"/>
      <c r="AC70" s="15"/>
      <c r="AD70" s="66"/>
      <c r="AE70" s="66"/>
      <c r="AF70" s="66"/>
      <c r="AG70" s="66"/>
      <c r="AH70" s="66"/>
      <c r="AI70" s="66"/>
      <c r="AJ70" s="66"/>
      <c r="AK70" s="69">
        <f t="shared" si="46"/>
        <v>18.716186576984935</v>
      </c>
      <c r="AL70" s="66"/>
      <c r="AM70" s="66"/>
    </row>
    <row r="71" spans="1:39" hidden="1" x14ac:dyDescent="0.25">
      <c r="A71" s="12">
        <v>18</v>
      </c>
      <c r="B71" s="12"/>
      <c r="C71" s="12"/>
      <c r="D71" s="12"/>
      <c r="E71" s="12"/>
      <c r="F71" s="119"/>
      <c r="G71" s="119"/>
      <c r="H71" s="12"/>
      <c r="I71" s="78"/>
      <c r="J71" s="78"/>
      <c r="K71" s="12"/>
      <c r="L71" s="12"/>
      <c r="M71" s="12"/>
      <c r="N71" s="12"/>
      <c r="O71" s="12"/>
      <c r="Q71" s="12"/>
      <c r="R71" s="12"/>
      <c r="S71" s="12"/>
      <c r="T71" s="12"/>
      <c r="U71" s="12"/>
      <c r="V71" s="12"/>
      <c r="W71" s="12"/>
      <c r="AK71" s="70"/>
    </row>
    <row r="72" spans="1:39" s="5" customFormat="1" ht="30.75" hidden="1" customHeight="1" x14ac:dyDescent="0.25">
      <c r="A72" s="12">
        <v>19</v>
      </c>
      <c r="B72" s="79" t="s">
        <v>1</v>
      </c>
      <c r="C72" s="79" t="s">
        <v>2</v>
      </c>
      <c r="D72" s="79" t="s">
        <v>3</v>
      </c>
      <c r="E72" s="79" t="s">
        <v>4</v>
      </c>
      <c r="F72" s="120"/>
      <c r="G72" s="120"/>
      <c r="H72" s="79" t="s">
        <v>5</v>
      </c>
      <c r="I72" s="80" t="s">
        <v>6</v>
      </c>
      <c r="J72" s="81" t="s">
        <v>7</v>
      </c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AD72" s="63"/>
      <c r="AE72" s="63"/>
      <c r="AF72" s="63"/>
      <c r="AG72" s="63"/>
      <c r="AH72" s="63"/>
      <c r="AI72" s="63"/>
      <c r="AJ72" s="63"/>
      <c r="AK72" s="67" t="s">
        <v>46</v>
      </c>
      <c r="AL72" s="63"/>
      <c r="AM72" s="63"/>
    </row>
    <row r="73" spans="1:39" hidden="1" x14ac:dyDescent="0.25">
      <c r="A73" s="12">
        <v>20</v>
      </c>
      <c r="B73" s="145" t="s">
        <v>22</v>
      </c>
      <c r="C73" s="84">
        <v>10</v>
      </c>
      <c r="D73" s="84" t="s">
        <v>35</v>
      </c>
      <c r="E73" s="84">
        <v>9.5</v>
      </c>
      <c r="F73" s="92"/>
      <c r="G73" s="92"/>
      <c r="H73" s="84">
        <v>19</v>
      </c>
      <c r="I73" s="85">
        <v>1.58</v>
      </c>
      <c r="J73" s="86">
        <v>19.100000000000001</v>
      </c>
      <c r="K73" s="12"/>
      <c r="L73" s="12"/>
      <c r="M73" s="12"/>
      <c r="N73" s="12"/>
      <c r="O73" s="12"/>
      <c r="Q73" s="12"/>
      <c r="R73" s="103"/>
      <c r="S73" s="103"/>
      <c r="T73" s="103"/>
      <c r="U73" s="103"/>
      <c r="V73" s="103"/>
      <c r="W73" s="103"/>
      <c r="X73" s="74"/>
      <c r="Y73" s="74"/>
      <c r="Z73" s="74"/>
      <c r="AA73" s="74"/>
      <c r="AB73" s="74"/>
      <c r="AC73" s="74"/>
      <c r="AK73" s="68">
        <f t="shared" ref="AK73:AK80" si="47">W20/J73</f>
        <v>17.958115183246072</v>
      </c>
    </row>
    <row r="74" spans="1:39" hidden="1" x14ac:dyDescent="0.25">
      <c r="A74" s="12">
        <v>21</v>
      </c>
      <c r="B74" s="146"/>
      <c r="C74" s="84">
        <v>13</v>
      </c>
      <c r="D74" s="84" t="s">
        <v>36</v>
      </c>
      <c r="E74" s="84">
        <v>10</v>
      </c>
      <c r="F74" s="92"/>
      <c r="G74" s="92"/>
      <c r="H74" s="84">
        <v>22</v>
      </c>
      <c r="I74" s="85">
        <v>1.83</v>
      </c>
      <c r="J74" s="86">
        <v>60.8</v>
      </c>
      <c r="K74" s="12"/>
      <c r="L74" s="12"/>
      <c r="M74" s="12"/>
      <c r="N74" s="12"/>
      <c r="O74" s="12"/>
      <c r="Q74" s="12"/>
      <c r="R74" s="103"/>
      <c r="S74" s="103"/>
      <c r="T74" s="103"/>
      <c r="U74" s="103"/>
      <c r="V74" s="103"/>
      <c r="W74" s="103"/>
      <c r="X74" s="74"/>
      <c r="Y74" s="74"/>
      <c r="Z74" s="74"/>
      <c r="AA74" s="74"/>
      <c r="AB74" s="74"/>
      <c r="AC74" s="74"/>
      <c r="AK74" s="68">
        <f t="shared" si="47"/>
        <v>20.921052631578949</v>
      </c>
    </row>
    <row r="75" spans="1:39" hidden="1" x14ac:dyDescent="0.25">
      <c r="A75" s="12">
        <v>22</v>
      </c>
      <c r="B75" s="146"/>
      <c r="C75" s="84">
        <v>14</v>
      </c>
      <c r="D75" s="84" t="s">
        <v>36</v>
      </c>
      <c r="E75" s="84">
        <v>10</v>
      </c>
      <c r="F75" s="92"/>
      <c r="G75" s="92"/>
      <c r="H75" s="84">
        <v>21</v>
      </c>
      <c r="I75" s="85">
        <v>1.75</v>
      </c>
      <c r="J75" s="86">
        <v>41.6</v>
      </c>
      <c r="K75" s="12"/>
      <c r="L75" s="12"/>
      <c r="M75" s="12"/>
      <c r="N75" s="12"/>
      <c r="O75" s="12"/>
      <c r="Q75" s="12"/>
      <c r="R75" s="103"/>
      <c r="S75" s="103"/>
      <c r="T75" s="103"/>
      <c r="U75" s="103"/>
      <c r="V75" s="103"/>
      <c r="W75" s="103"/>
      <c r="X75" s="74"/>
      <c r="Y75" s="74"/>
      <c r="Z75" s="74"/>
      <c r="AA75" s="74"/>
      <c r="AB75" s="74"/>
      <c r="AC75" s="74"/>
      <c r="AK75" s="68">
        <f t="shared" si="47"/>
        <v>19.951923076923077</v>
      </c>
    </row>
    <row r="76" spans="1:39" hidden="1" x14ac:dyDescent="0.25">
      <c r="A76" s="12">
        <v>23</v>
      </c>
      <c r="B76" s="146"/>
      <c r="C76" s="84">
        <v>15</v>
      </c>
      <c r="D76" s="84" t="s">
        <v>36</v>
      </c>
      <c r="E76" s="84">
        <v>10</v>
      </c>
      <c r="F76" s="92"/>
      <c r="G76" s="92"/>
      <c r="H76" s="84">
        <v>20</v>
      </c>
      <c r="I76" s="85">
        <v>1.67</v>
      </c>
      <c r="J76" s="86">
        <v>49.17</v>
      </c>
      <c r="K76" s="12"/>
      <c r="L76" s="12"/>
      <c r="M76" s="12"/>
      <c r="N76" s="12"/>
      <c r="O76" s="12"/>
      <c r="Q76" s="12"/>
      <c r="R76" s="103"/>
      <c r="S76" s="103"/>
      <c r="T76" s="103"/>
      <c r="U76" s="103"/>
      <c r="V76" s="103"/>
      <c r="W76" s="103"/>
      <c r="X76" s="74"/>
      <c r="Y76" s="74"/>
      <c r="Z76" s="74"/>
      <c r="AA76" s="74"/>
      <c r="AB76" s="74"/>
      <c r="AC76" s="74"/>
      <c r="AK76" s="68">
        <f t="shared" si="47"/>
        <v>19.097010372178158</v>
      </c>
    </row>
    <row r="77" spans="1:39" hidden="1" x14ac:dyDescent="0.25">
      <c r="A77" s="12">
        <v>24</v>
      </c>
      <c r="B77" s="146"/>
      <c r="C77" s="84">
        <v>16</v>
      </c>
      <c r="D77" s="84" t="s">
        <v>36</v>
      </c>
      <c r="E77" s="84">
        <v>9.5</v>
      </c>
      <c r="F77" s="92"/>
      <c r="G77" s="92"/>
      <c r="H77" s="84">
        <v>20</v>
      </c>
      <c r="I77" s="85">
        <v>1.67</v>
      </c>
      <c r="J77" s="86">
        <v>52.61</v>
      </c>
      <c r="K77" s="12"/>
      <c r="L77" s="12"/>
      <c r="M77" s="12"/>
      <c r="N77" s="12"/>
      <c r="O77" s="12"/>
      <c r="Q77" s="12"/>
      <c r="R77" s="103"/>
      <c r="S77" s="103"/>
      <c r="T77" s="103"/>
      <c r="U77" s="103"/>
      <c r="V77" s="103"/>
      <c r="W77" s="103"/>
      <c r="X77" s="74"/>
      <c r="Y77" s="74"/>
      <c r="Z77" s="74"/>
      <c r="AA77" s="74"/>
      <c r="AB77" s="74"/>
      <c r="AC77" s="74"/>
      <c r="AK77" s="68">
        <f t="shared" si="47"/>
        <v>19.159855540771716</v>
      </c>
    </row>
    <row r="78" spans="1:39" hidden="1" x14ac:dyDescent="0.25">
      <c r="A78" s="12">
        <v>25</v>
      </c>
      <c r="B78" s="146"/>
      <c r="C78" s="84">
        <v>17</v>
      </c>
      <c r="D78" s="84" t="s">
        <v>35</v>
      </c>
      <c r="E78" s="84">
        <v>9.5</v>
      </c>
      <c r="F78" s="92"/>
      <c r="G78" s="92"/>
      <c r="H78" s="84">
        <v>22</v>
      </c>
      <c r="I78" s="85">
        <v>1.83</v>
      </c>
      <c r="J78" s="86">
        <v>45.58</v>
      </c>
      <c r="K78" s="12"/>
      <c r="L78" s="12"/>
      <c r="M78" s="12"/>
      <c r="N78" s="12"/>
      <c r="O78" s="12"/>
      <c r="Q78" s="12"/>
      <c r="R78" s="103"/>
      <c r="S78" s="103"/>
      <c r="T78" s="103"/>
      <c r="U78" s="103"/>
      <c r="V78" s="103"/>
      <c r="W78" s="103"/>
      <c r="X78" s="74"/>
      <c r="Y78" s="74"/>
      <c r="Z78" s="74"/>
      <c r="AA78" s="74"/>
      <c r="AB78" s="74"/>
      <c r="AC78" s="74"/>
      <c r="AK78" s="68">
        <f t="shared" si="47"/>
        <v>20.996050899517332</v>
      </c>
    </row>
    <row r="79" spans="1:39" hidden="1" x14ac:dyDescent="0.25">
      <c r="A79" s="12">
        <v>26</v>
      </c>
      <c r="B79" s="147"/>
      <c r="C79" s="84">
        <v>18</v>
      </c>
      <c r="D79" s="84" t="s">
        <v>35</v>
      </c>
      <c r="E79" s="84">
        <v>9.5</v>
      </c>
      <c r="F79" s="92"/>
      <c r="G79" s="92"/>
      <c r="H79" s="84">
        <v>22</v>
      </c>
      <c r="I79" s="85">
        <v>1.83</v>
      </c>
      <c r="J79" s="86">
        <v>40.799999999999997</v>
      </c>
      <c r="K79" s="12"/>
      <c r="L79" s="12"/>
      <c r="M79" s="12"/>
      <c r="N79" s="12"/>
      <c r="O79" s="12"/>
      <c r="Q79" s="12"/>
      <c r="R79" s="103"/>
      <c r="S79" s="103"/>
      <c r="T79" s="103"/>
      <c r="U79" s="103"/>
      <c r="V79" s="103"/>
      <c r="W79" s="103"/>
      <c r="X79" s="74"/>
      <c r="Y79" s="74"/>
      <c r="Z79" s="74"/>
      <c r="AA79" s="74"/>
      <c r="AB79" s="74"/>
      <c r="AC79" s="74"/>
      <c r="AK79" s="68">
        <f t="shared" si="47"/>
        <v>20.980392156862745</v>
      </c>
    </row>
    <row r="80" spans="1:39" s="1" customFormat="1" hidden="1" x14ac:dyDescent="0.25">
      <c r="A80" s="12">
        <v>27</v>
      </c>
      <c r="B80" s="77"/>
      <c r="C80" s="77"/>
      <c r="D80" s="77"/>
      <c r="E80" s="77"/>
      <c r="F80" s="122"/>
      <c r="G80" s="122"/>
      <c r="H80" s="77"/>
      <c r="I80" s="90" t="s">
        <v>42</v>
      </c>
      <c r="J80" s="91">
        <f>SUBTOTAL(9,J73:J79)</f>
        <v>309.66000000000003</v>
      </c>
      <c r="K80" s="77"/>
      <c r="L80" s="77"/>
      <c r="M80" s="77"/>
      <c r="N80" s="77"/>
      <c r="O80" s="77"/>
      <c r="P80" s="77"/>
      <c r="Q80" s="77"/>
      <c r="R80" s="16"/>
      <c r="S80" s="16"/>
      <c r="T80" s="16"/>
      <c r="U80" s="16"/>
      <c r="V80" s="16"/>
      <c r="W80" s="16"/>
      <c r="X80" s="15"/>
      <c r="Y80" s="15"/>
      <c r="Z80" s="15"/>
      <c r="AA80" s="15"/>
      <c r="AB80" s="15"/>
      <c r="AC80" s="15"/>
      <c r="AD80" s="66"/>
      <c r="AE80" s="66"/>
      <c r="AF80" s="66"/>
      <c r="AG80" s="66"/>
      <c r="AH80" s="66"/>
      <c r="AI80" s="66"/>
      <c r="AJ80" s="66"/>
      <c r="AK80" s="69">
        <f t="shared" si="47"/>
        <v>20.034876961829102</v>
      </c>
      <c r="AL80" s="66"/>
      <c r="AM80" s="66"/>
    </row>
    <row r="81" spans="1:39" hidden="1" x14ac:dyDescent="0.25">
      <c r="A81" s="12">
        <v>28</v>
      </c>
      <c r="B81" s="77" t="s">
        <v>45</v>
      </c>
      <c r="C81" s="12"/>
      <c r="D81" s="12"/>
      <c r="E81" s="12"/>
      <c r="F81" s="119"/>
      <c r="G81" s="119"/>
      <c r="H81" s="12"/>
      <c r="I81" s="78"/>
      <c r="J81" s="78"/>
      <c r="K81" s="12"/>
      <c r="L81" s="12"/>
      <c r="M81" s="12"/>
      <c r="N81" s="12"/>
      <c r="O81" s="12"/>
      <c r="Q81" s="12"/>
      <c r="R81" s="12"/>
      <c r="S81" s="12"/>
      <c r="T81" s="12"/>
      <c r="U81" s="12"/>
      <c r="V81" s="12"/>
      <c r="W81" s="12"/>
      <c r="AK81" s="70"/>
    </row>
    <row r="82" spans="1:39" s="5" customFormat="1" ht="30.75" hidden="1" customHeight="1" x14ac:dyDescent="0.25">
      <c r="A82" s="12">
        <v>29</v>
      </c>
      <c r="B82" s="79" t="s">
        <v>1</v>
      </c>
      <c r="C82" s="79" t="s">
        <v>2</v>
      </c>
      <c r="D82" s="79" t="s">
        <v>3</v>
      </c>
      <c r="E82" s="79" t="s">
        <v>4</v>
      </c>
      <c r="F82" s="120"/>
      <c r="G82" s="120"/>
      <c r="H82" s="79" t="s">
        <v>5</v>
      </c>
      <c r="I82" s="80" t="s">
        <v>6</v>
      </c>
      <c r="J82" s="81" t="s">
        <v>7</v>
      </c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AD82" s="63"/>
      <c r="AE82" s="63"/>
      <c r="AF82" s="63"/>
      <c r="AG82" s="63"/>
      <c r="AH82" s="63"/>
      <c r="AI82" s="63"/>
      <c r="AJ82" s="63"/>
      <c r="AK82" s="67" t="s">
        <v>46</v>
      </c>
      <c r="AL82" s="63"/>
      <c r="AM82" s="63"/>
    </row>
    <row r="83" spans="1:39" hidden="1" x14ac:dyDescent="0.25">
      <c r="A83" s="12">
        <v>30</v>
      </c>
      <c r="B83" s="145" t="s">
        <v>23</v>
      </c>
      <c r="C83" s="84">
        <v>19</v>
      </c>
      <c r="D83" s="84" t="s">
        <v>35</v>
      </c>
      <c r="E83" s="84">
        <v>9.5</v>
      </c>
      <c r="F83" s="92"/>
      <c r="G83" s="92"/>
      <c r="H83" s="84">
        <v>21</v>
      </c>
      <c r="I83" s="85">
        <v>1.75</v>
      </c>
      <c r="J83" s="86">
        <v>50.6</v>
      </c>
      <c r="K83" s="12"/>
      <c r="L83" s="12"/>
      <c r="M83" s="12"/>
      <c r="N83" s="12"/>
      <c r="O83" s="12"/>
      <c r="Q83" s="12"/>
      <c r="R83" s="103"/>
      <c r="S83" s="103"/>
      <c r="T83" s="103"/>
      <c r="U83" s="103"/>
      <c r="V83" s="103"/>
      <c r="W83" s="103"/>
      <c r="X83" s="74"/>
      <c r="Y83" s="74"/>
      <c r="Z83" s="74"/>
      <c r="AA83" s="74"/>
      <c r="AB83" s="74"/>
      <c r="AC83" s="74"/>
      <c r="AK83" s="68">
        <f t="shared" ref="AK83:AK88" si="48">W30/J83</f>
        <v>19.920948616600789</v>
      </c>
    </row>
    <row r="84" spans="1:39" hidden="1" x14ac:dyDescent="0.25">
      <c r="A84" s="12">
        <v>31</v>
      </c>
      <c r="B84" s="146"/>
      <c r="C84" s="84">
        <v>20</v>
      </c>
      <c r="D84" s="84" t="s">
        <v>37</v>
      </c>
      <c r="E84" s="84">
        <v>9</v>
      </c>
      <c r="F84" s="92"/>
      <c r="G84" s="92"/>
      <c r="H84" s="84">
        <v>21</v>
      </c>
      <c r="I84" s="85">
        <v>1.75</v>
      </c>
      <c r="J84" s="86">
        <v>61.98</v>
      </c>
      <c r="K84" s="12"/>
      <c r="L84" s="12"/>
      <c r="M84" s="12"/>
      <c r="N84" s="12"/>
      <c r="O84" s="12"/>
      <c r="Q84" s="12"/>
      <c r="R84" s="103"/>
      <c r="S84" s="103"/>
      <c r="T84" s="103"/>
      <c r="U84" s="103"/>
      <c r="V84" s="103"/>
      <c r="W84" s="103"/>
      <c r="X84" s="74"/>
      <c r="Y84" s="74"/>
      <c r="Z84" s="74"/>
      <c r="AA84" s="74"/>
      <c r="AB84" s="74"/>
      <c r="AC84" s="74"/>
      <c r="AK84" s="68">
        <f t="shared" si="48"/>
        <v>19.941916747337853</v>
      </c>
    </row>
    <row r="85" spans="1:39" hidden="1" x14ac:dyDescent="0.25">
      <c r="A85" s="12">
        <v>32</v>
      </c>
      <c r="B85" s="146"/>
      <c r="C85" s="84">
        <v>21</v>
      </c>
      <c r="D85" s="84" t="s">
        <v>37</v>
      </c>
      <c r="E85" s="84">
        <v>9</v>
      </c>
      <c r="F85" s="92"/>
      <c r="G85" s="92"/>
      <c r="H85" s="84">
        <v>23</v>
      </c>
      <c r="I85" s="85">
        <v>1.92</v>
      </c>
      <c r="J85" s="86">
        <v>71.59</v>
      </c>
      <c r="K85" s="12"/>
      <c r="L85" s="12"/>
      <c r="M85" s="12"/>
      <c r="N85" s="12"/>
      <c r="O85" s="12"/>
      <c r="Q85" s="12"/>
      <c r="R85" s="103"/>
      <c r="S85" s="103"/>
      <c r="T85" s="103"/>
      <c r="U85" s="103"/>
      <c r="V85" s="103"/>
      <c r="W85" s="103"/>
      <c r="X85" s="74"/>
      <c r="Y85" s="74"/>
      <c r="Z85" s="74"/>
      <c r="AA85" s="74"/>
      <c r="AB85" s="74"/>
      <c r="AC85" s="74"/>
      <c r="AK85" s="68">
        <f t="shared" si="48"/>
        <v>22.014247799972061</v>
      </c>
    </row>
    <row r="86" spans="1:39" hidden="1" x14ac:dyDescent="0.25">
      <c r="A86" s="12">
        <v>33</v>
      </c>
      <c r="B86" s="146"/>
      <c r="C86" s="84">
        <v>22</v>
      </c>
      <c r="D86" s="84" t="s">
        <v>37</v>
      </c>
      <c r="E86" s="84">
        <v>9</v>
      </c>
      <c r="F86" s="92"/>
      <c r="G86" s="92"/>
      <c r="H86" s="84">
        <v>21</v>
      </c>
      <c r="I86" s="85">
        <v>1.75</v>
      </c>
      <c r="J86" s="86">
        <v>52.08</v>
      </c>
      <c r="K86" s="12"/>
      <c r="L86" s="12"/>
      <c r="M86" s="12"/>
      <c r="N86" s="12"/>
      <c r="O86" s="12"/>
      <c r="Q86" s="12"/>
      <c r="R86" s="103"/>
      <c r="S86" s="103"/>
      <c r="T86" s="103"/>
      <c r="U86" s="103"/>
      <c r="V86" s="103"/>
      <c r="W86" s="103"/>
      <c r="X86" s="74"/>
      <c r="Y86" s="74"/>
      <c r="Z86" s="74"/>
      <c r="AA86" s="74"/>
      <c r="AB86" s="74"/>
      <c r="AC86" s="74"/>
      <c r="AK86" s="68">
        <f t="shared" si="48"/>
        <v>20.084485407066055</v>
      </c>
    </row>
    <row r="87" spans="1:39" hidden="1" x14ac:dyDescent="0.25">
      <c r="A87" s="12">
        <v>34</v>
      </c>
      <c r="B87" s="147"/>
      <c r="C87" s="84">
        <v>24</v>
      </c>
      <c r="D87" s="84" t="s">
        <v>37</v>
      </c>
      <c r="E87" s="84">
        <v>9</v>
      </c>
      <c r="F87" s="92"/>
      <c r="G87" s="92"/>
      <c r="H87" s="84">
        <v>18</v>
      </c>
      <c r="I87" s="85">
        <v>1.5</v>
      </c>
      <c r="J87" s="86">
        <v>44.67</v>
      </c>
      <c r="K87" s="12"/>
      <c r="L87" s="12"/>
      <c r="M87" s="12"/>
      <c r="N87" s="12"/>
      <c r="O87" s="12"/>
      <c r="Q87" s="12"/>
      <c r="R87" s="103"/>
      <c r="S87" s="103"/>
      <c r="T87" s="103"/>
      <c r="U87" s="103"/>
      <c r="V87" s="103"/>
      <c r="W87" s="103"/>
      <c r="X87" s="74"/>
      <c r="Y87" s="74"/>
      <c r="Z87" s="74"/>
      <c r="AA87" s="74"/>
      <c r="AB87" s="74"/>
      <c r="AC87" s="74"/>
      <c r="AK87" s="68">
        <f t="shared" si="48"/>
        <v>17.036042086411459</v>
      </c>
    </row>
    <row r="88" spans="1:39" s="1" customFormat="1" hidden="1" x14ac:dyDescent="0.25">
      <c r="A88" s="12">
        <v>35</v>
      </c>
      <c r="B88" s="77"/>
      <c r="C88" s="77"/>
      <c r="D88" s="77"/>
      <c r="E88" s="77"/>
      <c r="F88" s="122"/>
      <c r="G88" s="122"/>
      <c r="H88" s="77"/>
      <c r="I88" s="90" t="s">
        <v>42</v>
      </c>
      <c r="J88" s="91">
        <f>SUBTOTAL(9,J83:J87)</f>
        <v>280.92</v>
      </c>
      <c r="K88" s="77"/>
      <c r="L88" s="77"/>
      <c r="M88" s="77"/>
      <c r="N88" s="77"/>
      <c r="O88" s="77"/>
      <c r="P88" s="77"/>
      <c r="Q88" s="77"/>
      <c r="R88" s="16"/>
      <c r="S88" s="16"/>
      <c r="T88" s="16"/>
      <c r="U88" s="16"/>
      <c r="V88" s="16"/>
      <c r="W88" s="16"/>
      <c r="X88" s="15"/>
      <c r="Y88" s="15"/>
      <c r="Z88" s="15"/>
      <c r="AA88" s="15"/>
      <c r="AB88" s="15"/>
      <c r="AC88" s="15"/>
      <c r="AD88" s="62"/>
      <c r="AE88" s="66"/>
      <c r="AF88" s="66"/>
      <c r="AG88" s="66"/>
      <c r="AH88" s="66"/>
      <c r="AI88" s="66"/>
      <c r="AJ88" s="66"/>
      <c r="AK88" s="69">
        <f t="shared" si="48"/>
        <v>20.034173430158052</v>
      </c>
      <c r="AL88" s="66"/>
      <c r="AM88" s="66"/>
    </row>
    <row r="89" spans="1:39" hidden="1" x14ac:dyDescent="0.25">
      <c r="A89" s="12">
        <v>36</v>
      </c>
      <c r="B89" s="12"/>
      <c r="C89" s="12"/>
      <c r="D89" s="12"/>
      <c r="E89" s="12"/>
      <c r="F89" s="119"/>
      <c r="G89" s="119"/>
      <c r="H89" s="12"/>
      <c r="I89" s="78"/>
      <c r="J89" s="78"/>
      <c r="K89" s="12"/>
      <c r="L89" s="12"/>
      <c r="M89" s="12"/>
      <c r="N89" s="12"/>
      <c r="O89" s="12"/>
      <c r="Q89" s="12"/>
      <c r="R89" s="12"/>
      <c r="S89" s="12"/>
      <c r="T89" s="12"/>
      <c r="U89" s="12"/>
      <c r="V89" s="12"/>
      <c r="W89" s="12"/>
      <c r="AK89" s="70"/>
    </row>
    <row r="90" spans="1:39" s="5" customFormat="1" ht="30.75" hidden="1" customHeight="1" x14ac:dyDescent="0.25">
      <c r="A90" s="12">
        <v>40</v>
      </c>
      <c r="B90" s="79" t="s">
        <v>1</v>
      </c>
      <c r="C90" s="79" t="s">
        <v>2</v>
      </c>
      <c r="D90" s="79" t="s">
        <v>3</v>
      </c>
      <c r="E90" s="79" t="s">
        <v>4</v>
      </c>
      <c r="F90" s="120"/>
      <c r="G90" s="120"/>
      <c r="H90" s="79" t="s">
        <v>5</v>
      </c>
      <c r="I90" s="80" t="s">
        <v>6</v>
      </c>
      <c r="J90" s="81" t="s">
        <v>7</v>
      </c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AD90" s="63"/>
      <c r="AE90" s="63"/>
      <c r="AF90" s="63"/>
      <c r="AG90" s="63"/>
      <c r="AH90" s="63"/>
      <c r="AI90" s="63"/>
      <c r="AJ90" s="63"/>
      <c r="AK90" s="67" t="s">
        <v>46</v>
      </c>
      <c r="AL90" s="63"/>
      <c r="AM90" s="63"/>
    </row>
    <row r="91" spans="1:39" hidden="1" x14ac:dyDescent="0.25">
      <c r="A91" s="12">
        <v>41</v>
      </c>
      <c r="B91" s="145" t="s">
        <v>24</v>
      </c>
      <c r="C91" s="92">
        <v>25</v>
      </c>
      <c r="D91" s="84" t="s">
        <v>38</v>
      </c>
      <c r="E91" s="84">
        <v>2</v>
      </c>
      <c r="F91" s="92"/>
      <c r="G91" s="92"/>
      <c r="H91" s="84">
        <v>4</v>
      </c>
      <c r="I91" s="85"/>
      <c r="J91" s="86">
        <v>38.200000000000003</v>
      </c>
      <c r="K91" s="12"/>
      <c r="L91" s="12"/>
      <c r="M91" s="12"/>
      <c r="N91" s="12"/>
      <c r="O91" s="12"/>
      <c r="Q91" s="12"/>
      <c r="R91" s="103"/>
      <c r="S91" s="103"/>
      <c r="T91" s="103"/>
      <c r="U91" s="103"/>
      <c r="V91" s="103"/>
      <c r="W91" s="103"/>
      <c r="X91" s="74"/>
      <c r="Y91" s="74"/>
      <c r="Z91" s="74"/>
      <c r="AA91" s="74"/>
      <c r="AB91" s="74"/>
      <c r="AC91" s="74"/>
      <c r="AK91" s="68">
        <f>W38/J91</f>
        <v>3.9528795811518322</v>
      </c>
    </row>
    <row r="92" spans="1:39" hidden="1" x14ac:dyDescent="0.25">
      <c r="A92" s="12">
        <v>42</v>
      </c>
      <c r="B92" s="146"/>
      <c r="C92" s="92" t="s">
        <v>25</v>
      </c>
      <c r="D92" s="84" t="s">
        <v>38</v>
      </c>
      <c r="E92" s="84">
        <v>2</v>
      </c>
      <c r="F92" s="92"/>
      <c r="G92" s="92"/>
      <c r="H92" s="84">
        <v>6</v>
      </c>
      <c r="I92" s="85"/>
      <c r="J92" s="86">
        <v>22.7</v>
      </c>
      <c r="K92" s="12"/>
      <c r="L92" s="12"/>
      <c r="M92" s="12"/>
      <c r="N92" s="12"/>
      <c r="O92" s="12"/>
      <c r="Q92" s="12"/>
      <c r="R92" s="103"/>
      <c r="S92" s="103"/>
      <c r="T92" s="103"/>
      <c r="U92" s="103"/>
      <c r="V92" s="103"/>
      <c r="W92" s="103"/>
      <c r="X92" s="74"/>
      <c r="Y92" s="74"/>
      <c r="Z92" s="74"/>
      <c r="AA92" s="74"/>
      <c r="AB92" s="74"/>
      <c r="AC92" s="74"/>
      <c r="AK92" s="68">
        <f>W39/J92</f>
        <v>5.8590308370044051</v>
      </c>
    </row>
    <row r="93" spans="1:39" hidden="1" x14ac:dyDescent="0.25">
      <c r="A93" s="12">
        <v>43</v>
      </c>
      <c r="B93" s="146"/>
      <c r="C93" s="93" t="s">
        <v>26</v>
      </c>
      <c r="D93" s="104" t="s">
        <v>27</v>
      </c>
      <c r="E93" s="105"/>
      <c r="F93" s="124"/>
      <c r="G93" s="124"/>
      <c r="H93" s="105"/>
      <c r="I93" s="105"/>
      <c r="J93" s="105"/>
      <c r="K93" s="12"/>
      <c r="L93" s="12"/>
      <c r="M93" s="12"/>
      <c r="N93" s="12"/>
      <c r="O93" s="12"/>
      <c r="Q93" s="12"/>
      <c r="R93" s="94"/>
      <c r="S93" s="94"/>
      <c r="T93" s="94"/>
      <c r="U93" s="94"/>
      <c r="V93" s="94"/>
      <c r="W93" s="94"/>
      <c r="X93" s="61"/>
      <c r="Y93" s="61"/>
      <c r="Z93" s="61"/>
      <c r="AA93" s="61"/>
      <c r="AB93" s="61"/>
      <c r="AC93" s="61"/>
      <c r="AK93" s="68"/>
    </row>
    <row r="94" spans="1:39" hidden="1" x14ac:dyDescent="0.25">
      <c r="A94" s="12">
        <v>44</v>
      </c>
      <c r="B94" s="146"/>
      <c r="C94" s="92">
        <v>27</v>
      </c>
      <c r="D94" s="84" t="s">
        <v>38</v>
      </c>
      <c r="E94" s="84">
        <v>2</v>
      </c>
      <c r="F94" s="92"/>
      <c r="G94" s="92"/>
      <c r="H94" s="84">
        <v>6</v>
      </c>
      <c r="I94" s="85"/>
      <c r="J94" s="106">
        <v>14.3</v>
      </c>
      <c r="K94" s="12"/>
      <c r="L94" s="12"/>
      <c r="M94" s="12"/>
      <c r="N94" s="12"/>
      <c r="O94" s="12"/>
      <c r="Q94" s="12"/>
      <c r="R94" s="103"/>
      <c r="S94" s="103"/>
      <c r="T94" s="103"/>
      <c r="U94" s="103"/>
      <c r="V94" s="103"/>
      <c r="W94" s="103"/>
      <c r="X94" s="74"/>
      <c r="Y94" s="74"/>
      <c r="Z94" s="74"/>
      <c r="AA94" s="74"/>
      <c r="AB94" s="74"/>
      <c r="AC94" s="74"/>
      <c r="AK94" s="68">
        <f>W41/J94</f>
        <v>5.9440559440559442</v>
      </c>
    </row>
    <row r="95" spans="1:39" hidden="1" x14ac:dyDescent="0.25">
      <c r="A95" s="12">
        <v>45</v>
      </c>
      <c r="B95" s="146"/>
      <c r="C95" s="92">
        <v>28</v>
      </c>
      <c r="D95" s="84" t="s">
        <v>39</v>
      </c>
      <c r="E95" s="84">
        <v>3</v>
      </c>
      <c r="F95" s="92"/>
      <c r="G95" s="92"/>
      <c r="H95" s="84">
        <v>12</v>
      </c>
      <c r="I95" s="85"/>
      <c r="J95" s="106">
        <v>21.9</v>
      </c>
      <c r="K95" s="12"/>
      <c r="L95" s="12"/>
      <c r="M95" s="12"/>
      <c r="N95" s="12"/>
      <c r="O95" s="12"/>
      <c r="Q95" s="12"/>
      <c r="R95" s="103"/>
      <c r="S95" s="103"/>
      <c r="T95" s="103"/>
      <c r="U95" s="103"/>
      <c r="V95" s="103"/>
      <c r="W95" s="103"/>
      <c r="X95" s="74"/>
      <c r="Y95" s="74"/>
      <c r="Z95" s="74"/>
      <c r="AA95" s="74"/>
      <c r="AB95" s="74"/>
      <c r="AC95" s="74"/>
      <c r="AK95" s="68">
        <f>W42/J95</f>
        <v>11.963470319634704</v>
      </c>
    </row>
    <row r="96" spans="1:39" hidden="1" x14ac:dyDescent="0.25">
      <c r="A96" s="12">
        <v>46</v>
      </c>
      <c r="B96" s="146"/>
      <c r="C96" s="92">
        <v>29</v>
      </c>
      <c r="D96" s="84" t="s">
        <v>40</v>
      </c>
      <c r="E96" s="84" t="s">
        <v>28</v>
      </c>
      <c r="F96" s="92"/>
      <c r="G96" s="92"/>
      <c r="H96" s="84">
        <v>4</v>
      </c>
      <c r="I96" s="85"/>
      <c r="J96" s="106">
        <v>19.2</v>
      </c>
      <c r="K96" s="12"/>
      <c r="L96" s="12"/>
      <c r="M96" s="12"/>
      <c r="N96" s="12"/>
      <c r="O96" s="12"/>
      <c r="Q96" s="12"/>
      <c r="R96" s="103"/>
      <c r="S96" s="103"/>
      <c r="T96" s="103"/>
      <c r="U96" s="103"/>
      <c r="V96" s="103"/>
      <c r="W96" s="103"/>
      <c r="X96" s="74"/>
      <c r="Y96" s="74"/>
      <c r="Z96" s="74"/>
      <c r="AA96" s="74"/>
      <c r="AB96" s="74"/>
      <c r="AC96" s="74"/>
      <c r="AK96" s="68">
        <f>W43/J96</f>
        <v>3.9583333333333335</v>
      </c>
    </row>
    <row r="97" spans="1:39" hidden="1" x14ac:dyDescent="0.25">
      <c r="A97" s="12">
        <v>47</v>
      </c>
      <c r="B97" s="146"/>
      <c r="C97" s="92">
        <v>30</v>
      </c>
      <c r="D97" s="84" t="s">
        <v>40</v>
      </c>
      <c r="E97" s="84" t="s">
        <v>28</v>
      </c>
      <c r="F97" s="92"/>
      <c r="G97" s="92"/>
      <c r="H97" s="84">
        <v>4</v>
      </c>
      <c r="I97" s="85"/>
      <c r="J97" s="106">
        <v>24.3</v>
      </c>
      <c r="K97" s="12"/>
      <c r="L97" s="12"/>
      <c r="M97" s="12"/>
      <c r="N97" s="12"/>
      <c r="O97" s="12"/>
      <c r="Q97" s="12"/>
      <c r="R97" s="103"/>
      <c r="S97" s="103"/>
      <c r="T97" s="103"/>
      <c r="U97" s="103"/>
      <c r="V97" s="103"/>
      <c r="W97" s="103"/>
      <c r="X97" s="74"/>
      <c r="Y97" s="74"/>
      <c r="Z97" s="74"/>
      <c r="AA97" s="74"/>
      <c r="AB97" s="74"/>
      <c r="AC97" s="74"/>
      <c r="AK97" s="68">
        <f>W44/J97</f>
        <v>3.9094650205761314</v>
      </c>
    </row>
    <row r="98" spans="1:39" hidden="1" x14ac:dyDescent="0.25">
      <c r="A98" s="12">
        <v>48</v>
      </c>
      <c r="B98" s="146"/>
      <c r="C98" s="92">
        <v>31</v>
      </c>
      <c r="D98" s="84" t="s">
        <v>40</v>
      </c>
      <c r="E98" s="84" t="s">
        <v>28</v>
      </c>
      <c r="F98" s="92"/>
      <c r="G98" s="92"/>
      <c r="H98" s="84">
        <v>4</v>
      </c>
      <c r="I98" s="85"/>
      <c r="J98" s="106">
        <v>34</v>
      </c>
      <c r="K98" s="12"/>
      <c r="L98" s="12"/>
      <c r="M98" s="12"/>
      <c r="N98" s="12"/>
      <c r="O98" s="12"/>
      <c r="Q98" s="12"/>
      <c r="R98" s="103"/>
      <c r="S98" s="103"/>
      <c r="T98" s="103"/>
      <c r="U98" s="103"/>
      <c r="V98" s="103"/>
      <c r="W98" s="103"/>
      <c r="X98" s="74"/>
      <c r="Y98" s="74"/>
      <c r="Z98" s="74"/>
      <c r="AA98" s="74"/>
      <c r="AB98" s="74"/>
      <c r="AC98" s="74"/>
      <c r="AK98" s="71">
        <f>W45/J98</f>
        <v>3.9705882352941178</v>
      </c>
    </row>
    <row r="99" spans="1:39" hidden="1" x14ac:dyDescent="0.25">
      <c r="A99" s="12">
        <v>49</v>
      </c>
      <c r="B99" s="147"/>
      <c r="C99" s="93">
        <v>32</v>
      </c>
      <c r="D99" s="99" t="s">
        <v>29</v>
      </c>
      <c r="E99" s="99"/>
      <c r="F99" s="93"/>
      <c r="G99" s="93"/>
      <c r="H99" s="99"/>
      <c r="I99" s="99"/>
      <c r="J99" s="99"/>
      <c r="K99" s="12"/>
      <c r="L99" s="12"/>
      <c r="M99" s="12"/>
      <c r="N99" s="12"/>
      <c r="O99" s="12"/>
      <c r="Q99" s="12"/>
      <c r="R99" s="99"/>
      <c r="S99" s="99"/>
      <c r="T99" s="99"/>
      <c r="U99" s="99"/>
      <c r="V99" s="99"/>
      <c r="W99" s="99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</row>
    <row r="100" spans="1:39" s="1" customFormat="1" hidden="1" x14ac:dyDescent="0.25">
      <c r="A100" s="12">
        <v>50</v>
      </c>
      <c r="B100" s="77"/>
      <c r="C100" s="77"/>
      <c r="D100" s="77"/>
      <c r="E100" s="77"/>
      <c r="F100" s="122"/>
      <c r="G100" s="122"/>
      <c r="H100" s="77"/>
      <c r="I100" s="90" t="s">
        <v>42</v>
      </c>
      <c r="J100" s="91">
        <f>SUBTOTAL(9,J91:J99)</f>
        <v>174.6</v>
      </c>
      <c r="K100" s="77"/>
      <c r="L100" s="77"/>
      <c r="M100" s="77"/>
      <c r="N100" s="77"/>
      <c r="O100" s="77"/>
      <c r="P100" s="77"/>
      <c r="Q100" s="77"/>
      <c r="R100" s="16"/>
      <c r="S100" s="16"/>
      <c r="T100" s="16"/>
      <c r="U100" s="16"/>
      <c r="V100" s="16"/>
      <c r="W100" s="16"/>
      <c r="X100" s="15"/>
      <c r="Y100" s="15"/>
      <c r="Z100" s="15"/>
      <c r="AA100" s="15"/>
      <c r="AB100" s="15"/>
      <c r="AC100" s="15"/>
      <c r="AD100" s="66"/>
      <c r="AE100" s="66"/>
      <c r="AF100" s="66"/>
      <c r="AG100" s="66"/>
      <c r="AH100" s="66"/>
      <c r="AI100" s="66"/>
      <c r="AJ100" s="66"/>
      <c r="AK100" s="69">
        <f>W47/J100</f>
        <v>5.3722794959908367</v>
      </c>
      <c r="AL100" s="66"/>
      <c r="AM100" s="66"/>
    </row>
    <row r="101" spans="1:39" hidden="1" x14ac:dyDescent="0.25">
      <c r="A101" s="12">
        <v>51</v>
      </c>
      <c r="B101" s="12"/>
      <c r="C101" s="12"/>
      <c r="D101" s="12"/>
      <c r="E101" s="12"/>
      <c r="F101" s="119"/>
      <c r="G101" s="119"/>
      <c r="H101" s="12"/>
      <c r="I101" s="78"/>
      <c r="J101" s="78"/>
      <c r="K101" s="12"/>
      <c r="L101" s="12"/>
      <c r="M101" s="12"/>
      <c r="N101" s="12"/>
      <c r="O101" s="12"/>
      <c r="Q101" s="12"/>
      <c r="R101" s="12"/>
      <c r="S101" s="12"/>
      <c r="T101" s="12"/>
      <c r="U101" s="12"/>
      <c r="V101" s="12"/>
      <c r="W101" s="12"/>
      <c r="AK101" s="70"/>
    </row>
    <row r="102" spans="1:39" hidden="1" x14ac:dyDescent="0.25">
      <c r="A102" s="12">
        <v>52</v>
      </c>
      <c r="B102" s="12"/>
      <c r="C102" s="12"/>
      <c r="D102" s="12"/>
      <c r="E102" s="12"/>
      <c r="F102" s="119"/>
      <c r="G102" s="119"/>
      <c r="H102" s="12"/>
      <c r="I102" s="78"/>
      <c r="J102" s="78"/>
      <c r="K102" s="12"/>
      <c r="L102" s="12"/>
      <c r="M102" s="12"/>
      <c r="N102" s="12"/>
      <c r="O102" s="12"/>
      <c r="Q102" s="12"/>
      <c r="R102" s="12"/>
      <c r="S102" s="12"/>
      <c r="T102" s="12"/>
      <c r="U102" s="12"/>
      <c r="V102" s="12"/>
      <c r="W102" s="12"/>
      <c r="AK102" s="70"/>
    </row>
    <row r="103" spans="1:39" s="5" customFormat="1" ht="30.75" hidden="1" customHeight="1" x14ac:dyDescent="0.25">
      <c r="A103" s="12">
        <v>53</v>
      </c>
      <c r="B103" s="79" t="s">
        <v>1</v>
      </c>
      <c r="C103" s="79" t="s">
        <v>2</v>
      </c>
      <c r="D103" s="79" t="s">
        <v>3</v>
      </c>
      <c r="E103" s="79" t="s">
        <v>4</v>
      </c>
      <c r="F103" s="120"/>
      <c r="G103" s="120"/>
      <c r="H103" s="79" t="s">
        <v>5</v>
      </c>
      <c r="I103" s="80" t="s">
        <v>6</v>
      </c>
      <c r="J103" s="81" t="s">
        <v>7</v>
      </c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AD103" s="63"/>
      <c r="AE103" s="63"/>
      <c r="AF103" s="63"/>
      <c r="AG103" s="63"/>
      <c r="AH103" s="63"/>
      <c r="AI103" s="63"/>
      <c r="AJ103" s="63"/>
      <c r="AK103" s="67" t="s">
        <v>46</v>
      </c>
      <c r="AL103" s="63"/>
      <c r="AM103" s="63"/>
    </row>
    <row r="104" spans="1:39" hidden="1" x14ac:dyDescent="0.25">
      <c r="A104" s="12">
        <v>54</v>
      </c>
      <c r="B104" s="145" t="s">
        <v>30</v>
      </c>
      <c r="C104" s="84">
        <v>33</v>
      </c>
      <c r="D104" s="84" t="s">
        <v>39</v>
      </c>
      <c r="E104" s="84">
        <v>3</v>
      </c>
      <c r="F104" s="92"/>
      <c r="G104" s="92"/>
      <c r="H104" s="84">
        <v>15</v>
      </c>
      <c r="I104" s="85">
        <v>1.25</v>
      </c>
      <c r="J104" s="86">
        <v>28.4</v>
      </c>
      <c r="K104" s="12"/>
      <c r="L104" s="12"/>
      <c r="M104" s="12"/>
      <c r="N104" s="12"/>
      <c r="O104" s="12"/>
      <c r="Q104" s="12"/>
      <c r="R104" s="103"/>
      <c r="S104" s="103"/>
      <c r="T104" s="103"/>
      <c r="U104" s="103"/>
      <c r="V104" s="103"/>
      <c r="W104" s="103"/>
      <c r="X104" s="74"/>
      <c r="Y104" s="74"/>
      <c r="Z104" s="74"/>
      <c r="AA104" s="74"/>
      <c r="AB104" s="74"/>
      <c r="AC104" s="74"/>
      <c r="AK104" s="68">
        <f>W50/J104</f>
        <v>15.035211267605634</v>
      </c>
    </row>
    <row r="105" spans="1:39" hidden="1" x14ac:dyDescent="0.25">
      <c r="A105" s="12">
        <v>55</v>
      </c>
      <c r="B105" s="147"/>
      <c r="C105" s="84">
        <v>39</v>
      </c>
      <c r="D105" s="84" t="s">
        <v>41</v>
      </c>
      <c r="E105" s="84">
        <v>8</v>
      </c>
      <c r="F105" s="92"/>
      <c r="G105" s="92"/>
      <c r="H105" s="84">
        <v>6</v>
      </c>
      <c r="I105" s="85">
        <v>0.5</v>
      </c>
      <c r="J105" s="86">
        <v>4.5</v>
      </c>
      <c r="K105" s="12"/>
      <c r="L105" s="12"/>
      <c r="M105" s="12"/>
      <c r="N105" s="12"/>
      <c r="O105" s="12"/>
      <c r="Q105" s="12"/>
      <c r="R105" s="103"/>
      <c r="S105" s="103"/>
      <c r="T105" s="103"/>
      <c r="U105" s="103"/>
      <c r="V105" s="103"/>
      <c r="W105" s="103"/>
      <c r="X105" s="64"/>
      <c r="Y105" s="64"/>
      <c r="Z105" s="64"/>
      <c r="AA105" s="64"/>
      <c r="AB105" s="64"/>
      <c r="AC105" s="64"/>
      <c r="AK105" s="68">
        <f>W51/J105</f>
        <v>6</v>
      </c>
    </row>
    <row r="106" spans="1:39" s="1" customFormat="1" hidden="1" x14ac:dyDescent="0.25">
      <c r="A106" s="77"/>
      <c r="B106" s="77"/>
      <c r="C106" s="77"/>
      <c r="D106" s="77"/>
      <c r="E106" s="77"/>
      <c r="F106" s="122"/>
      <c r="G106" s="122"/>
      <c r="H106" s="77"/>
      <c r="I106" s="90" t="s">
        <v>42</v>
      </c>
      <c r="J106" s="91">
        <f>SUBTOTAL(9,J100:J105)</f>
        <v>32.9</v>
      </c>
      <c r="K106" s="77"/>
      <c r="L106" s="77"/>
      <c r="M106" s="77"/>
      <c r="N106" s="77"/>
      <c r="O106" s="77"/>
      <c r="P106" s="77"/>
      <c r="Q106" s="77"/>
      <c r="R106" s="16"/>
      <c r="S106" s="16"/>
      <c r="T106" s="16"/>
      <c r="U106" s="16"/>
      <c r="V106" s="16"/>
      <c r="W106" s="16"/>
      <c r="X106" s="15"/>
      <c r="Y106" s="15"/>
      <c r="Z106" s="15"/>
      <c r="AA106" s="15"/>
      <c r="AB106" s="15"/>
      <c r="AC106" s="15"/>
      <c r="AD106" s="66"/>
      <c r="AE106" s="66"/>
      <c r="AF106" s="66"/>
      <c r="AG106" s="66"/>
      <c r="AH106" s="66"/>
      <c r="AI106" s="66"/>
      <c r="AJ106" s="66"/>
      <c r="AK106" s="69">
        <f>W52/J106</f>
        <v>13.799392097264437</v>
      </c>
      <c r="AL106" s="66"/>
      <c r="AM106" s="66"/>
    </row>
    <row r="107" spans="1:39" s="1" customFormat="1" hidden="1" x14ac:dyDescent="0.25">
      <c r="F107" s="125"/>
      <c r="G107" s="125"/>
      <c r="I107" s="11"/>
      <c r="J107" s="8"/>
      <c r="K107" s="15"/>
      <c r="L107" s="15"/>
      <c r="M107" s="15"/>
      <c r="N107" s="15"/>
      <c r="O107" s="15"/>
      <c r="P107" s="16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65"/>
      <c r="AE107" s="65"/>
      <c r="AF107" s="65"/>
      <c r="AG107" s="65"/>
      <c r="AH107" s="65"/>
      <c r="AI107" s="65"/>
      <c r="AJ107" s="66"/>
      <c r="AK107" s="66"/>
      <c r="AL107" s="66"/>
      <c r="AM107" s="66"/>
    </row>
  </sheetData>
  <mergeCells count="12">
    <mergeCell ref="B104:B105"/>
    <mergeCell ref="B50:B51"/>
    <mergeCell ref="B58:B69"/>
    <mergeCell ref="B73:B79"/>
    <mergeCell ref="B83:B87"/>
    <mergeCell ref="B91:B99"/>
    <mergeCell ref="B5:B16"/>
    <mergeCell ref="B20:B26"/>
    <mergeCell ref="B30:B34"/>
    <mergeCell ref="B38:B46"/>
    <mergeCell ref="D40:P40"/>
    <mergeCell ref="D46:P46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FFB Budget 2026</vt:lpstr>
      <vt:lpstr>FFB Budget 2026 - 2</vt:lpstr>
      <vt:lpstr>FFB Budget 2026 - 2 summary</vt:lpstr>
      <vt:lpstr>'FFB Budget 2026 - 2'!budget2024</vt:lpstr>
      <vt:lpstr>'FFB Budget 2026 - 2 summary'!budget2024</vt:lpstr>
      <vt:lpstr>budget2024</vt:lpstr>
      <vt:lpstr>'FFB Budget 2026'!ffbbudgettwofive</vt:lpstr>
      <vt:lpstr>'FFB Budget 2026 - 2'!ffbbudgettwofive</vt:lpstr>
      <vt:lpstr>'FFB Budget 2026 - 2 summary'!ffbbudgettwofive</vt:lpstr>
      <vt:lpstr>'FFB Budget 2026'!Print_Area</vt:lpstr>
      <vt:lpstr>'FFB Budget 2026 - 2'!Print_Area</vt:lpstr>
      <vt:lpstr>'FFB Budget 2026 - 2 summary'!Print_Area</vt:lpstr>
      <vt:lpstr>'FFB Budget 2026'!Print_Titles</vt:lpstr>
      <vt:lpstr>'FFB Budget 2026 - 2'!Print_Titles</vt:lpstr>
      <vt:lpstr>'FFB Budget 2026 - 2 summary'!Print_Titles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 Dept</dc:creator>
  <cp:lastModifiedBy>KEVIN CHAN</cp:lastModifiedBy>
  <cp:lastPrinted>2026-02-02T07:48:32Z</cp:lastPrinted>
  <dcterms:created xsi:type="dcterms:W3CDTF">2026-01-14T01:28:23Z</dcterms:created>
  <dcterms:modified xsi:type="dcterms:W3CDTF">2026-02-06T01:17:51Z</dcterms:modified>
</cp:coreProperties>
</file>