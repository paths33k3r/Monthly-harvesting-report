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B3329CB-79E1-468E-AE86-B569632614A1}" xr6:coauthVersionLast="47" xr6:coauthVersionMax="47" xr10:uidLastSave="{00000000-0000-0000-0000-000000000000}"/>
  <bookViews>
    <workbookView xWindow="-120" yWindow="-120" windowWidth="29040" windowHeight="15720" xr2:uid="{16B376D7-7D67-4FEF-B7D3-543622EFE753}"/>
  </bookViews>
  <sheets>
    <sheet name="HARVESTING INTERVAL-MARCH" sheetId="1" r:id="rId1"/>
  </sheets>
  <definedNames>
    <definedName name="_xlnm.Print_Area" localSheetId="0">'HARVESTING INTERVAL-MARCH'!$A$1:$AU$82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E76" i="1"/>
  <c r="AR75" i="1"/>
  <c r="AQ75" i="1"/>
  <c r="AP75" i="1"/>
  <c r="AO75" i="1"/>
  <c r="AN75" i="1"/>
  <c r="AM75" i="1"/>
  <c r="AL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T73" i="1"/>
  <c r="AT75" i="1" s="1"/>
  <c r="AS73" i="1"/>
  <c r="AJ73" i="1"/>
  <c r="AT71" i="1"/>
  <c r="AS71" i="1"/>
  <c r="AJ71" i="1"/>
  <c r="AT69" i="1"/>
  <c r="AS69" i="1"/>
  <c r="AJ69" i="1"/>
  <c r="AT67" i="1"/>
  <c r="AS67" i="1"/>
  <c r="AJ67" i="1"/>
  <c r="AT65" i="1"/>
  <c r="AS65" i="1"/>
  <c r="AJ65" i="1"/>
  <c r="AT63" i="1"/>
  <c r="AS63" i="1"/>
  <c r="AJ63" i="1"/>
  <c r="AT61" i="1"/>
  <c r="AS61" i="1"/>
  <c r="AJ61" i="1"/>
  <c r="AT59" i="1"/>
  <c r="AS59" i="1"/>
  <c r="AK59" i="1"/>
  <c r="AJ59" i="1"/>
  <c r="AT57" i="1"/>
  <c r="AS57" i="1"/>
  <c r="AJ57" i="1"/>
  <c r="AT55" i="1"/>
  <c r="AS55" i="1"/>
  <c r="AJ55" i="1"/>
  <c r="AT53" i="1"/>
  <c r="AS53" i="1"/>
  <c r="AJ53" i="1"/>
  <c r="AT51" i="1"/>
  <c r="AS51" i="1"/>
  <c r="AJ51" i="1"/>
  <c r="AT49" i="1"/>
  <c r="AS49" i="1"/>
  <c r="AJ49" i="1"/>
  <c r="AT47" i="1"/>
  <c r="AS47" i="1"/>
  <c r="AJ47" i="1"/>
  <c r="AT45" i="1"/>
  <c r="AK45" i="1"/>
  <c r="AS45" i="1" s="1"/>
  <c r="AJ45" i="1"/>
  <c r="AT43" i="1"/>
  <c r="AS43" i="1"/>
  <c r="AJ43" i="1"/>
  <c r="AT41" i="1"/>
  <c r="AS41" i="1"/>
  <c r="AJ41" i="1"/>
  <c r="AT39" i="1"/>
  <c r="AS39" i="1"/>
  <c r="AJ39" i="1"/>
  <c r="AT37" i="1"/>
  <c r="AS37" i="1"/>
  <c r="AJ37" i="1"/>
  <c r="AT35" i="1"/>
  <c r="AS35" i="1"/>
  <c r="AJ35" i="1"/>
  <c r="AT33" i="1"/>
  <c r="AS33" i="1"/>
  <c r="AJ33" i="1"/>
  <c r="AT31" i="1"/>
  <c r="AS31" i="1"/>
  <c r="AJ31" i="1"/>
  <c r="AT29" i="1"/>
  <c r="AS29" i="1"/>
  <c r="AK29" i="1"/>
  <c r="AJ29" i="1"/>
  <c r="AT27" i="1"/>
  <c r="AS27" i="1"/>
  <c r="AJ27" i="1"/>
  <c r="AT25" i="1"/>
  <c r="AS25" i="1"/>
  <c r="AJ25" i="1"/>
  <c r="AT23" i="1"/>
  <c r="AS23" i="1"/>
  <c r="AJ23" i="1"/>
  <c r="AT21" i="1"/>
  <c r="AS21" i="1"/>
  <c r="AJ21" i="1"/>
  <c r="AT19" i="1"/>
  <c r="AS19" i="1"/>
  <c r="AK19" i="1"/>
  <c r="AJ19" i="1"/>
  <c r="AT17" i="1"/>
  <c r="AS17" i="1"/>
  <c r="AJ17" i="1"/>
  <c r="AT15" i="1"/>
  <c r="AK15" i="1"/>
  <c r="AS15" i="1" s="1"/>
  <c r="AJ15" i="1"/>
  <c r="AT13" i="1"/>
  <c r="AS13" i="1"/>
  <c r="AJ13" i="1"/>
  <c r="AT11" i="1"/>
  <c r="AS11" i="1"/>
  <c r="AJ11" i="1"/>
  <c r="AT9" i="1"/>
  <c r="AS9" i="1"/>
  <c r="AK9" i="1"/>
  <c r="AK75" i="1" s="1"/>
  <c r="AJ9" i="1"/>
  <c r="AT7" i="1"/>
  <c r="AS7" i="1"/>
  <c r="AJ7" i="1"/>
  <c r="AT5" i="1"/>
  <c r="AS5" i="1"/>
  <c r="AJ5" i="1"/>
  <c r="AS75" i="1" l="1"/>
  <c r="AS77" i="1" s="1"/>
</calcChain>
</file>

<file path=xl/sharedStrings.xml><?xml version="1.0" encoding="utf-8"?>
<sst xmlns="http://schemas.openxmlformats.org/spreadsheetml/2006/main" count="40" uniqueCount="29">
  <si>
    <t xml:space="preserve"> </t>
  </si>
  <si>
    <t>MONTH :</t>
  </si>
  <si>
    <t>MARCH</t>
  </si>
  <si>
    <t>GANG</t>
  </si>
  <si>
    <t>YEAR</t>
  </si>
  <si>
    <t xml:space="preserve">BLOCK </t>
  </si>
  <si>
    <t>HA</t>
  </si>
  <si>
    <t>TOTAL MANDAY</t>
  </si>
  <si>
    <t>1ST RD</t>
  </si>
  <si>
    <t>2ND RD</t>
  </si>
  <si>
    <t>3RD RD</t>
  </si>
  <si>
    <t>4TH RD</t>
  </si>
  <si>
    <t>FFB&amp;LF PRODUCTION</t>
  </si>
  <si>
    <t>NO</t>
  </si>
  <si>
    <t>FFB/MT</t>
  </si>
  <si>
    <t>LF/MT</t>
  </si>
  <si>
    <t>YUVENTUS GANG</t>
  </si>
  <si>
    <t>SOFIO MODENTUS MISSA GANG</t>
  </si>
  <si>
    <t>DARSO GANG</t>
  </si>
  <si>
    <t>NU AZANI</t>
  </si>
  <si>
    <t>WENDELINUS</t>
  </si>
  <si>
    <t>26A</t>
  </si>
  <si>
    <t>YUDI</t>
  </si>
  <si>
    <t>TOTAL MANDAYS TODAY</t>
  </si>
  <si>
    <t>SUB TOTAL (MT)</t>
  </si>
  <si>
    <t>TOTAL MANDAYS TODATE</t>
  </si>
  <si>
    <t>AVERAGE HARVESTING INTERVAL</t>
  </si>
  <si>
    <t>GRAND TOTAL(MT) :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</si>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</sst>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u/>
      <sz val="24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1" fillId="7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164" fontId="2" fillId="2" borderId="0" xfId="0" applyNumberFormat="1" applyFont="1" applyFill="1"/>
    <xf numFmtId="0" fontId="2" fillId="8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164" fontId="4" fillId="2" borderId="0" xfId="0" applyNumberFormat="1" applyFont="1" applyFill="1"/>
    <xf numFmtId="0" fontId="2" fillId="10" borderId="2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164" fontId="2" fillId="6" borderId="8" xfId="0" applyNumberFormat="1" applyFont="1" applyFill="1" applyBorder="1" applyAlignment="1">
      <alignment vertical="center"/>
    </xf>
    <xf numFmtId="164" fontId="2" fillId="6" borderId="6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14" borderId="2" xfId="0" applyFont="1" applyFill="1" applyBorder="1" applyAlignment="1">
      <alignment vertical="center" wrapText="1"/>
    </xf>
    <xf numFmtId="0" fontId="2" fillId="14" borderId="8" xfId="0" applyFont="1" applyFill="1" applyBorder="1" applyAlignment="1">
      <alignment vertical="center" wrapText="1"/>
    </xf>
    <xf numFmtId="0" fontId="2" fillId="14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64" fontId="1" fillId="7" borderId="9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/>
    </xf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top" textRotation="255" wrapText="1"/>
    </xf>
    <xf numFmtId="0" fontId="6" fillId="2" borderId="0" xfId="0" applyFont="1" applyFill="1" applyAlignment="1">
      <alignment horizontal="center" vertical="top" textRotation="255"/>
    </xf>
    <xf numFmtId="0" fontId="2" fillId="2" borderId="0" xfId="0" applyFont="1" applyFill="1" applyAlignment="1">
      <alignment horizontal="center" vertical="top" textRotation="180" wrapText="1"/>
    </xf>
    <xf numFmtId="0" fontId="2" fillId="2" borderId="0" xfId="0" applyFont="1" applyFill="1" applyAlignment="1">
      <alignment horizontal="center" textRotation="180" wrapText="1"/>
    </xf>
    <xf numFmtId="0" fontId="2" fillId="2" borderId="11" xfId="0" applyFont="1" applyFill="1" applyBorder="1" applyAlignment="1">
      <alignment vertical="top" textRotation="255" wrapText="1"/>
    </xf>
    <xf numFmtId="0" fontId="2" fillId="2" borderId="0" xfId="0" applyFont="1" applyFill="1" applyAlignment="1">
      <alignment horizontal="center"/>
    </xf>
    <xf numFmtId="0" fontId="7" fillId="5" borderId="0" xfId="0" applyFont="1" applyFill="1" applyAlignment="1">
      <alignment horizontal="center" textRotation="255" wrapText="1"/>
    </xf>
    <xf numFmtId="0" fontId="2" fillId="2" borderId="0" xfId="0" applyFont="1" applyFill="1" applyAlignment="1">
      <alignment vertical="top" textRotation="255" wrapText="1"/>
    </xf>
    <xf numFmtId="0" fontId="1" fillId="2" borderId="0" xfId="0" applyFont="1" applyFill="1" applyAlignment="1">
      <alignment vertical="top" textRotation="255" wrapText="1"/>
    </xf>
    <xf numFmtId="0" fontId="5" fillId="0" borderId="0" xfId="0" applyFont="1"/>
    <xf numFmtId="0" fontId="2" fillId="2" borderId="0" xfId="0" applyFont="1" applyFill="1" applyAlignment="1">
      <alignment vertical="top"/>
    </xf>
    <xf numFmtId="0" fontId="8" fillId="0" borderId="0" xfId="0" applyFont="1"/>
    <xf numFmtId="0" fontId="2" fillId="2" borderId="0" xfId="0" applyFont="1" applyFill="1" applyAlignment="1">
      <alignment horizontal="left"/>
    </xf>
    <xf numFmtId="0" fontId="9" fillId="2" borderId="0" xfId="0" applyFont="1" applyFill="1" applyAlignment="1">
      <alignment vertical="top" textRotation="255" wrapText="1"/>
    </xf>
    <xf numFmtId="0" fontId="10" fillId="2" borderId="0" xfId="0" applyFont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7AFA-B73C-4840-B035-F0C3B127C876}">
  <sheetPr>
    <tabColor rgb="FF00B050"/>
  </sheetPr>
  <dimension ref="A1:AZ111"/>
  <sheetViews>
    <sheetView tabSelected="1" zoomScale="90" zoomScaleNormal="90" zoomScaleSheetLayoutView="90" workbookViewId="0">
      <pane xSplit="2" ySplit="3" topLeftCell="AD73" activePane="bottomRight" state="frozen"/>
      <selection pane="topRight" activeCell="C1" sqref="C1"/>
      <selection pane="bottomLeft" activeCell="A4" sqref="A4"/>
      <selection pane="bottomRight" activeCell="AH86" sqref="AH86"/>
    </sheetView>
  </sheetViews>
  <sheetFormatPr defaultColWidth="8.85546875" defaultRowHeight="21" x14ac:dyDescent="0.35"/>
  <cols>
    <col min="1" max="1" width="21" style="3" customWidth="1"/>
    <col min="2" max="2" width="8.85546875" style="3" customWidth="1"/>
    <col min="3" max="3" width="8.85546875" style="4" customWidth="1"/>
    <col min="4" max="4" width="12.42578125" style="4" customWidth="1"/>
    <col min="5" max="5" width="7.85546875" style="4" customWidth="1"/>
    <col min="6" max="6" width="7.28515625" style="4" customWidth="1"/>
    <col min="7" max="7" width="7.5703125" style="4" customWidth="1"/>
    <col min="8" max="16" width="7.7109375" style="4" customWidth="1"/>
    <col min="17" max="17" width="6.85546875" style="4" customWidth="1"/>
    <col min="18" max="18" width="7.7109375" style="4" customWidth="1"/>
    <col min="19" max="19" width="6" style="4" customWidth="1"/>
    <col min="20" max="34" width="7.7109375" style="4" customWidth="1"/>
    <col min="35" max="35" width="7.85546875" style="4" customWidth="1"/>
    <col min="36" max="36" width="22" style="4" customWidth="1"/>
    <col min="37" max="38" width="14.85546875" style="3" customWidth="1"/>
    <col min="39" max="40" width="15.42578125" style="3" customWidth="1"/>
    <col min="41" max="42" width="13.7109375" style="3" customWidth="1"/>
    <col min="43" max="44" width="11.140625" style="3" customWidth="1"/>
    <col min="45" max="45" width="19.7109375" style="3" customWidth="1"/>
    <col min="46" max="46" width="22.5703125" style="3" customWidth="1"/>
    <col min="47" max="47" width="8.85546875" style="4" customWidth="1"/>
    <col min="48" max="48" width="11.28515625" style="3" customWidth="1"/>
    <col min="49" max="49" width="8.85546875" style="3"/>
    <col min="50" max="50" width="12" style="3" bestFit="1" customWidth="1"/>
    <col min="51" max="51" width="10.5703125" style="3" bestFit="1" customWidth="1"/>
    <col min="52" max="52" width="14" style="3" bestFit="1" customWidth="1"/>
    <col min="53" max="16384" width="8.85546875" style="3"/>
  </cols>
  <sheetData>
    <row r="1" spans="1:52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2"/>
      <c r="AT1" s="2"/>
      <c r="AU1" s="3"/>
    </row>
    <row r="2" spans="1:52" ht="26.25" x14ac:dyDescent="0.4">
      <c r="Q2" s="4" t="s">
        <v>0</v>
      </c>
      <c r="AM2" s="5" t="s">
        <v>1</v>
      </c>
      <c r="AN2" s="5"/>
      <c r="AO2" s="5"/>
      <c r="AP2" s="6"/>
      <c r="AQ2" s="7" t="s">
        <v>2</v>
      </c>
      <c r="AR2" s="7"/>
    </row>
    <row r="3" spans="1:52" ht="83.25" customHeight="1" x14ac:dyDescent="0.35">
      <c r="A3" s="8" t="s">
        <v>3</v>
      </c>
      <c r="B3" s="8" t="s">
        <v>4</v>
      </c>
      <c r="C3" s="9" t="s">
        <v>5</v>
      </c>
      <c r="D3" s="9" t="s">
        <v>6</v>
      </c>
      <c r="E3" s="10">
        <v>1</v>
      </c>
      <c r="F3" s="11">
        <v>2</v>
      </c>
      <c r="G3" s="10">
        <v>3</v>
      </c>
      <c r="H3" s="11">
        <v>4</v>
      </c>
      <c r="I3" s="10">
        <v>5</v>
      </c>
      <c r="J3" s="11">
        <v>6</v>
      </c>
      <c r="K3" s="10">
        <v>7</v>
      </c>
      <c r="L3" s="11">
        <v>8</v>
      </c>
      <c r="M3" s="10">
        <v>9</v>
      </c>
      <c r="N3" s="11">
        <v>10</v>
      </c>
      <c r="O3" s="10">
        <v>11</v>
      </c>
      <c r="P3" s="11">
        <v>12</v>
      </c>
      <c r="Q3" s="10">
        <v>13</v>
      </c>
      <c r="R3" s="11">
        <v>14</v>
      </c>
      <c r="S3" s="10">
        <v>15</v>
      </c>
      <c r="T3" s="11">
        <v>16</v>
      </c>
      <c r="U3" s="10">
        <v>17</v>
      </c>
      <c r="V3" s="11">
        <v>18</v>
      </c>
      <c r="W3" s="10">
        <v>19</v>
      </c>
      <c r="X3" s="11">
        <v>20</v>
      </c>
      <c r="Y3" s="10">
        <v>21</v>
      </c>
      <c r="Z3" s="11">
        <v>22</v>
      </c>
      <c r="AA3" s="10">
        <v>23</v>
      </c>
      <c r="AB3" s="11">
        <v>24</v>
      </c>
      <c r="AC3" s="10">
        <v>25</v>
      </c>
      <c r="AD3" s="11">
        <v>26</v>
      </c>
      <c r="AE3" s="10">
        <v>27</v>
      </c>
      <c r="AF3" s="11">
        <v>28</v>
      </c>
      <c r="AG3" s="10">
        <v>29</v>
      </c>
      <c r="AH3" s="11">
        <v>30</v>
      </c>
      <c r="AI3" s="10">
        <v>31</v>
      </c>
      <c r="AJ3" s="12" t="s">
        <v>7</v>
      </c>
      <c r="AK3" s="13" t="s">
        <v>8</v>
      </c>
      <c r="AL3" s="14"/>
      <c r="AM3" s="15" t="s">
        <v>9</v>
      </c>
      <c r="AN3" s="16"/>
      <c r="AO3" s="17" t="s">
        <v>10</v>
      </c>
      <c r="AP3" s="18"/>
      <c r="AQ3" s="19" t="s">
        <v>11</v>
      </c>
      <c r="AR3" s="20"/>
      <c r="AS3" s="21" t="s">
        <v>12</v>
      </c>
      <c r="AT3" s="22"/>
      <c r="AU3" s="23" t="s">
        <v>5</v>
      </c>
    </row>
    <row r="4" spans="1:52" ht="21.75" customHeight="1" x14ac:dyDescent="0.35">
      <c r="A4" s="24"/>
      <c r="B4" s="24"/>
      <c r="C4" s="25" t="s">
        <v>13</v>
      </c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7"/>
      <c r="AI4" s="27"/>
      <c r="AJ4" s="28"/>
      <c r="AK4" s="29" t="s">
        <v>14</v>
      </c>
      <c r="AL4" s="29" t="s">
        <v>15</v>
      </c>
      <c r="AM4" s="30" t="s">
        <v>14</v>
      </c>
      <c r="AN4" s="30" t="s">
        <v>15</v>
      </c>
      <c r="AO4" s="31" t="s">
        <v>14</v>
      </c>
      <c r="AP4" s="31" t="s">
        <v>15</v>
      </c>
      <c r="AQ4" s="32" t="s">
        <v>14</v>
      </c>
      <c r="AR4" s="32" t="s">
        <v>15</v>
      </c>
      <c r="AS4" s="33" t="s">
        <v>14</v>
      </c>
      <c r="AT4" s="34" t="s">
        <v>15</v>
      </c>
      <c r="AU4" s="25" t="s">
        <v>13</v>
      </c>
    </row>
    <row r="5" spans="1:52" ht="24" customHeight="1" x14ac:dyDescent="0.35">
      <c r="A5" s="35" t="s">
        <v>16</v>
      </c>
      <c r="B5" s="8">
        <v>2010</v>
      </c>
      <c r="C5" s="8">
        <v>1</v>
      </c>
      <c r="D5" s="9">
        <v>53.2</v>
      </c>
      <c r="E5" s="36">
        <v>4</v>
      </c>
      <c r="F5" s="36">
        <v>5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7">
        <f>SUM(D6:AI6)</f>
        <v>0</v>
      </c>
      <c r="AK5" s="38"/>
      <c r="AL5" s="39"/>
      <c r="AM5" s="40"/>
      <c r="AN5" s="40"/>
      <c r="AO5" s="41"/>
      <c r="AP5" s="41"/>
      <c r="AQ5" s="42"/>
      <c r="AR5" s="42"/>
      <c r="AS5" s="43">
        <f>AK5+AM5+AO5+AQ5</f>
        <v>0</v>
      </c>
      <c r="AT5" s="43">
        <f t="shared" ref="AT5" si="0">AL5+AN5+AP5+AR5</f>
        <v>0</v>
      </c>
      <c r="AU5" s="44">
        <v>1</v>
      </c>
      <c r="AV5" s="45"/>
      <c r="AZ5" s="45"/>
    </row>
    <row r="6" spans="1:52" ht="24" customHeight="1" x14ac:dyDescent="0.35">
      <c r="A6" s="46"/>
      <c r="B6" s="24"/>
      <c r="C6" s="24"/>
      <c r="D6" s="25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8"/>
      <c r="AK6" s="49"/>
      <c r="AL6" s="39"/>
      <c r="AM6" s="50"/>
      <c r="AN6" s="50"/>
      <c r="AO6" s="51"/>
      <c r="AP6" s="51"/>
      <c r="AQ6" s="52"/>
      <c r="AR6" s="52"/>
      <c r="AS6" s="53"/>
      <c r="AT6" s="53"/>
      <c r="AU6" s="54"/>
      <c r="AV6" s="45"/>
      <c r="AZ6" s="45"/>
    </row>
    <row r="7" spans="1:52" ht="24" customHeight="1" x14ac:dyDescent="0.35">
      <c r="A7" s="46"/>
      <c r="B7" s="55">
        <v>2010</v>
      </c>
      <c r="C7" s="8">
        <v>3</v>
      </c>
      <c r="D7" s="9">
        <v>69.2</v>
      </c>
      <c r="E7" s="36">
        <v>6</v>
      </c>
      <c r="F7" s="36">
        <v>7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7">
        <f>SUM(D8:AI8)</f>
        <v>0</v>
      </c>
      <c r="AK7" s="38"/>
      <c r="AL7" s="38"/>
      <c r="AM7" s="40"/>
      <c r="AN7" s="40"/>
      <c r="AO7" s="41"/>
      <c r="AP7" s="41"/>
      <c r="AQ7" s="42"/>
      <c r="AR7" s="42"/>
      <c r="AS7" s="43">
        <f>AK7+AM7+AO7+AQ7</f>
        <v>0</v>
      </c>
      <c r="AT7" s="43">
        <f>AL7+AN7+AP7+AR7</f>
        <v>0</v>
      </c>
      <c r="AU7" s="44">
        <v>3</v>
      </c>
      <c r="AV7" s="45"/>
    </row>
    <row r="8" spans="1:52" ht="24" customHeight="1" x14ac:dyDescent="0.35">
      <c r="A8" s="46"/>
      <c r="B8" s="55"/>
      <c r="C8" s="24"/>
      <c r="D8" s="25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8"/>
      <c r="AK8" s="49"/>
      <c r="AL8" s="49"/>
      <c r="AM8" s="50"/>
      <c r="AN8" s="50"/>
      <c r="AO8" s="51"/>
      <c r="AP8" s="51"/>
      <c r="AQ8" s="52"/>
      <c r="AR8" s="52"/>
      <c r="AS8" s="53"/>
      <c r="AT8" s="53"/>
      <c r="AU8" s="54"/>
      <c r="AV8" s="45"/>
      <c r="AZ8" s="45"/>
    </row>
    <row r="9" spans="1:52" ht="24" customHeight="1" x14ac:dyDescent="0.35">
      <c r="A9" s="46"/>
      <c r="B9" s="55">
        <v>2011</v>
      </c>
      <c r="C9" s="8">
        <v>14</v>
      </c>
      <c r="D9" s="9">
        <v>41.6</v>
      </c>
      <c r="E9" s="29">
        <v>1</v>
      </c>
      <c r="F9" s="36">
        <v>2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7">
        <f>SUM(D10:AI10)</f>
        <v>9</v>
      </c>
      <c r="AK9" s="38">
        <f>4.25</f>
        <v>4.25</v>
      </c>
      <c r="AL9" s="56"/>
      <c r="AM9" s="40"/>
      <c r="AN9" s="40"/>
      <c r="AO9" s="41"/>
      <c r="AP9" s="41"/>
      <c r="AQ9" s="42"/>
      <c r="AR9" s="42"/>
      <c r="AS9" s="43">
        <f>AK9+AM9+AO9+AQ9</f>
        <v>4.25</v>
      </c>
      <c r="AT9" s="43">
        <f t="shared" ref="AT9" si="1">AL9+AN9+AP9+AR9</f>
        <v>0</v>
      </c>
      <c r="AU9" s="44">
        <v>14</v>
      </c>
      <c r="AV9" s="45"/>
      <c r="AZ9" s="45"/>
    </row>
    <row r="10" spans="1:52" ht="24" customHeight="1" x14ac:dyDescent="0.35">
      <c r="A10" s="57"/>
      <c r="B10" s="55"/>
      <c r="C10" s="24"/>
      <c r="D10" s="25"/>
      <c r="E10" s="47">
        <v>9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8"/>
      <c r="AK10" s="49"/>
      <c r="AL10" s="49"/>
      <c r="AM10" s="50"/>
      <c r="AN10" s="50"/>
      <c r="AO10" s="51"/>
      <c r="AP10" s="51"/>
      <c r="AQ10" s="52"/>
      <c r="AR10" s="52"/>
      <c r="AS10" s="53"/>
      <c r="AT10" s="53"/>
      <c r="AU10" s="54"/>
      <c r="AV10" s="58"/>
      <c r="AZ10" s="45"/>
    </row>
    <row r="11" spans="1:52" ht="24" customHeight="1" x14ac:dyDescent="0.35">
      <c r="A11" s="46" t="s">
        <v>17</v>
      </c>
      <c r="B11" s="8">
        <v>2010</v>
      </c>
      <c r="C11" s="8">
        <v>4</v>
      </c>
      <c r="D11" s="9">
        <v>70.599999999999994</v>
      </c>
      <c r="E11" s="36">
        <v>6</v>
      </c>
      <c r="F11" s="36">
        <v>7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7">
        <f>SUM(D12:AI12)</f>
        <v>0</v>
      </c>
      <c r="AK11" s="38"/>
      <c r="AL11" s="38"/>
      <c r="AM11" s="40"/>
      <c r="AN11" s="40"/>
      <c r="AO11" s="41"/>
      <c r="AP11" s="41"/>
      <c r="AQ11" s="42"/>
      <c r="AR11" s="42"/>
      <c r="AS11" s="43">
        <f>AK11+AM11+AO11+AQ11</f>
        <v>0</v>
      </c>
      <c r="AT11" s="43">
        <f t="shared" ref="AT11" si="2">AL11+AN11+AP11+AR11</f>
        <v>0</v>
      </c>
      <c r="AU11" s="59">
        <v>4</v>
      </c>
      <c r="AV11" s="45"/>
      <c r="AZ11" s="45"/>
    </row>
    <row r="12" spans="1:52" ht="24" customHeight="1" x14ac:dyDescent="0.35">
      <c r="A12" s="46"/>
      <c r="B12" s="55"/>
      <c r="C12" s="24"/>
      <c r="D12" s="25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8"/>
      <c r="AK12" s="49"/>
      <c r="AL12" s="49"/>
      <c r="AM12" s="50"/>
      <c r="AN12" s="50"/>
      <c r="AO12" s="51"/>
      <c r="AP12" s="51"/>
      <c r="AQ12" s="52"/>
      <c r="AR12" s="52"/>
      <c r="AS12" s="60"/>
      <c r="AT12" s="53"/>
      <c r="AU12" s="61"/>
      <c r="AV12" s="45"/>
      <c r="AZ12" s="45"/>
    </row>
    <row r="13" spans="1:52" ht="24" customHeight="1" x14ac:dyDescent="0.35">
      <c r="A13" s="46"/>
      <c r="B13" s="55">
        <v>2010</v>
      </c>
      <c r="C13" s="8">
        <v>5</v>
      </c>
      <c r="D13" s="9">
        <v>54.3</v>
      </c>
      <c r="E13" s="36">
        <v>8</v>
      </c>
      <c r="F13" s="36">
        <v>9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62">
        <f>SUM(D14:AI14)</f>
        <v>0</v>
      </c>
      <c r="AK13" s="38"/>
      <c r="AL13" s="38"/>
      <c r="AM13" s="40"/>
      <c r="AN13" s="40"/>
      <c r="AO13" s="41"/>
      <c r="AP13" s="41"/>
      <c r="AQ13" s="42"/>
      <c r="AR13" s="42"/>
      <c r="AS13" s="43">
        <f>AK13+AM13+AO13+AQ13</f>
        <v>0</v>
      </c>
      <c r="AT13" s="43">
        <f t="shared" ref="AT13" si="3">AL13+AN13+AP13+AR13</f>
        <v>0</v>
      </c>
      <c r="AU13" s="59">
        <v>5</v>
      </c>
      <c r="AV13" s="45"/>
      <c r="AZ13" s="45"/>
    </row>
    <row r="14" spans="1:52" ht="24" customHeight="1" x14ac:dyDescent="0.35">
      <c r="A14" s="46"/>
      <c r="B14" s="55"/>
      <c r="C14" s="24"/>
      <c r="D14" s="25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63"/>
      <c r="AK14" s="49"/>
      <c r="AL14" s="49"/>
      <c r="AM14" s="50"/>
      <c r="AN14" s="50"/>
      <c r="AO14" s="51"/>
      <c r="AP14" s="51"/>
      <c r="AQ14" s="52"/>
      <c r="AR14" s="52"/>
      <c r="AS14" s="53"/>
      <c r="AT14" s="53"/>
      <c r="AU14" s="61"/>
      <c r="AV14" s="45"/>
      <c r="AZ14" s="45"/>
    </row>
    <row r="15" spans="1:52" ht="24" customHeight="1" x14ac:dyDescent="0.35">
      <c r="A15" s="46"/>
      <c r="B15" s="55">
        <v>2010</v>
      </c>
      <c r="C15" s="8">
        <v>6</v>
      </c>
      <c r="D15" s="9">
        <v>58.6</v>
      </c>
      <c r="E15" s="29">
        <v>2</v>
      </c>
      <c r="F15" s="36">
        <v>3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62">
        <f>SUM(D16:AI16)</f>
        <v>9</v>
      </c>
      <c r="AK15" s="38">
        <f>7.67</f>
        <v>7.67</v>
      </c>
      <c r="AL15" s="38"/>
      <c r="AM15" s="40"/>
      <c r="AN15" s="40"/>
      <c r="AO15" s="41"/>
      <c r="AP15" s="41"/>
      <c r="AQ15" s="42"/>
      <c r="AR15" s="42"/>
      <c r="AS15" s="43">
        <f>AK15+AM15+AO15+AQ15</f>
        <v>7.67</v>
      </c>
      <c r="AT15" s="43">
        <f t="shared" ref="AT15" si="4">AL15+AN15+AP15+AR15</f>
        <v>0</v>
      </c>
      <c r="AU15" s="59">
        <v>6</v>
      </c>
      <c r="AV15" s="45"/>
      <c r="AZ15" s="45"/>
    </row>
    <row r="16" spans="1:52" ht="24" customHeight="1" x14ac:dyDescent="0.35">
      <c r="A16" s="46"/>
      <c r="B16" s="55"/>
      <c r="C16" s="24"/>
      <c r="D16" s="25"/>
      <c r="E16" s="47">
        <v>9</v>
      </c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63"/>
      <c r="AK16" s="49"/>
      <c r="AL16" s="49"/>
      <c r="AM16" s="50"/>
      <c r="AN16" s="50"/>
      <c r="AO16" s="51"/>
      <c r="AP16" s="51"/>
      <c r="AQ16" s="52"/>
      <c r="AR16" s="52"/>
      <c r="AS16" s="53"/>
      <c r="AT16" s="53"/>
      <c r="AU16" s="61"/>
      <c r="AV16" s="45"/>
      <c r="AZ16" s="45"/>
    </row>
    <row r="17" spans="1:52" ht="24" customHeight="1" x14ac:dyDescent="0.35">
      <c r="A17" s="46"/>
      <c r="B17" s="55">
        <v>2010</v>
      </c>
      <c r="C17" s="8">
        <v>7</v>
      </c>
      <c r="D17" s="9">
        <v>23.6</v>
      </c>
      <c r="E17" s="36">
        <v>6</v>
      </c>
      <c r="F17" s="36">
        <v>7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62">
        <f>SUM(D18:AI18)</f>
        <v>0</v>
      </c>
      <c r="AK17" s="38"/>
      <c r="AL17" s="38"/>
      <c r="AM17" s="40"/>
      <c r="AN17" s="40"/>
      <c r="AO17" s="41"/>
      <c r="AP17" s="41"/>
      <c r="AQ17" s="42"/>
      <c r="AR17" s="42"/>
      <c r="AS17" s="43">
        <f>AK17+AM17+AO17+AQ17</f>
        <v>0</v>
      </c>
      <c r="AT17" s="43">
        <f t="shared" ref="AT17" si="5">AL17+AN17+AP17+AR17</f>
        <v>0</v>
      </c>
      <c r="AU17" s="59">
        <v>7</v>
      </c>
      <c r="AZ17" s="45"/>
    </row>
    <row r="18" spans="1:52" ht="24" customHeight="1" x14ac:dyDescent="0.35">
      <c r="A18" s="46"/>
      <c r="B18" s="55"/>
      <c r="C18" s="24"/>
      <c r="D18" s="25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63"/>
      <c r="AK18" s="49"/>
      <c r="AL18" s="49"/>
      <c r="AM18" s="50"/>
      <c r="AN18" s="50"/>
      <c r="AO18" s="51"/>
      <c r="AP18" s="51"/>
      <c r="AQ18" s="52"/>
      <c r="AR18" s="52"/>
      <c r="AS18" s="53"/>
      <c r="AT18" s="53"/>
      <c r="AU18" s="61"/>
      <c r="AZ18" s="45"/>
    </row>
    <row r="19" spans="1:52" ht="24" customHeight="1" x14ac:dyDescent="0.35">
      <c r="A19" s="46"/>
      <c r="B19" s="55">
        <v>2010</v>
      </c>
      <c r="C19" s="8">
        <v>23</v>
      </c>
      <c r="D19" s="9">
        <v>14.6</v>
      </c>
      <c r="E19" s="36">
        <v>2</v>
      </c>
      <c r="F19" s="36">
        <v>3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7">
        <f>SUM(D20:AI20)</f>
        <v>0</v>
      </c>
      <c r="AK19" s="38">
        <f>4.13</f>
        <v>4.13</v>
      </c>
      <c r="AL19" s="38"/>
      <c r="AM19" s="40"/>
      <c r="AN19" s="40"/>
      <c r="AO19" s="41"/>
      <c r="AP19" s="41"/>
      <c r="AQ19" s="42"/>
      <c r="AR19" s="42"/>
      <c r="AS19" s="43">
        <f>AK19+AM19+AO19+AQ19</f>
        <v>4.13</v>
      </c>
      <c r="AT19" s="43">
        <f t="shared" ref="AT19" si="6">AL19+AN19+AP19+AR19</f>
        <v>0</v>
      </c>
      <c r="AU19" s="59">
        <v>23</v>
      </c>
      <c r="AZ19" s="45"/>
    </row>
    <row r="20" spans="1:52" ht="24" customHeight="1" x14ac:dyDescent="0.35">
      <c r="A20" s="46"/>
      <c r="B20" s="55"/>
      <c r="C20" s="24"/>
      <c r="D20" s="25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8"/>
      <c r="AK20" s="49"/>
      <c r="AL20" s="49"/>
      <c r="AM20" s="50"/>
      <c r="AN20" s="50"/>
      <c r="AO20" s="51"/>
      <c r="AP20" s="51"/>
      <c r="AQ20" s="52"/>
      <c r="AR20" s="52"/>
      <c r="AS20" s="53"/>
      <c r="AT20" s="53"/>
      <c r="AU20" s="61"/>
      <c r="AZ20" s="45"/>
    </row>
    <row r="21" spans="1:52" ht="24" customHeight="1" x14ac:dyDescent="0.35">
      <c r="A21" s="46"/>
      <c r="B21" s="55">
        <v>2012</v>
      </c>
      <c r="C21" s="8">
        <v>24</v>
      </c>
      <c r="D21" s="64">
        <v>44.7</v>
      </c>
      <c r="E21" s="36">
        <v>4</v>
      </c>
      <c r="F21" s="36">
        <v>5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62">
        <f>SUM(D22:AI22)</f>
        <v>0</v>
      </c>
      <c r="AK21" s="38"/>
      <c r="AL21" s="38"/>
      <c r="AM21" s="40"/>
      <c r="AN21" s="40"/>
      <c r="AO21" s="41"/>
      <c r="AP21" s="41"/>
      <c r="AQ21" s="42"/>
      <c r="AR21" s="42"/>
      <c r="AS21" s="43">
        <f>AK21+AM21+AO21+AQ21</f>
        <v>0</v>
      </c>
      <c r="AT21" s="43">
        <f t="shared" ref="AT21" si="7">AL21+AN21+AP21+AR21</f>
        <v>0</v>
      </c>
      <c r="AU21" s="59">
        <v>24</v>
      </c>
      <c r="AZ21" s="45"/>
    </row>
    <row r="22" spans="1:52" ht="24" customHeight="1" x14ac:dyDescent="0.35">
      <c r="A22" s="57"/>
      <c r="B22" s="24"/>
      <c r="C22" s="24"/>
      <c r="D22" s="25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63"/>
      <c r="AK22" s="49"/>
      <c r="AL22" s="49"/>
      <c r="AM22" s="50"/>
      <c r="AN22" s="50"/>
      <c r="AO22" s="51"/>
      <c r="AP22" s="51"/>
      <c r="AQ22" s="52"/>
      <c r="AR22" s="52"/>
      <c r="AS22" s="53"/>
      <c r="AT22" s="53"/>
      <c r="AU22" s="61"/>
      <c r="AZ22" s="45"/>
    </row>
    <row r="23" spans="1:52" ht="24" customHeight="1" x14ac:dyDescent="0.35">
      <c r="A23" s="46" t="s">
        <v>18</v>
      </c>
      <c r="B23" s="55">
        <v>2011</v>
      </c>
      <c r="C23" s="8">
        <v>15</v>
      </c>
      <c r="D23" s="9">
        <v>49.3</v>
      </c>
      <c r="E23" s="36">
        <v>2</v>
      </c>
      <c r="F23" s="36">
        <v>3</v>
      </c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>
        <f>SUM(D24:AI24)</f>
        <v>0</v>
      </c>
      <c r="AK23" s="38"/>
      <c r="AL23" s="38"/>
      <c r="AM23" s="40"/>
      <c r="AN23" s="40"/>
      <c r="AO23" s="41"/>
      <c r="AP23" s="41"/>
      <c r="AQ23" s="42"/>
      <c r="AR23" s="42"/>
      <c r="AS23" s="43">
        <f>AK23+AM23+AO23+AQ23</f>
        <v>0</v>
      </c>
      <c r="AT23" s="43">
        <f t="shared" ref="AT23" si="8">AL23+AN23+AP23+AR23</f>
        <v>0</v>
      </c>
      <c r="AU23" s="65">
        <v>15</v>
      </c>
      <c r="AZ23" s="45"/>
    </row>
    <row r="24" spans="1:52" ht="24" customHeight="1" x14ac:dyDescent="0.35">
      <c r="A24" s="46"/>
      <c r="B24" s="55"/>
      <c r="C24" s="24"/>
      <c r="D24" s="25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8"/>
      <c r="AK24" s="49"/>
      <c r="AL24" s="49"/>
      <c r="AM24" s="50"/>
      <c r="AN24" s="50"/>
      <c r="AO24" s="51"/>
      <c r="AP24" s="51"/>
      <c r="AQ24" s="52"/>
      <c r="AR24" s="52"/>
      <c r="AS24" s="53"/>
      <c r="AT24" s="53"/>
      <c r="AU24" s="66"/>
      <c r="AZ24" s="45"/>
    </row>
    <row r="25" spans="1:52" ht="24" customHeight="1" x14ac:dyDescent="0.35">
      <c r="A25" s="46"/>
      <c r="B25" s="55">
        <v>2011</v>
      </c>
      <c r="C25" s="8">
        <v>16</v>
      </c>
      <c r="D25" s="9">
        <v>50.4</v>
      </c>
      <c r="E25" s="36">
        <v>4</v>
      </c>
      <c r="F25" s="36">
        <v>5</v>
      </c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7">
        <f>SUM(D26:AI26)</f>
        <v>0</v>
      </c>
      <c r="AK25" s="38"/>
      <c r="AL25" s="38"/>
      <c r="AM25" s="40"/>
      <c r="AN25" s="40"/>
      <c r="AO25" s="41"/>
      <c r="AP25" s="41"/>
      <c r="AQ25" s="42"/>
      <c r="AR25" s="42"/>
      <c r="AS25" s="43">
        <f>AK25+AM25+AO25+AQ25</f>
        <v>0</v>
      </c>
      <c r="AT25" s="43">
        <f t="shared" ref="AT25" si="9">AL25+AN25+AP25+AR25</f>
        <v>0</v>
      </c>
      <c r="AU25" s="65">
        <v>16</v>
      </c>
      <c r="AZ25" s="45"/>
    </row>
    <row r="26" spans="1:52" ht="24" customHeight="1" x14ac:dyDescent="0.35">
      <c r="A26" s="46"/>
      <c r="B26" s="55"/>
      <c r="C26" s="24"/>
      <c r="D26" s="25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8"/>
      <c r="AK26" s="49"/>
      <c r="AL26" s="49"/>
      <c r="AM26" s="50"/>
      <c r="AN26" s="50"/>
      <c r="AO26" s="51"/>
      <c r="AP26" s="51"/>
      <c r="AQ26" s="52"/>
      <c r="AR26" s="52"/>
      <c r="AS26" s="53"/>
      <c r="AT26" s="53"/>
      <c r="AU26" s="66"/>
      <c r="AZ26" s="45"/>
    </row>
    <row r="27" spans="1:52" ht="24" customHeight="1" x14ac:dyDescent="0.35">
      <c r="A27" s="46"/>
      <c r="B27" s="55">
        <v>2011</v>
      </c>
      <c r="C27" s="8">
        <v>17</v>
      </c>
      <c r="D27" s="9">
        <v>45.7</v>
      </c>
      <c r="E27" s="36">
        <v>5</v>
      </c>
      <c r="F27" s="36">
        <v>5</v>
      </c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7">
        <f>SUM(D28:AI28)</f>
        <v>0</v>
      </c>
      <c r="AK27" s="38"/>
      <c r="AL27" s="38"/>
      <c r="AM27" s="40"/>
      <c r="AN27" s="40"/>
      <c r="AO27" s="41"/>
      <c r="AP27" s="41"/>
      <c r="AQ27" s="42"/>
      <c r="AR27" s="42"/>
      <c r="AS27" s="43">
        <f>AK27+AM27+AO27+AQ27</f>
        <v>0</v>
      </c>
      <c r="AT27" s="43">
        <f t="shared" ref="AT27" si="10">AL27+AN27+AP27+AR27</f>
        <v>0</v>
      </c>
      <c r="AU27" s="65">
        <v>17</v>
      </c>
      <c r="AZ27" s="45"/>
    </row>
    <row r="28" spans="1:52" ht="24" customHeight="1" x14ac:dyDescent="0.35">
      <c r="A28" s="46"/>
      <c r="B28" s="55"/>
      <c r="C28" s="24"/>
      <c r="D28" s="25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8"/>
      <c r="AK28" s="49"/>
      <c r="AL28" s="49"/>
      <c r="AM28" s="50"/>
      <c r="AN28" s="50"/>
      <c r="AO28" s="51"/>
      <c r="AP28" s="51"/>
      <c r="AQ28" s="52"/>
      <c r="AR28" s="52"/>
      <c r="AS28" s="53"/>
      <c r="AT28" s="53"/>
      <c r="AU28" s="66"/>
      <c r="AZ28" s="45"/>
    </row>
    <row r="29" spans="1:52" x14ac:dyDescent="0.35">
      <c r="A29" s="46"/>
      <c r="B29" s="55">
        <v>2012</v>
      </c>
      <c r="C29" s="8">
        <v>19</v>
      </c>
      <c r="D29" s="9">
        <v>50.6</v>
      </c>
      <c r="E29" s="29">
        <v>1</v>
      </c>
      <c r="F29" s="36">
        <v>2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7">
        <f>SUM(D30:AI30)</f>
        <v>7</v>
      </c>
      <c r="AK29" s="38">
        <f>8.6</f>
        <v>8.6</v>
      </c>
      <c r="AL29" s="38"/>
      <c r="AM29" s="40"/>
      <c r="AN29" s="40"/>
      <c r="AO29" s="41"/>
      <c r="AP29" s="41"/>
      <c r="AQ29" s="42"/>
      <c r="AR29" s="42"/>
      <c r="AS29" s="43">
        <f>AK29+AM29+AO29+AQ29</f>
        <v>8.6</v>
      </c>
      <c r="AT29" s="43">
        <f t="shared" ref="AT29" si="11">AL29+AN29+AP29+AR29</f>
        <v>0</v>
      </c>
      <c r="AU29" s="65">
        <v>19</v>
      </c>
      <c r="AZ29" s="45"/>
    </row>
    <row r="30" spans="1:52" ht="24" customHeight="1" x14ac:dyDescent="0.35">
      <c r="A30" s="46"/>
      <c r="B30" s="55"/>
      <c r="C30" s="24"/>
      <c r="D30" s="25"/>
      <c r="E30" s="47">
        <v>7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36"/>
      <c r="AI30" s="47"/>
      <c r="AJ30" s="48"/>
      <c r="AK30" s="49"/>
      <c r="AL30" s="49"/>
      <c r="AM30" s="50"/>
      <c r="AN30" s="50"/>
      <c r="AO30" s="51"/>
      <c r="AP30" s="51"/>
      <c r="AQ30" s="52"/>
      <c r="AR30" s="52"/>
      <c r="AS30" s="53"/>
      <c r="AT30" s="53"/>
      <c r="AU30" s="66"/>
      <c r="AZ30" s="45"/>
    </row>
    <row r="31" spans="1:52" ht="23.25" customHeight="1" x14ac:dyDescent="0.35">
      <c r="A31" s="46"/>
      <c r="B31" s="55">
        <v>2012</v>
      </c>
      <c r="C31" s="8">
        <v>20</v>
      </c>
      <c r="D31" s="9">
        <v>62.1</v>
      </c>
      <c r="E31" s="36">
        <v>8</v>
      </c>
      <c r="F31" s="29">
        <v>1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7">
        <f>SUM(D32:AI32)</f>
        <v>13</v>
      </c>
      <c r="AK31" s="38"/>
      <c r="AL31" s="38"/>
      <c r="AM31" s="40"/>
      <c r="AN31" s="40"/>
      <c r="AO31" s="41"/>
      <c r="AP31" s="41"/>
      <c r="AQ31" s="42"/>
      <c r="AR31" s="42"/>
      <c r="AS31" s="43">
        <f>AK31+AM31+AO31+AQ31</f>
        <v>0</v>
      </c>
      <c r="AT31" s="43">
        <f t="shared" ref="AT31" si="12">AL31+AN31+AP31+AR31</f>
        <v>0</v>
      </c>
      <c r="AU31" s="65">
        <v>20</v>
      </c>
      <c r="AZ31" s="45"/>
    </row>
    <row r="32" spans="1:52" ht="24" customHeight="1" x14ac:dyDescent="0.35">
      <c r="A32" s="46"/>
      <c r="B32" s="55"/>
      <c r="C32" s="24"/>
      <c r="D32" s="25"/>
      <c r="E32" s="47"/>
      <c r="F32" s="47">
        <v>13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8"/>
      <c r="AK32" s="49"/>
      <c r="AL32" s="49"/>
      <c r="AM32" s="50"/>
      <c r="AN32" s="50"/>
      <c r="AO32" s="51"/>
      <c r="AP32" s="51"/>
      <c r="AQ32" s="52"/>
      <c r="AR32" s="52"/>
      <c r="AS32" s="53"/>
      <c r="AT32" s="53"/>
      <c r="AU32" s="66"/>
      <c r="AZ32" s="45"/>
    </row>
    <row r="33" spans="1:52" ht="24" customHeight="1" x14ac:dyDescent="0.35">
      <c r="A33" s="46"/>
      <c r="B33" s="55">
        <v>2012</v>
      </c>
      <c r="C33" s="8">
        <v>21</v>
      </c>
      <c r="D33" s="9">
        <v>72.2</v>
      </c>
      <c r="E33" s="36">
        <v>7</v>
      </c>
      <c r="F33" s="36">
        <v>8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62">
        <f>SUM(D34:AI34)</f>
        <v>0</v>
      </c>
      <c r="AK33" s="38"/>
      <c r="AL33" s="38"/>
      <c r="AM33" s="40"/>
      <c r="AN33" s="40"/>
      <c r="AO33" s="41"/>
      <c r="AP33" s="41"/>
      <c r="AQ33" s="42"/>
      <c r="AR33" s="42"/>
      <c r="AS33" s="43">
        <f>AK33+AM33+AO33+AQ33</f>
        <v>0</v>
      </c>
      <c r="AT33" s="43">
        <f t="shared" ref="AT33" si="13">AL33+AN33+AP33+AR33</f>
        <v>0</v>
      </c>
      <c r="AU33" s="65">
        <v>21</v>
      </c>
      <c r="AZ33" s="45"/>
    </row>
    <row r="34" spans="1:52" ht="24" customHeight="1" x14ac:dyDescent="0.35">
      <c r="A34" s="46"/>
      <c r="B34" s="55"/>
      <c r="C34" s="24"/>
      <c r="D34" s="25"/>
      <c r="E34" s="36"/>
      <c r="F34" s="47"/>
      <c r="G34" s="36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63"/>
      <c r="AK34" s="49"/>
      <c r="AL34" s="49"/>
      <c r="AM34" s="50"/>
      <c r="AN34" s="50"/>
      <c r="AO34" s="51"/>
      <c r="AP34" s="51"/>
      <c r="AQ34" s="52"/>
      <c r="AR34" s="52"/>
      <c r="AS34" s="53"/>
      <c r="AT34" s="53"/>
      <c r="AU34" s="66"/>
      <c r="AZ34" s="45"/>
    </row>
    <row r="35" spans="1:52" ht="24" customHeight="1" x14ac:dyDescent="0.35">
      <c r="A35" s="46"/>
      <c r="B35" s="55">
        <v>2012</v>
      </c>
      <c r="C35" s="8">
        <v>22</v>
      </c>
      <c r="D35" s="9">
        <v>52.3</v>
      </c>
      <c r="E35" s="36">
        <v>5</v>
      </c>
      <c r="F35" s="36">
        <v>6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62">
        <f>SUM(D36:AI36)</f>
        <v>0</v>
      </c>
      <c r="AK35" s="38"/>
      <c r="AL35" s="38"/>
      <c r="AM35" s="40"/>
      <c r="AN35" s="40"/>
      <c r="AO35" s="41"/>
      <c r="AP35" s="41"/>
      <c r="AQ35" s="42"/>
      <c r="AR35" s="42"/>
      <c r="AS35" s="43">
        <f>AK35+AM35+AO35+AQ35</f>
        <v>0</v>
      </c>
      <c r="AT35" s="43">
        <f t="shared" ref="AT35" si="14">AL35+AN35+AP35+AR35</f>
        <v>0</v>
      </c>
      <c r="AU35" s="65">
        <v>22</v>
      </c>
      <c r="AZ35" s="45"/>
    </row>
    <row r="36" spans="1:52" ht="24" customHeight="1" x14ac:dyDescent="0.35">
      <c r="A36" s="57"/>
      <c r="B36" s="24"/>
      <c r="C36" s="24"/>
      <c r="D36" s="25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63"/>
      <c r="AK36" s="49"/>
      <c r="AL36" s="49"/>
      <c r="AM36" s="50"/>
      <c r="AN36" s="50"/>
      <c r="AO36" s="51"/>
      <c r="AP36" s="51"/>
      <c r="AQ36" s="52"/>
      <c r="AR36" s="52"/>
      <c r="AS36" s="53"/>
      <c r="AT36" s="53"/>
      <c r="AU36" s="66"/>
      <c r="AZ36" s="45"/>
    </row>
    <row r="37" spans="1:52" ht="24" customHeight="1" x14ac:dyDescent="0.35">
      <c r="A37" s="46" t="s">
        <v>19</v>
      </c>
      <c r="B37" s="8">
        <v>2010</v>
      </c>
      <c r="C37" s="8">
        <v>8</v>
      </c>
      <c r="D37" s="9">
        <v>61.6</v>
      </c>
      <c r="E37" s="36">
        <v>17</v>
      </c>
      <c r="F37" s="29">
        <v>1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62">
        <f>SUM(D38:AI38)</f>
        <v>9</v>
      </c>
      <c r="AK37" s="38"/>
      <c r="AL37" s="38"/>
      <c r="AM37" s="40"/>
      <c r="AN37" s="40"/>
      <c r="AO37" s="41"/>
      <c r="AP37" s="41"/>
      <c r="AQ37" s="42"/>
      <c r="AR37" s="42"/>
      <c r="AS37" s="43">
        <f>AK37+AM37+AO37+AQ37</f>
        <v>0</v>
      </c>
      <c r="AT37" s="43">
        <f t="shared" ref="AT37" si="15">AL37+AN37+AP37+AR37</f>
        <v>0</v>
      </c>
      <c r="AU37" s="67">
        <v>8</v>
      </c>
    </row>
    <row r="38" spans="1:52" ht="24" customHeight="1" x14ac:dyDescent="0.35">
      <c r="A38" s="46"/>
      <c r="B38" s="55"/>
      <c r="C38" s="24"/>
      <c r="D38" s="25"/>
      <c r="E38" s="47"/>
      <c r="F38" s="47">
        <v>9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63"/>
      <c r="AK38" s="49"/>
      <c r="AL38" s="49"/>
      <c r="AM38" s="50"/>
      <c r="AN38" s="50"/>
      <c r="AO38" s="51"/>
      <c r="AP38" s="51"/>
      <c r="AQ38" s="52"/>
      <c r="AR38" s="52"/>
      <c r="AS38" s="53"/>
      <c r="AT38" s="53"/>
      <c r="AU38" s="68"/>
    </row>
    <row r="39" spans="1:52" ht="24" customHeight="1" x14ac:dyDescent="0.35">
      <c r="A39" s="46"/>
      <c r="B39" s="55">
        <v>2010</v>
      </c>
      <c r="C39" s="8">
        <v>9</v>
      </c>
      <c r="D39" s="9">
        <v>38.299999999999997</v>
      </c>
      <c r="E39" s="36">
        <v>13</v>
      </c>
      <c r="F39" s="36">
        <v>14</v>
      </c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62">
        <f>SUM(D40:AI40)</f>
        <v>0</v>
      </c>
      <c r="AK39" s="38"/>
      <c r="AL39" s="38"/>
      <c r="AM39" s="40"/>
      <c r="AN39" s="40"/>
      <c r="AO39" s="41"/>
      <c r="AP39" s="41"/>
      <c r="AQ39" s="69"/>
      <c r="AR39" s="42"/>
      <c r="AS39" s="43">
        <f>AK39+AM39+AO39+AQ39</f>
        <v>0</v>
      </c>
      <c r="AT39" s="43">
        <f t="shared" ref="AT39" si="16">AL39+AN39+AP39+AR39</f>
        <v>0</v>
      </c>
      <c r="AU39" s="67">
        <v>9</v>
      </c>
    </row>
    <row r="40" spans="1:52" ht="24" customHeight="1" x14ac:dyDescent="0.35">
      <c r="A40" s="46"/>
      <c r="B40" s="24"/>
      <c r="C40" s="24"/>
      <c r="D40" s="64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63"/>
      <c r="AK40" s="49"/>
      <c r="AL40" s="49"/>
      <c r="AM40" s="50"/>
      <c r="AN40" s="50"/>
      <c r="AO40" s="51"/>
      <c r="AP40" s="51"/>
      <c r="AQ40" s="69"/>
      <c r="AR40" s="52"/>
      <c r="AS40" s="53"/>
      <c r="AT40" s="53"/>
      <c r="AU40" s="68"/>
    </row>
    <row r="41" spans="1:52" ht="24" customHeight="1" x14ac:dyDescent="0.35">
      <c r="A41" s="46"/>
      <c r="B41" s="8">
        <v>2010</v>
      </c>
      <c r="C41" s="8">
        <v>12</v>
      </c>
      <c r="D41" s="9">
        <v>71</v>
      </c>
      <c r="E41" s="36">
        <v>8</v>
      </c>
      <c r="F41" s="36">
        <v>9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62">
        <f>SUM(D42:AI42)</f>
        <v>0</v>
      </c>
      <c r="AK41" s="38"/>
      <c r="AL41" s="38"/>
      <c r="AM41" s="40"/>
      <c r="AN41" s="40"/>
      <c r="AO41" s="41"/>
      <c r="AP41" s="41"/>
      <c r="AQ41" s="42"/>
      <c r="AR41" s="42"/>
      <c r="AS41" s="43">
        <f>AK41+AM41+AO41+AQ41</f>
        <v>0</v>
      </c>
      <c r="AT41" s="43">
        <f t="shared" ref="AT41" si="17">AL41+AN41+AP41+AR41</f>
        <v>0</v>
      </c>
      <c r="AU41" s="67">
        <v>12</v>
      </c>
    </row>
    <row r="42" spans="1:52" ht="24" customHeight="1" x14ac:dyDescent="0.35">
      <c r="A42" s="46"/>
      <c r="B42" s="24"/>
      <c r="C42" s="24"/>
      <c r="D42" s="25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63"/>
      <c r="AK42" s="49"/>
      <c r="AL42" s="49"/>
      <c r="AM42" s="50"/>
      <c r="AN42" s="50"/>
      <c r="AO42" s="51"/>
      <c r="AP42" s="51"/>
      <c r="AQ42" s="52"/>
      <c r="AR42" s="52"/>
      <c r="AS42" s="53"/>
      <c r="AT42" s="53"/>
      <c r="AU42" s="68"/>
    </row>
    <row r="43" spans="1:52" ht="24" customHeight="1" x14ac:dyDescent="0.35">
      <c r="A43" s="46"/>
      <c r="B43" s="8">
        <v>2011</v>
      </c>
      <c r="C43" s="8">
        <v>10</v>
      </c>
      <c r="D43" s="9">
        <v>19.100000000000001</v>
      </c>
      <c r="E43" s="36">
        <v>12</v>
      </c>
      <c r="F43" s="36">
        <v>13</v>
      </c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7">
        <f>SUM(D44:AI44)</f>
        <v>0</v>
      </c>
      <c r="AK43" s="38"/>
      <c r="AL43" s="38"/>
      <c r="AM43" s="40"/>
      <c r="AN43" s="40"/>
      <c r="AO43" s="41"/>
      <c r="AP43" s="41"/>
      <c r="AQ43" s="42"/>
      <c r="AR43" s="42"/>
      <c r="AS43" s="43">
        <f>AK43+AM43+AO43+AQ43</f>
        <v>0</v>
      </c>
      <c r="AT43" s="43">
        <f t="shared" ref="AT43" si="18">AL43+AN43+AP43+AR43</f>
        <v>0</v>
      </c>
      <c r="AU43" s="67">
        <v>10</v>
      </c>
      <c r="AZ43" s="45"/>
    </row>
    <row r="44" spans="1:52" ht="24" customHeight="1" x14ac:dyDescent="0.35">
      <c r="A44" s="46"/>
      <c r="B44" s="24"/>
      <c r="C44" s="24"/>
      <c r="D44" s="25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8"/>
      <c r="AK44" s="49"/>
      <c r="AL44" s="49"/>
      <c r="AM44" s="50"/>
      <c r="AN44" s="50"/>
      <c r="AO44" s="51"/>
      <c r="AP44" s="51"/>
      <c r="AQ44" s="52"/>
      <c r="AR44" s="52"/>
      <c r="AS44" s="53"/>
      <c r="AT44" s="53"/>
      <c r="AU44" s="68"/>
    </row>
    <row r="45" spans="1:52" ht="24" customHeight="1" x14ac:dyDescent="0.35">
      <c r="A45" s="46"/>
      <c r="B45" s="8">
        <v>2011</v>
      </c>
      <c r="C45" s="8">
        <v>13</v>
      </c>
      <c r="D45" s="9">
        <v>60.8</v>
      </c>
      <c r="E45" s="29">
        <v>4</v>
      </c>
      <c r="F45" s="36">
        <v>5</v>
      </c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7">
        <f>SUM(D46:AI46)</f>
        <v>9</v>
      </c>
      <c r="AK45" s="38">
        <f>7.34</f>
        <v>7.34</v>
      </c>
      <c r="AL45" s="38"/>
      <c r="AM45" s="40"/>
      <c r="AN45" s="40"/>
      <c r="AO45" s="41"/>
      <c r="AP45" s="41"/>
      <c r="AQ45" s="42"/>
      <c r="AR45" s="42"/>
      <c r="AS45" s="43">
        <f>AK45+AM45+AO45+AQ45</f>
        <v>7.34</v>
      </c>
      <c r="AT45" s="43">
        <f t="shared" ref="AT45" si="19">AL45+AN45+AP45+AR45</f>
        <v>0</v>
      </c>
      <c r="AU45" s="67">
        <v>13</v>
      </c>
    </row>
    <row r="46" spans="1:52" ht="24" customHeight="1" x14ac:dyDescent="0.35">
      <c r="A46" s="46"/>
      <c r="B46" s="24"/>
      <c r="C46" s="24"/>
      <c r="D46" s="25"/>
      <c r="E46" s="47">
        <v>9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8"/>
      <c r="AK46" s="49"/>
      <c r="AL46" s="49"/>
      <c r="AM46" s="50"/>
      <c r="AN46" s="50"/>
      <c r="AO46" s="51"/>
      <c r="AP46" s="51"/>
      <c r="AQ46" s="52"/>
      <c r="AR46" s="52"/>
      <c r="AS46" s="53"/>
      <c r="AT46" s="53"/>
      <c r="AU46" s="68"/>
    </row>
    <row r="47" spans="1:52" ht="23.25" customHeight="1" x14ac:dyDescent="0.35">
      <c r="A47" s="46"/>
      <c r="B47" s="55">
        <v>2011</v>
      </c>
      <c r="C47" s="8">
        <v>18</v>
      </c>
      <c r="D47" s="9">
        <v>40.799999999999997</v>
      </c>
      <c r="E47" s="36">
        <v>5</v>
      </c>
      <c r="F47" s="36">
        <v>6</v>
      </c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7">
        <f>SUM(D48:AI48)</f>
        <v>0</v>
      </c>
      <c r="AK47" s="38"/>
      <c r="AL47" s="38"/>
      <c r="AM47" s="40"/>
      <c r="AN47" s="40"/>
      <c r="AO47" s="41"/>
      <c r="AP47" s="41"/>
      <c r="AQ47" s="42"/>
      <c r="AR47" s="42"/>
      <c r="AS47" s="43">
        <f>AK47+AM47+AO47+AQ47</f>
        <v>0</v>
      </c>
      <c r="AT47" s="43">
        <f t="shared" ref="AT47" si="20">AL47+AN47+AP47+AR47</f>
        <v>0</v>
      </c>
      <c r="AU47" s="67">
        <v>18</v>
      </c>
    </row>
    <row r="48" spans="1:52" ht="24" customHeight="1" x14ac:dyDescent="0.35">
      <c r="A48" s="57"/>
      <c r="B48" s="24"/>
      <c r="C48" s="24"/>
      <c r="D48" s="25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8"/>
      <c r="AK48" s="49"/>
      <c r="AL48" s="49"/>
      <c r="AM48" s="50"/>
      <c r="AN48" s="50"/>
      <c r="AO48" s="51"/>
      <c r="AP48" s="51"/>
      <c r="AQ48" s="52"/>
      <c r="AR48" s="52"/>
      <c r="AS48" s="53"/>
      <c r="AT48" s="53"/>
      <c r="AU48" s="68"/>
    </row>
    <row r="49" spans="1:47" ht="24" customHeight="1" x14ac:dyDescent="0.35">
      <c r="A49" s="35" t="s">
        <v>20</v>
      </c>
      <c r="B49" s="8">
        <v>2015</v>
      </c>
      <c r="C49" s="8">
        <v>25</v>
      </c>
      <c r="D49" s="8">
        <v>36.64</v>
      </c>
      <c r="E49" s="36">
        <v>7</v>
      </c>
      <c r="F49" s="36">
        <v>8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7">
        <f>SUM(D50:AI50)</f>
        <v>0</v>
      </c>
      <c r="AK49" s="38"/>
      <c r="AL49" s="38"/>
      <c r="AM49" s="40"/>
      <c r="AN49" s="40"/>
      <c r="AO49" s="41"/>
      <c r="AP49" s="41"/>
      <c r="AQ49" s="70"/>
      <c r="AR49" s="42"/>
      <c r="AS49" s="43">
        <f>AK49+AM49+AO49+AQ49</f>
        <v>0</v>
      </c>
      <c r="AT49" s="43">
        <f t="shared" ref="AT49" si="21">AL49+AN49+AP49+AR49</f>
        <v>0</v>
      </c>
      <c r="AU49" s="71">
        <v>25</v>
      </c>
    </row>
    <row r="50" spans="1:47" ht="24" customHeight="1" x14ac:dyDescent="0.35">
      <c r="A50" s="46"/>
      <c r="B50" s="55"/>
      <c r="C50" s="24"/>
      <c r="D50" s="24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8"/>
      <c r="AK50" s="49"/>
      <c r="AL50" s="49"/>
      <c r="AM50" s="50"/>
      <c r="AN50" s="50"/>
      <c r="AO50" s="51"/>
      <c r="AP50" s="51"/>
      <c r="AQ50" s="72"/>
      <c r="AR50" s="52"/>
      <c r="AS50" s="53"/>
      <c r="AT50" s="53"/>
      <c r="AU50" s="73"/>
    </row>
    <row r="51" spans="1:47" ht="24" customHeight="1" x14ac:dyDescent="0.35">
      <c r="A51" s="46"/>
      <c r="B51" s="55"/>
      <c r="C51" s="74" t="s">
        <v>21</v>
      </c>
      <c r="D51" s="74">
        <v>22.75</v>
      </c>
      <c r="E51" s="36">
        <v>12</v>
      </c>
      <c r="F51" s="36">
        <v>13</v>
      </c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7">
        <f>SUM(D52:AI52)</f>
        <v>0</v>
      </c>
      <c r="AK51" s="38"/>
      <c r="AL51" s="38"/>
      <c r="AM51" s="40"/>
      <c r="AN51" s="40"/>
      <c r="AO51" s="41"/>
      <c r="AP51" s="41"/>
      <c r="AQ51" s="75"/>
      <c r="AR51" s="42"/>
      <c r="AS51" s="43">
        <f>AK51+AM51+AO51+AQ51</f>
        <v>0</v>
      </c>
      <c r="AT51" s="43">
        <f t="shared" ref="AT51" si="22">AL51+AN51+AP51+AR51</f>
        <v>0</v>
      </c>
      <c r="AU51" s="71" t="s">
        <v>21</v>
      </c>
    </row>
    <row r="52" spans="1:47" ht="24" customHeight="1" x14ac:dyDescent="0.35">
      <c r="A52" s="46"/>
      <c r="B52" s="55"/>
      <c r="C52" s="74"/>
      <c r="D52" s="74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8"/>
      <c r="AK52" s="49"/>
      <c r="AL52" s="49"/>
      <c r="AM52" s="50"/>
      <c r="AN52" s="50"/>
      <c r="AO52" s="51"/>
      <c r="AP52" s="51"/>
      <c r="AQ52" s="75"/>
      <c r="AR52" s="52"/>
      <c r="AS52" s="53"/>
      <c r="AT52" s="53"/>
      <c r="AU52" s="73"/>
    </row>
    <row r="53" spans="1:47" ht="24" customHeight="1" x14ac:dyDescent="0.35">
      <c r="A53" s="46"/>
      <c r="B53" s="55"/>
      <c r="C53" s="8">
        <v>27</v>
      </c>
      <c r="D53" s="8">
        <v>35.93</v>
      </c>
      <c r="E53" s="36">
        <v>8</v>
      </c>
      <c r="F53" s="36">
        <v>9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7">
        <f>SUM(D54:AI54)</f>
        <v>0</v>
      </c>
      <c r="AK53" s="38"/>
      <c r="AL53" s="38"/>
      <c r="AM53" s="40"/>
      <c r="AN53" s="40"/>
      <c r="AO53" s="41"/>
      <c r="AP53" s="41"/>
      <c r="AQ53" s="70"/>
      <c r="AR53" s="42"/>
      <c r="AS53" s="43">
        <f>AK53+AM53+AO53+AQ53</f>
        <v>0</v>
      </c>
      <c r="AT53" s="43">
        <f t="shared" ref="AT53" si="23">AL53+AN53+AP53+AR53</f>
        <v>0</v>
      </c>
      <c r="AU53" s="71">
        <v>27</v>
      </c>
    </row>
    <row r="54" spans="1:47" ht="24" customHeight="1" x14ac:dyDescent="0.35">
      <c r="A54" s="46"/>
      <c r="B54" s="55"/>
      <c r="C54" s="24"/>
      <c r="D54" s="24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8"/>
      <c r="AK54" s="49"/>
      <c r="AL54" s="49"/>
      <c r="AM54" s="50"/>
      <c r="AN54" s="50"/>
      <c r="AO54" s="51"/>
      <c r="AP54" s="51"/>
      <c r="AQ54" s="72"/>
      <c r="AR54" s="52"/>
      <c r="AS54" s="53"/>
      <c r="AT54" s="53"/>
      <c r="AU54" s="73"/>
    </row>
    <row r="55" spans="1:47" ht="24" customHeight="1" x14ac:dyDescent="0.35">
      <c r="A55" s="46"/>
      <c r="B55" s="55"/>
      <c r="C55" s="74">
        <v>28</v>
      </c>
      <c r="D55" s="74">
        <v>25.54</v>
      </c>
      <c r="E55" s="36">
        <v>13</v>
      </c>
      <c r="F55" s="36">
        <v>14</v>
      </c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7">
        <f>SUM(D56:AI56)</f>
        <v>0</v>
      </c>
      <c r="AK55" s="38"/>
      <c r="AL55" s="38"/>
      <c r="AM55" s="40"/>
      <c r="AN55" s="40"/>
      <c r="AO55" s="76"/>
      <c r="AP55" s="41"/>
      <c r="AQ55" s="69"/>
      <c r="AR55" s="42"/>
      <c r="AS55" s="43">
        <f>AK55+AM55+AO55+AQ55</f>
        <v>0</v>
      </c>
      <c r="AT55" s="43">
        <f t="shared" ref="AT55" si="24">AL55+AN55+AP55+AR55</f>
        <v>0</v>
      </c>
      <c r="AU55" s="71">
        <v>28</v>
      </c>
    </row>
    <row r="56" spans="1:47" ht="24" customHeight="1" x14ac:dyDescent="0.35">
      <c r="A56" s="46"/>
      <c r="B56" s="55"/>
      <c r="C56" s="74"/>
      <c r="D56" s="74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8"/>
      <c r="AK56" s="56"/>
      <c r="AL56" s="49"/>
      <c r="AM56" s="77"/>
      <c r="AN56" s="50"/>
      <c r="AO56" s="76"/>
      <c r="AP56" s="51"/>
      <c r="AQ56" s="69"/>
      <c r="AR56" s="52"/>
      <c r="AS56" s="53"/>
      <c r="AT56" s="53"/>
      <c r="AU56" s="73"/>
    </row>
    <row r="57" spans="1:47" ht="24" customHeight="1" x14ac:dyDescent="0.35">
      <c r="A57" s="46"/>
      <c r="B57" s="55"/>
      <c r="C57" s="8">
        <v>30</v>
      </c>
      <c r="D57" s="8">
        <v>66.13</v>
      </c>
      <c r="E57" s="25">
        <v>15</v>
      </c>
      <c r="F57" s="25">
        <v>16</v>
      </c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37">
        <f>SUM(D58:AI58)</f>
        <v>0</v>
      </c>
      <c r="AK57" s="38"/>
      <c r="AL57" s="38"/>
      <c r="AM57" s="40"/>
      <c r="AN57" s="40"/>
      <c r="AO57" s="78"/>
      <c r="AP57" s="41"/>
      <c r="AQ57" s="42"/>
      <c r="AR57" s="42"/>
      <c r="AS57" s="43">
        <f>AK57+AM57+AO57+AQ57</f>
        <v>0</v>
      </c>
      <c r="AT57" s="43">
        <f t="shared" ref="AT57" si="25">AL57+AN57+AP57+AR57</f>
        <v>0</v>
      </c>
      <c r="AU57" s="71">
        <v>30</v>
      </c>
    </row>
    <row r="58" spans="1:47" ht="24" customHeight="1" x14ac:dyDescent="0.35">
      <c r="A58" s="46"/>
      <c r="B58" s="55"/>
      <c r="C58" s="24"/>
      <c r="D58" s="24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8"/>
      <c r="AK58" s="49"/>
      <c r="AL58" s="49"/>
      <c r="AM58" s="50"/>
      <c r="AN58" s="50"/>
      <c r="AO58" s="78"/>
      <c r="AP58" s="51"/>
      <c r="AQ58" s="52"/>
      <c r="AR58" s="52"/>
      <c r="AS58" s="53"/>
      <c r="AT58" s="53"/>
      <c r="AU58" s="73"/>
    </row>
    <row r="59" spans="1:47" ht="22.9" customHeight="1" x14ac:dyDescent="0.35">
      <c r="A59" s="46"/>
      <c r="B59" s="55"/>
      <c r="C59" s="8">
        <v>31</v>
      </c>
      <c r="D59" s="64">
        <v>34.08</v>
      </c>
      <c r="E59" s="79">
        <v>2</v>
      </c>
      <c r="F59" s="25">
        <v>3</v>
      </c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37">
        <f>SUM(D60:AI60)</f>
        <v>11</v>
      </c>
      <c r="AK59" s="38">
        <f>3.24</f>
        <v>3.24</v>
      </c>
      <c r="AL59" s="38"/>
      <c r="AM59" s="40"/>
      <c r="AN59" s="40"/>
      <c r="AO59" s="78"/>
      <c r="AP59" s="41"/>
      <c r="AQ59" s="42"/>
      <c r="AR59" s="42"/>
      <c r="AS59" s="43">
        <f>AK59+AM59+AO59+AQ59</f>
        <v>3.24</v>
      </c>
      <c r="AT59" s="43">
        <f t="shared" ref="AT59" si="26">AL59+AN59+AP59+AR59</f>
        <v>0</v>
      </c>
      <c r="AU59" s="71">
        <v>31</v>
      </c>
    </row>
    <row r="60" spans="1:47" ht="24" customHeight="1" x14ac:dyDescent="0.35">
      <c r="A60" s="46"/>
      <c r="B60" s="24"/>
      <c r="C60" s="24"/>
      <c r="D60" s="25"/>
      <c r="E60" s="47">
        <v>11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8"/>
      <c r="AK60" s="49"/>
      <c r="AL60" s="49"/>
      <c r="AM60" s="50"/>
      <c r="AN60" s="50"/>
      <c r="AO60" s="78"/>
      <c r="AP60" s="51"/>
      <c r="AQ60" s="52"/>
      <c r="AR60" s="52"/>
      <c r="AS60" s="53"/>
      <c r="AT60" s="53"/>
      <c r="AU60" s="73"/>
    </row>
    <row r="61" spans="1:47" ht="24" customHeight="1" x14ac:dyDescent="0.35">
      <c r="A61" s="46"/>
      <c r="B61" s="8">
        <v>2016</v>
      </c>
      <c r="C61" s="8">
        <v>33</v>
      </c>
      <c r="D61" s="64">
        <v>28.72</v>
      </c>
      <c r="E61" s="25">
        <v>5</v>
      </c>
      <c r="F61" s="25">
        <v>6</v>
      </c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37">
        <f>SUM(D62:AI62)</f>
        <v>0</v>
      </c>
      <c r="AK61" s="38"/>
      <c r="AL61" s="38"/>
      <c r="AM61" s="40"/>
      <c r="AN61" s="40"/>
      <c r="AO61" s="41"/>
      <c r="AP61" s="41"/>
      <c r="AQ61" s="80"/>
      <c r="AR61" s="42"/>
      <c r="AS61" s="43">
        <f>AK61+AM61+AO61+AQ61</f>
        <v>0</v>
      </c>
      <c r="AT61" s="43">
        <f t="shared" ref="AT61" si="27">AL61+AN61+AP61+AR61</f>
        <v>0</v>
      </c>
      <c r="AU61" s="71">
        <v>33</v>
      </c>
    </row>
    <row r="62" spans="1:47" ht="24" customHeight="1" x14ac:dyDescent="0.35">
      <c r="A62" s="46"/>
      <c r="B62" s="24"/>
      <c r="C62" s="24"/>
      <c r="D62" s="25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8"/>
      <c r="AK62" s="49"/>
      <c r="AL62" s="49"/>
      <c r="AM62" s="50"/>
      <c r="AN62" s="50"/>
      <c r="AO62" s="51"/>
      <c r="AP62" s="51"/>
      <c r="AQ62" s="81"/>
      <c r="AR62" s="52"/>
      <c r="AS62" s="53"/>
      <c r="AT62" s="53"/>
      <c r="AU62" s="73"/>
    </row>
    <row r="63" spans="1:47" ht="24" customHeight="1" x14ac:dyDescent="0.35">
      <c r="A63" s="46"/>
      <c r="B63" s="55">
        <v>2016</v>
      </c>
      <c r="C63" s="8">
        <v>39</v>
      </c>
      <c r="D63" s="9">
        <v>1.48</v>
      </c>
      <c r="E63" s="36">
        <v>3</v>
      </c>
      <c r="F63" s="36">
        <v>4</v>
      </c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7">
        <f>SUM(D64:AI64)</f>
        <v>0</v>
      </c>
      <c r="AK63" s="38"/>
      <c r="AL63" s="38"/>
      <c r="AM63" s="40"/>
      <c r="AN63" s="40"/>
      <c r="AO63" s="41"/>
      <c r="AP63" s="41"/>
      <c r="AQ63" s="42"/>
      <c r="AR63" s="42"/>
      <c r="AS63" s="43">
        <f>AK63+AM63+AO63+AQ63</f>
        <v>0</v>
      </c>
      <c r="AT63" s="43">
        <f t="shared" ref="AT63" si="28">AL63+AN63+AP63+AR63</f>
        <v>0</v>
      </c>
      <c r="AU63" s="71">
        <v>39</v>
      </c>
    </row>
    <row r="64" spans="1:47" ht="24" customHeight="1" x14ac:dyDescent="0.35">
      <c r="A64" s="57"/>
      <c r="B64" s="55"/>
      <c r="C64" s="24"/>
      <c r="D64" s="25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8"/>
      <c r="AK64" s="49"/>
      <c r="AL64" s="49"/>
      <c r="AM64" s="50"/>
      <c r="AN64" s="50"/>
      <c r="AO64" s="51"/>
      <c r="AP64" s="51"/>
      <c r="AQ64" s="52"/>
      <c r="AR64" s="52"/>
      <c r="AS64" s="53"/>
      <c r="AT64" s="53"/>
      <c r="AU64" s="73"/>
    </row>
    <row r="65" spans="1:52" ht="24" customHeight="1" x14ac:dyDescent="0.35">
      <c r="A65" s="35" t="s">
        <v>22</v>
      </c>
      <c r="B65" s="8">
        <v>2010</v>
      </c>
      <c r="C65" s="8">
        <v>2</v>
      </c>
      <c r="D65" s="9">
        <v>60.4</v>
      </c>
      <c r="E65" s="82">
        <v>1</v>
      </c>
      <c r="F65" s="29">
        <v>2</v>
      </c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7">
        <f>SUM(D66:AI66)</f>
        <v>8</v>
      </c>
      <c r="AK65" s="38"/>
      <c r="AL65" s="38"/>
      <c r="AM65" s="40"/>
      <c r="AN65" s="40"/>
      <c r="AO65" s="41"/>
      <c r="AP65" s="41"/>
      <c r="AQ65" s="42"/>
      <c r="AR65" s="42"/>
      <c r="AS65" s="43">
        <f>AK65+AM65+AO65+AQ65</f>
        <v>0</v>
      </c>
      <c r="AT65" s="43">
        <f>AL65+AN65+AP65+AR65</f>
        <v>0</v>
      </c>
      <c r="AU65" s="65">
        <v>2</v>
      </c>
      <c r="AZ65" s="45"/>
    </row>
    <row r="66" spans="1:52" ht="24" customHeight="1" x14ac:dyDescent="0.35">
      <c r="A66" s="46"/>
      <c r="B66" s="55"/>
      <c r="C66" s="24"/>
      <c r="D66" s="25"/>
      <c r="E66" s="47">
        <v>4</v>
      </c>
      <c r="F66" s="47">
        <v>4</v>
      </c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8"/>
      <c r="AK66" s="49"/>
      <c r="AL66" s="49"/>
      <c r="AM66" s="50"/>
      <c r="AN66" s="50"/>
      <c r="AO66" s="51"/>
      <c r="AP66" s="51"/>
      <c r="AQ66" s="52"/>
      <c r="AR66" s="52"/>
      <c r="AS66" s="53"/>
      <c r="AT66" s="53"/>
      <c r="AU66" s="66"/>
      <c r="AZ66" s="45"/>
    </row>
    <row r="67" spans="1:52" ht="24" customHeight="1" x14ac:dyDescent="0.35">
      <c r="A67" s="46"/>
      <c r="B67" s="8">
        <v>2010</v>
      </c>
      <c r="C67" s="8">
        <v>11</v>
      </c>
      <c r="D67" s="9">
        <v>44.5</v>
      </c>
      <c r="E67" s="36">
        <v>9</v>
      </c>
      <c r="F67" s="36">
        <v>10</v>
      </c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62">
        <f>SUM(D68:AI68)</f>
        <v>0</v>
      </c>
      <c r="AK67" s="38"/>
      <c r="AL67" s="38"/>
      <c r="AM67" s="40"/>
      <c r="AN67" s="40"/>
      <c r="AO67" s="41"/>
      <c r="AP67" s="41"/>
      <c r="AQ67" s="42"/>
      <c r="AR67" s="42"/>
      <c r="AS67" s="43">
        <f>AK67+AM67+AO67+AQ67</f>
        <v>0</v>
      </c>
      <c r="AT67" s="43">
        <f t="shared" ref="AT67" si="29">AL67+AN67+AP67+AR67</f>
        <v>0</v>
      </c>
      <c r="AU67" s="65">
        <v>11</v>
      </c>
      <c r="AZ67" s="45"/>
    </row>
    <row r="68" spans="1:52" ht="24" customHeight="1" x14ac:dyDescent="0.35">
      <c r="A68" s="46"/>
      <c r="B68" s="24"/>
      <c r="C68" s="24"/>
      <c r="D68" s="25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63"/>
      <c r="AK68" s="49"/>
      <c r="AL68" s="49"/>
      <c r="AM68" s="50"/>
      <c r="AN68" s="50"/>
      <c r="AO68" s="51"/>
      <c r="AP68" s="51"/>
      <c r="AQ68" s="52"/>
      <c r="AR68" s="52"/>
      <c r="AS68" s="53"/>
      <c r="AT68" s="53"/>
      <c r="AU68" s="66"/>
      <c r="AZ68" s="45"/>
    </row>
    <row r="69" spans="1:52" ht="24" customHeight="1" x14ac:dyDescent="0.35">
      <c r="A69" s="46"/>
      <c r="B69" s="8">
        <v>2015</v>
      </c>
      <c r="C69" s="8">
        <v>29</v>
      </c>
      <c r="D69" s="64">
        <v>11.38</v>
      </c>
      <c r="E69" s="25">
        <v>10</v>
      </c>
      <c r="F69" s="25">
        <v>11</v>
      </c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37">
        <f>SUM(D70:AI70)</f>
        <v>0</v>
      </c>
      <c r="AK69" s="38"/>
      <c r="AL69" s="38"/>
      <c r="AM69" s="40"/>
      <c r="AN69" s="40"/>
      <c r="AO69" s="41"/>
      <c r="AP69" s="41"/>
      <c r="AQ69" s="69"/>
      <c r="AR69" s="42"/>
      <c r="AS69" s="43">
        <f>AK69+AM69+AO69+AQ69</f>
        <v>0</v>
      </c>
      <c r="AT69" s="43">
        <f t="shared" ref="AT69" si="30">AL69+AN69+AP69+AR69</f>
        <v>0</v>
      </c>
      <c r="AU69" s="65">
        <v>29</v>
      </c>
    </row>
    <row r="70" spans="1:52" ht="24" customHeight="1" x14ac:dyDescent="0.35">
      <c r="A70" s="46"/>
      <c r="B70" s="24"/>
      <c r="C70" s="24"/>
      <c r="D70" s="64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48"/>
      <c r="AK70" s="49"/>
      <c r="AL70" s="49"/>
      <c r="AM70" s="50"/>
      <c r="AN70" s="50"/>
      <c r="AO70" s="51"/>
      <c r="AP70" s="51"/>
      <c r="AQ70" s="69"/>
      <c r="AR70" s="52"/>
      <c r="AS70" s="53"/>
      <c r="AT70" s="53"/>
      <c r="AU70" s="66"/>
    </row>
    <row r="71" spans="1:52" ht="24" customHeight="1" x14ac:dyDescent="0.35">
      <c r="A71" s="84"/>
      <c r="B71" s="8">
        <v>2014</v>
      </c>
      <c r="C71" s="8">
        <v>105</v>
      </c>
      <c r="D71" s="8"/>
      <c r="E71" s="25">
        <v>416</v>
      </c>
      <c r="F71" s="25">
        <v>416</v>
      </c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37">
        <f>SUM(D72:AI72)</f>
        <v>0</v>
      </c>
      <c r="AK71" s="38"/>
      <c r="AL71" s="38"/>
      <c r="AM71" s="40"/>
      <c r="AN71" s="40"/>
      <c r="AO71" s="78"/>
      <c r="AP71" s="41"/>
      <c r="AQ71" s="42"/>
      <c r="AR71" s="42"/>
      <c r="AS71" s="43">
        <f>AK71+AM71+AO71+AQ71</f>
        <v>0</v>
      </c>
      <c r="AT71" s="43">
        <f t="shared" ref="AT71" si="31">AL71+AN71+AP71+AR71</f>
        <v>0</v>
      </c>
      <c r="AU71" s="71">
        <v>105</v>
      </c>
    </row>
    <row r="72" spans="1:52" ht="24" customHeight="1" x14ac:dyDescent="0.35">
      <c r="A72" s="85"/>
      <c r="B72" s="24"/>
      <c r="C72" s="24"/>
      <c r="D72" s="24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8"/>
      <c r="AK72" s="49"/>
      <c r="AL72" s="49"/>
      <c r="AM72" s="50"/>
      <c r="AN72" s="50"/>
      <c r="AO72" s="78"/>
      <c r="AP72" s="51"/>
      <c r="AQ72" s="52"/>
      <c r="AR72" s="52"/>
      <c r="AS72" s="53"/>
      <c r="AT72" s="53"/>
      <c r="AU72" s="73"/>
    </row>
    <row r="73" spans="1:52" ht="24" customHeight="1" x14ac:dyDescent="0.35">
      <c r="A73" s="85"/>
      <c r="B73" s="8">
        <v>2008</v>
      </c>
      <c r="C73" s="8">
        <v>114</v>
      </c>
      <c r="D73" s="64"/>
      <c r="E73" s="25">
        <v>416</v>
      </c>
      <c r="F73" s="25">
        <v>416</v>
      </c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37">
        <f>SUM(D74:AI74)</f>
        <v>0</v>
      </c>
      <c r="AK73" s="38"/>
      <c r="AL73" s="38"/>
      <c r="AM73" s="40"/>
      <c r="AN73" s="40"/>
      <c r="AO73" s="78"/>
      <c r="AP73" s="41"/>
      <c r="AQ73" s="42"/>
      <c r="AR73" s="42"/>
      <c r="AS73" s="43">
        <f t="shared" ref="AS73:AT73" si="32">AK73+AM73+AO73+AQ73</f>
        <v>0</v>
      </c>
      <c r="AT73" s="43">
        <f t="shared" si="32"/>
        <v>0</v>
      </c>
      <c r="AU73" s="71">
        <v>114</v>
      </c>
    </row>
    <row r="74" spans="1:52" ht="24" customHeight="1" thickBot="1" x14ac:dyDescent="0.4">
      <c r="A74" s="86"/>
      <c r="B74" s="24"/>
      <c r="C74" s="24"/>
      <c r="D74" s="25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8"/>
      <c r="AK74" s="49"/>
      <c r="AL74" s="49"/>
      <c r="AM74" s="50"/>
      <c r="AN74" s="50"/>
      <c r="AO74" s="78"/>
      <c r="AP74" s="51"/>
      <c r="AQ74" s="52"/>
      <c r="AR74" s="52"/>
      <c r="AS74" s="53"/>
      <c r="AT74" s="53"/>
      <c r="AU74" s="73"/>
    </row>
    <row r="75" spans="1:52" ht="21" customHeight="1" x14ac:dyDescent="0.35">
      <c r="A75" s="87" t="s">
        <v>23</v>
      </c>
      <c r="B75" s="26"/>
      <c r="C75" s="26"/>
      <c r="D75" s="26"/>
      <c r="E75" s="88">
        <f>E6+E8+E10+E12+E14+E16+E18+E20+E22+E24+E26+E28+E30+E32+E34+E36+E38+E40+E42+E44+E46+E48+E50+E52+E54+E56+E58+E60+E62+E68+E64+E66+E70+E72+E74</f>
        <v>49</v>
      </c>
      <c r="F75" s="88">
        <f t="shared" ref="F75:AI75" si="33">F6+F8+F10+F12+F14+F16+F18+F20+F22+F24+F26+F28+F30+F32+F34+F36+F38+F40+F42+F44+F46+F48+F50+F52+F54+F56+F58+F60+F62+F68+F64+F66+F70+F72+F74</f>
        <v>26</v>
      </c>
      <c r="G75" s="88">
        <f t="shared" si="33"/>
        <v>0</v>
      </c>
      <c r="H75" s="88">
        <f t="shared" si="33"/>
        <v>0</v>
      </c>
      <c r="I75" s="88">
        <f t="shared" si="33"/>
        <v>0</v>
      </c>
      <c r="J75" s="88">
        <f t="shared" si="33"/>
        <v>0</v>
      </c>
      <c r="K75" s="88">
        <f t="shared" si="33"/>
        <v>0</v>
      </c>
      <c r="L75" s="88">
        <f t="shared" si="33"/>
        <v>0</v>
      </c>
      <c r="M75" s="88">
        <f t="shared" si="33"/>
        <v>0</v>
      </c>
      <c r="N75" s="88">
        <f t="shared" si="33"/>
        <v>0</v>
      </c>
      <c r="O75" s="88">
        <f t="shared" si="33"/>
        <v>0</v>
      </c>
      <c r="P75" s="88">
        <f t="shared" si="33"/>
        <v>0</v>
      </c>
      <c r="Q75" s="88">
        <f t="shared" si="33"/>
        <v>0</v>
      </c>
      <c r="R75" s="88">
        <f t="shared" si="33"/>
        <v>0</v>
      </c>
      <c r="S75" s="88">
        <f t="shared" si="33"/>
        <v>0</v>
      </c>
      <c r="T75" s="88">
        <f t="shared" si="33"/>
        <v>0</v>
      </c>
      <c r="U75" s="88">
        <f t="shared" si="33"/>
        <v>0</v>
      </c>
      <c r="V75" s="88">
        <f t="shared" si="33"/>
        <v>0</v>
      </c>
      <c r="W75" s="88">
        <f t="shared" si="33"/>
        <v>0</v>
      </c>
      <c r="X75" s="88">
        <f t="shared" si="33"/>
        <v>0</v>
      </c>
      <c r="Y75" s="88">
        <f t="shared" si="33"/>
        <v>0</v>
      </c>
      <c r="Z75" s="88">
        <f t="shared" si="33"/>
        <v>0</v>
      </c>
      <c r="AA75" s="88">
        <f t="shared" si="33"/>
        <v>0</v>
      </c>
      <c r="AB75" s="88">
        <f t="shared" si="33"/>
        <v>0</v>
      </c>
      <c r="AC75" s="88">
        <f t="shared" si="33"/>
        <v>0</v>
      </c>
      <c r="AD75" s="88">
        <f t="shared" si="33"/>
        <v>0</v>
      </c>
      <c r="AE75" s="88">
        <f t="shared" si="33"/>
        <v>0</v>
      </c>
      <c r="AF75" s="88">
        <f t="shared" si="33"/>
        <v>0</v>
      </c>
      <c r="AG75" s="88">
        <f t="shared" si="33"/>
        <v>0</v>
      </c>
      <c r="AH75" s="88">
        <f t="shared" si="33"/>
        <v>0</v>
      </c>
      <c r="AI75" s="88">
        <f t="shared" si="33"/>
        <v>0</v>
      </c>
      <c r="AJ75" s="12" t="s">
        <v>24</v>
      </c>
      <c r="AK75" s="38">
        <f>SUM(AK5:AK74)</f>
        <v>35.229999999999997</v>
      </c>
      <c r="AL75" s="38">
        <f t="shared" ref="AL75:AR75" si="34">SUM(AL7:AL74)</f>
        <v>0</v>
      </c>
      <c r="AM75" s="40">
        <f t="shared" si="34"/>
        <v>0</v>
      </c>
      <c r="AN75" s="40">
        <f t="shared" si="34"/>
        <v>0</v>
      </c>
      <c r="AO75" s="41">
        <f t="shared" si="34"/>
        <v>0</v>
      </c>
      <c r="AP75" s="41">
        <f t="shared" si="34"/>
        <v>0</v>
      </c>
      <c r="AQ75" s="42">
        <f t="shared" si="34"/>
        <v>0</v>
      </c>
      <c r="AR75" s="42">
        <f t="shared" si="34"/>
        <v>0</v>
      </c>
      <c r="AS75" s="89">
        <f>AS73+AS71+AS65+AS63+AS61+AS59+AS57+AS55+AS53+AS51+AS49+AS47+AS45+AS43+AS41+AS37+AS35+AS39+AS33+AS31+AS29+AS27+AS25+AS23+AS21+AS19+AS17+AS13+AS15+AS11+AS9+AS7+AS5+AS67+AS69</f>
        <v>35.229999999999997</v>
      </c>
      <c r="AT75" s="89">
        <f>AT73+AT71+AT65+AT63+AT61+AT59+AT57+AT55+AT53+AT51+AT49+AT47+AT45+AT43+AT41+AT37+AT35+AT39+AT33+AT31+AT29+AT27+AT25+AT23+AT21+AT19+AT17+AT13+AT15+AT11+AT9+AT7+AT5+AT67+AT69</f>
        <v>0</v>
      </c>
      <c r="AU75" s="3"/>
    </row>
    <row r="76" spans="1:52" x14ac:dyDescent="0.35">
      <c r="A76" s="87" t="s">
        <v>25</v>
      </c>
      <c r="B76" s="26"/>
      <c r="C76" s="26"/>
      <c r="D76" s="26"/>
      <c r="E76" s="88">
        <f>E75</f>
        <v>49</v>
      </c>
      <c r="F76" s="88">
        <f>E76+F75</f>
        <v>75</v>
      </c>
      <c r="G76" s="88">
        <f t="shared" ref="G76:AI76" si="35">F76+G75</f>
        <v>75</v>
      </c>
      <c r="H76" s="88">
        <f t="shared" si="35"/>
        <v>75</v>
      </c>
      <c r="I76" s="88">
        <f t="shared" si="35"/>
        <v>75</v>
      </c>
      <c r="J76" s="88">
        <f t="shared" si="35"/>
        <v>75</v>
      </c>
      <c r="K76" s="88">
        <f t="shared" si="35"/>
        <v>75</v>
      </c>
      <c r="L76" s="88">
        <f t="shared" si="35"/>
        <v>75</v>
      </c>
      <c r="M76" s="88">
        <f t="shared" si="35"/>
        <v>75</v>
      </c>
      <c r="N76" s="88">
        <f t="shared" si="35"/>
        <v>75</v>
      </c>
      <c r="O76" s="88">
        <f t="shared" si="35"/>
        <v>75</v>
      </c>
      <c r="P76" s="88">
        <f t="shared" si="35"/>
        <v>75</v>
      </c>
      <c r="Q76" s="88">
        <f t="shared" si="35"/>
        <v>75</v>
      </c>
      <c r="R76" s="88">
        <f t="shared" si="35"/>
        <v>75</v>
      </c>
      <c r="S76" s="88">
        <f t="shared" si="35"/>
        <v>75</v>
      </c>
      <c r="T76" s="88">
        <f t="shared" si="35"/>
        <v>75</v>
      </c>
      <c r="U76" s="88">
        <f t="shared" si="35"/>
        <v>75</v>
      </c>
      <c r="V76" s="88">
        <f t="shared" si="35"/>
        <v>75</v>
      </c>
      <c r="W76" s="88">
        <f t="shared" si="35"/>
        <v>75</v>
      </c>
      <c r="X76" s="88">
        <f t="shared" si="35"/>
        <v>75</v>
      </c>
      <c r="Y76" s="88">
        <f t="shared" si="35"/>
        <v>75</v>
      </c>
      <c r="Z76" s="88">
        <f t="shared" si="35"/>
        <v>75</v>
      </c>
      <c r="AA76" s="88">
        <f t="shared" si="35"/>
        <v>75</v>
      </c>
      <c r="AB76" s="88">
        <f t="shared" si="35"/>
        <v>75</v>
      </c>
      <c r="AC76" s="88">
        <f t="shared" si="35"/>
        <v>75</v>
      </c>
      <c r="AD76" s="88">
        <f t="shared" si="35"/>
        <v>75</v>
      </c>
      <c r="AE76" s="88">
        <f t="shared" si="35"/>
        <v>75</v>
      </c>
      <c r="AF76" s="88">
        <f t="shared" si="35"/>
        <v>75</v>
      </c>
      <c r="AG76" s="88">
        <f t="shared" si="35"/>
        <v>75</v>
      </c>
      <c r="AH76" s="88">
        <f t="shared" si="35"/>
        <v>75</v>
      </c>
      <c r="AI76" s="88">
        <f t="shared" si="35"/>
        <v>75</v>
      </c>
      <c r="AJ76" s="28"/>
      <c r="AK76" s="49"/>
      <c r="AL76" s="49"/>
      <c r="AM76" s="50"/>
      <c r="AN76" s="50"/>
      <c r="AO76" s="51"/>
      <c r="AP76" s="51"/>
      <c r="AQ76" s="52"/>
      <c r="AR76" s="52"/>
      <c r="AS76" s="90"/>
      <c r="AT76" s="90"/>
      <c r="AU76" s="3"/>
    </row>
    <row r="77" spans="1:52" ht="28.5" customHeight="1" x14ac:dyDescent="0.35">
      <c r="A77" s="87" t="s">
        <v>26</v>
      </c>
      <c r="B77" s="26"/>
      <c r="C77" s="26"/>
      <c r="D77" s="2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91" t="s">
        <v>27</v>
      </c>
      <c r="AK77" s="91"/>
      <c r="AL77" s="91"/>
      <c r="AM77" s="91"/>
      <c r="AN77" s="91"/>
      <c r="AO77" s="91"/>
      <c r="AP77" s="91"/>
      <c r="AQ77" s="91"/>
      <c r="AR77" s="91"/>
      <c r="AS77" s="92">
        <f>AS75+AT75</f>
        <v>35.229999999999997</v>
      </c>
      <c r="AT77" s="93"/>
      <c r="AU77" s="3"/>
    </row>
    <row r="78" spans="1:52" ht="21" customHeight="1" x14ac:dyDescent="0.35">
      <c r="A78" s="4"/>
      <c r="B78" s="4"/>
      <c r="E78" s="94"/>
      <c r="P78" s="95"/>
      <c r="Q78" s="95"/>
      <c r="T78" s="96"/>
      <c r="X78" s="97"/>
      <c r="Z78" s="98"/>
      <c r="AD78" s="94"/>
      <c r="AS78" s="99"/>
      <c r="AT78" s="4"/>
      <c r="AU78" s="3"/>
    </row>
    <row r="79" spans="1:52" ht="42" customHeight="1" x14ac:dyDescent="0.35">
      <c r="A79" s="4"/>
      <c r="B79" s="4"/>
      <c r="E79" s="100" t="s">
        <v>28</v>
      </c>
      <c r="F79" s="100"/>
      <c r="G79" s="100"/>
      <c r="H79" s="100"/>
      <c r="I79" s="100"/>
      <c r="P79" s="95"/>
      <c r="Q79" s="95"/>
      <c r="T79" s="96"/>
      <c r="X79" s="97"/>
      <c r="Z79" s="101"/>
      <c r="AA79" s="3"/>
      <c r="AB79" s="3"/>
      <c r="AC79" s="3"/>
      <c r="AD79" s="3"/>
      <c r="AE79" s="3"/>
      <c r="AF79" s="3"/>
      <c r="AG79" s="3"/>
      <c r="AH79" s="3"/>
      <c r="AI79" s="3"/>
      <c r="AJ79" s="3"/>
      <c r="AS79" s="99"/>
      <c r="AT79" s="4"/>
      <c r="AU79" s="3"/>
    </row>
    <row r="80" spans="1:52" ht="21" customHeight="1" x14ac:dyDescent="0.35">
      <c r="B80" s="4"/>
      <c r="E80" s="102"/>
      <c r="P80" s="95"/>
      <c r="Q80" s="95"/>
      <c r="T80" s="96"/>
      <c r="X80" s="97"/>
      <c r="Z80" s="101"/>
      <c r="AA80" s="3"/>
      <c r="AB80" s="3"/>
      <c r="AC80" s="3"/>
      <c r="AD80" s="3"/>
      <c r="AE80" s="3"/>
      <c r="AF80" s="3"/>
      <c r="AG80" s="3"/>
      <c r="AH80" s="3"/>
      <c r="AI80" s="3"/>
      <c r="AJ80" s="3"/>
      <c r="AS80" s="99"/>
      <c r="AT80" s="4"/>
      <c r="AU80" s="3"/>
    </row>
    <row r="81" spans="1:47" ht="30.75" customHeight="1" x14ac:dyDescent="0.55000000000000004">
      <c r="A81" s="103"/>
      <c r="B81" s="104"/>
      <c r="C81" s="104"/>
      <c r="D81" s="104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1"/>
      <c r="AA81" s="3"/>
      <c r="AB81" s="3"/>
      <c r="AC81" s="3"/>
      <c r="AD81" s="3"/>
      <c r="AE81" s="3"/>
      <c r="AF81" s="3"/>
      <c r="AG81" s="3"/>
      <c r="AH81" s="3"/>
      <c r="AI81" s="3"/>
      <c r="AJ81" s="3"/>
      <c r="AS81" s="99"/>
      <c r="AT81" s="4"/>
      <c r="AU81" s="3"/>
    </row>
    <row r="82" spans="1:47" ht="30.75" customHeight="1" x14ac:dyDescent="0.55000000000000004">
      <c r="C82" s="3"/>
      <c r="D82" s="106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1"/>
      <c r="AA82" s="3"/>
      <c r="AB82" s="3"/>
      <c r="AC82" s="3"/>
      <c r="AD82" s="3"/>
      <c r="AE82" s="3"/>
      <c r="AF82" s="3"/>
      <c r="AG82" s="3"/>
      <c r="AH82" s="3"/>
      <c r="AI82" s="3"/>
      <c r="AJ82" s="3"/>
      <c r="AU82" s="3"/>
    </row>
    <row r="83" spans="1:47" ht="30.75" customHeight="1" x14ac:dyDescent="0.55000000000000004">
      <c r="A83" s="103"/>
      <c r="C83" s="3"/>
      <c r="D83" s="3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1"/>
      <c r="AA83" s="3"/>
      <c r="AB83" s="3"/>
      <c r="AC83" s="3"/>
      <c r="AD83" s="3"/>
      <c r="AE83" s="3"/>
      <c r="AF83" s="3"/>
      <c r="AG83" s="3"/>
      <c r="AH83" s="3"/>
      <c r="AI83" s="3"/>
      <c r="AJ83" s="3"/>
      <c r="AU83" s="3"/>
    </row>
    <row r="84" spans="1:47" ht="30.75" customHeight="1" x14ac:dyDescent="0.55000000000000004">
      <c r="A84" s="103"/>
      <c r="C84" s="3"/>
      <c r="D84" s="3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1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47" ht="30.75" customHeight="1" x14ac:dyDescent="0.55000000000000004">
      <c r="A85" s="103"/>
      <c r="C85" s="3"/>
      <c r="D85" s="3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1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47" ht="30.75" customHeight="1" x14ac:dyDescent="0.55000000000000004">
      <c r="A86" s="103"/>
      <c r="C86" s="3"/>
      <c r="D86" s="3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1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47" ht="30.75" customHeight="1" x14ac:dyDescent="0.55000000000000004">
      <c r="A87" s="103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1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47" ht="30.75" customHeight="1" x14ac:dyDescent="0.55000000000000004">
      <c r="A88" s="103"/>
      <c r="C88" s="3"/>
      <c r="D88" s="3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1"/>
      <c r="AA88" s="3"/>
      <c r="AB88" s="3"/>
      <c r="AC88" s="3"/>
      <c r="AD88" s="3"/>
      <c r="AE88" s="3"/>
      <c r="AF88" s="3"/>
      <c r="AG88" s="3"/>
      <c r="AH88" s="3"/>
      <c r="AI88" s="3"/>
      <c r="AJ88" s="3"/>
      <c r="AU88" s="3"/>
    </row>
    <row r="89" spans="1:47" ht="30.75" customHeight="1" x14ac:dyDescent="0.55000000000000004">
      <c r="A89" s="103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1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47" ht="32.25" customHeight="1" x14ac:dyDescent="0.55000000000000004">
      <c r="A90" s="103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1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47" ht="32.25" customHeight="1" x14ac:dyDescent="0.55000000000000004">
      <c r="A91" s="103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1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47" ht="36" x14ac:dyDescent="0.55000000000000004">
      <c r="A92" s="103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1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47" ht="36" x14ac:dyDescent="0.55000000000000004">
      <c r="A93" s="103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1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47" ht="36" x14ac:dyDescent="0.55000000000000004">
      <c r="A94" s="103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1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47" ht="36" x14ac:dyDescent="0.55000000000000004">
      <c r="A95" s="103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1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47" x14ac:dyDescent="0.35">
      <c r="A96" s="103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1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x14ac:dyDescent="0.35"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1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x14ac:dyDescent="0.35"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1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28.5" x14ac:dyDescent="0.45">
      <c r="A99" s="108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1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28.5" x14ac:dyDescent="0.45">
      <c r="A100" s="108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1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28.5" x14ac:dyDescent="0.45">
      <c r="A101" s="108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1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28.5" x14ac:dyDescent="0.45">
      <c r="A102" s="108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1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28.5" x14ac:dyDescent="0.45">
      <c r="A103" s="108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1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x14ac:dyDescent="0.35"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1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x14ac:dyDescent="0.35">
      <c r="E105" s="107"/>
      <c r="Z105" s="101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x14ac:dyDescent="0.35">
      <c r="Z106" s="101"/>
    </row>
    <row r="107" spans="1:36" x14ac:dyDescent="0.35">
      <c r="K107" s="109"/>
      <c r="L107" s="109"/>
      <c r="M107" s="109"/>
      <c r="Z107" s="101"/>
    </row>
    <row r="109" spans="1:36" x14ac:dyDescent="0.35">
      <c r="K109" s="106"/>
      <c r="L109" s="106"/>
      <c r="M109" s="106"/>
    </row>
    <row r="110" spans="1:36" x14ac:dyDescent="0.35">
      <c r="K110" s="106"/>
      <c r="L110" s="106"/>
      <c r="M110" s="106"/>
    </row>
    <row r="111" spans="1:36" x14ac:dyDescent="0.35">
      <c r="K111" s="106"/>
      <c r="L111" s="106"/>
      <c r="M111" s="106"/>
    </row>
  </sheetData>
  <mergeCells count="519">
    <mergeCell ref="AS78:AS81"/>
    <mergeCell ref="E79:I79"/>
    <mergeCell ref="AQ75:AQ76"/>
    <mergeCell ref="AR75:AR76"/>
    <mergeCell ref="AS75:AS76"/>
    <mergeCell ref="AT75:AT76"/>
    <mergeCell ref="A76:D76"/>
    <mergeCell ref="A77:D77"/>
    <mergeCell ref="AJ77:AR77"/>
    <mergeCell ref="AS77:AT77"/>
    <mergeCell ref="AT73:AT74"/>
    <mergeCell ref="AU73:AU74"/>
    <mergeCell ref="A75:D75"/>
    <mergeCell ref="AJ75:AJ76"/>
    <mergeCell ref="AK75:AK76"/>
    <mergeCell ref="AL75:AL76"/>
    <mergeCell ref="AM75:AM76"/>
    <mergeCell ref="AN75:AN76"/>
    <mergeCell ref="AO75:AO76"/>
    <mergeCell ref="AP75:AP76"/>
    <mergeCell ref="AN73:AN74"/>
    <mergeCell ref="AO73:AO74"/>
    <mergeCell ref="AP73:AP74"/>
    <mergeCell ref="AQ73:AQ74"/>
    <mergeCell ref="AR73:AR74"/>
    <mergeCell ref="AS73:AS74"/>
    <mergeCell ref="AR71:AR72"/>
    <mergeCell ref="AS71:AS72"/>
    <mergeCell ref="AT71:AT72"/>
    <mergeCell ref="AU71:AU72"/>
    <mergeCell ref="B73:B74"/>
    <mergeCell ref="C73:C74"/>
    <mergeCell ref="AJ73:AJ74"/>
    <mergeCell ref="AK73:AK74"/>
    <mergeCell ref="AL73:AL74"/>
    <mergeCell ref="AM73:AM74"/>
    <mergeCell ref="AL71:AL72"/>
    <mergeCell ref="AM71:AM72"/>
    <mergeCell ref="AN71:AN72"/>
    <mergeCell ref="AO71:AO72"/>
    <mergeCell ref="AP71:AP72"/>
    <mergeCell ref="AQ71:AQ72"/>
    <mergeCell ref="AP69:AP70"/>
    <mergeCell ref="AR69:AR70"/>
    <mergeCell ref="AS69:AS70"/>
    <mergeCell ref="AT69:AT70"/>
    <mergeCell ref="AU69:AU70"/>
    <mergeCell ref="B71:B72"/>
    <mergeCell ref="C71:C72"/>
    <mergeCell ref="D71:D72"/>
    <mergeCell ref="AJ71:AJ72"/>
    <mergeCell ref="AK71:AK72"/>
    <mergeCell ref="AT67:AT68"/>
    <mergeCell ref="AU67:AU68"/>
    <mergeCell ref="B69:B70"/>
    <mergeCell ref="C69:C70"/>
    <mergeCell ref="AJ69:AJ70"/>
    <mergeCell ref="AK69:AK70"/>
    <mergeCell ref="AL69:AL70"/>
    <mergeCell ref="AM69:AM70"/>
    <mergeCell ref="AN69:AN70"/>
    <mergeCell ref="AO69:AO70"/>
    <mergeCell ref="AN67:AN68"/>
    <mergeCell ref="AO67:AO68"/>
    <mergeCell ref="AP67:AP68"/>
    <mergeCell ref="AQ67:AQ68"/>
    <mergeCell ref="AR67:AR68"/>
    <mergeCell ref="AS67:AS68"/>
    <mergeCell ref="AR65:AR66"/>
    <mergeCell ref="AS65:AS66"/>
    <mergeCell ref="AT65:AT66"/>
    <mergeCell ref="AU65:AU66"/>
    <mergeCell ref="B67:B68"/>
    <mergeCell ref="C67:C68"/>
    <mergeCell ref="AJ67:AJ68"/>
    <mergeCell ref="AK67:AK68"/>
    <mergeCell ref="AL67:AL68"/>
    <mergeCell ref="AM67:AM68"/>
    <mergeCell ref="AL65:AL66"/>
    <mergeCell ref="AM65:AM66"/>
    <mergeCell ref="AN65:AN66"/>
    <mergeCell ref="AO65:AO66"/>
    <mergeCell ref="AP65:AP66"/>
    <mergeCell ref="AQ65:AQ66"/>
    <mergeCell ref="AQ63:AQ64"/>
    <mergeCell ref="AR63:AR64"/>
    <mergeCell ref="AS63:AS64"/>
    <mergeCell ref="AT63:AT64"/>
    <mergeCell ref="AU63:AU64"/>
    <mergeCell ref="A65:A70"/>
    <mergeCell ref="B65:B66"/>
    <mergeCell ref="C65:C66"/>
    <mergeCell ref="AJ65:AJ66"/>
    <mergeCell ref="AK65:AK66"/>
    <mergeCell ref="AU61:AU62"/>
    <mergeCell ref="B63:B64"/>
    <mergeCell ref="C63:C64"/>
    <mergeCell ref="AJ63:AJ64"/>
    <mergeCell ref="AK63:AK64"/>
    <mergeCell ref="AL63:AL64"/>
    <mergeCell ref="AM63:AM64"/>
    <mergeCell ref="AN63:AN64"/>
    <mergeCell ref="AO63:AO64"/>
    <mergeCell ref="AP63:AP64"/>
    <mergeCell ref="AN61:AN62"/>
    <mergeCell ref="AO61:AO62"/>
    <mergeCell ref="AP61:AP62"/>
    <mergeCell ref="AR61:AR62"/>
    <mergeCell ref="AS61:AS62"/>
    <mergeCell ref="AT61:AT62"/>
    <mergeCell ref="AR59:AR60"/>
    <mergeCell ref="AS59:AS60"/>
    <mergeCell ref="AT59:AT60"/>
    <mergeCell ref="AU59:AU60"/>
    <mergeCell ref="B61:B62"/>
    <mergeCell ref="C61:C62"/>
    <mergeCell ref="AJ61:AJ62"/>
    <mergeCell ref="AK61:AK62"/>
    <mergeCell ref="AL61:AL62"/>
    <mergeCell ref="AM61:AM62"/>
    <mergeCell ref="AU57:AU58"/>
    <mergeCell ref="C59:C60"/>
    <mergeCell ref="AJ59:AJ60"/>
    <mergeCell ref="AK59:AK60"/>
    <mergeCell ref="AL59:AL60"/>
    <mergeCell ref="AM59:AM60"/>
    <mergeCell ref="AN59:AN60"/>
    <mergeCell ref="AO59:AO60"/>
    <mergeCell ref="AP59:AP60"/>
    <mergeCell ref="AQ59:AQ60"/>
    <mergeCell ref="AO57:AO58"/>
    <mergeCell ref="AP57:AP58"/>
    <mergeCell ref="AQ57:AQ58"/>
    <mergeCell ref="AR57:AR58"/>
    <mergeCell ref="AS57:AS58"/>
    <mergeCell ref="AT57:AT58"/>
    <mergeCell ref="AS55:AS56"/>
    <mergeCell ref="AT55:AT56"/>
    <mergeCell ref="AU55:AU56"/>
    <mergeCell ref="C57:C58"/>
    <mergeCell ref="D57:D58"/>
    <mergeCell ref="AJ57:AJ58"/>
    <mergeCell ref="AK57:AK58"/>
    <mergeCell ref="AL57:AL58"/>
    <mergeCell ref="AM57:AM58"/>
    <mergeCell ref="AN57:AN58"/>
    <mergeCell ref="AU53:AU54"/>
    <mergeCell ref="C55:C56"/>
    <mergeCell ref="D55:D56"/>
    <mergeCell ref="AJ55:AJ56"/>
    <mergeCell ref="AK55:AK56"/>
    <mergeCell ref="AL55:AL56"/>
    <mergeCell ref="AM55:AM56"/>
    <mergeCell ref="AN55:AN56"/>
    <mergeCell ref="AP55:AP56"/>
    <mergeCell ref="AR55:AR56"/>
    <mergeCell ref="AN53:AN54"/>
    <mergeCell ref="AO53:AO54"/>
    <mergeCell ref="AP53:AP54"/>
    <mergeCell ref="AR53:AR54"/>
    <mergeCell ref="AS53:AS54"/>
    <mergeCell ref="AT53:AT54"/>
    <mergeCell ref="C53:C54"/>
    <mergeCell ref="D53:D54"/>
    <mergeCell ref="AJ53:AJ54"/>
    <mergeCell ref="AK53:AK54"/>
    <mergeCell ref="AL53:AL54"/>
    <mergeCell ref="AM53:AM54"/>
    <mergeCell ref="AP51:AP52"/>
    <mergeCell ref="AQ51:AQ52"/>
    <mergeCell ref="AR51:AR52"/>
    <mergeCell ref="AS51:AS52"/>
    <mergeCell ref="AT51:AT52"/>
    <mergeCell ref="AU51:AU52"/>
    <mergeCell ref="AT49:AT50"/>
    <mergeCell ref="AU49:AU50"/>
    <mergeCell ref="C51:C52"/>
    <mergeCell ref="D51:D52"/>
    <mergeCell ref="AJ51:AJ52"/>
    <mergeCell ref="AK51:AK52"/>
    <mergeCell ref="AL51:AL52"/>
    <mergeCell ref="AM51:AM52"/>
    <mergeCell ref="AN51:AN52"/>
    <mergeCell ref="AO51:AO52"/>
    <mergeCell ref="AM49:AM50"/>
    <mergeCell ref="AN49:AN50"/>
    <mergeCell ref="AO49:AO50"/>
    <mergeCell ref="AP49:AP50"/>
    <mergeCell ref="AR49:AR50"/>
    <mergeCell ref="AS49:AS50"/>
    <mergeCell ref="AS47:AS48"/>
    <mergeCell ref="AT47:AT48"/>
    <mergeCell ref="AU47:AU48"/>
    <mergeCell ref="A49:A64"/>
    <mergeCell ref="B49:B60"/>
    <mergeCell ref="C49:C50"/>
    <mergeCell ref="D49:D50"/>
    <mergeCell ref="AJ49:AJ50"/>
    <mergeCell ref="AK49:AK50"/>
    <mergeCell ref="AL49:AL50"/>
    <mergeCell ref="AM47:AM48"/>
    <mergeCell ref="AN47:AN48"/>
    <mergeCell ref="AO47:AO48"/>
    <mergeCell ref="AP47:AP48"/>
    <mergeCell ref="AQ47:AQ48"/>
    <mergeCell ref="AR47:AR48"/>
    <mergeCell ref="AQ45:AQ46"/>
    <mergeCell ref="AR45:AR46"/>
    <mergeCell ref="AS45:AS46"/>
    <mergeCell ref="AT45:AT46"/>
    <mergeCell ref="AU45:AU46"/>
    <mergeCell ref="B47:B48"/>
    <mergeCell ref="C47:C48"/>
    <mergeCell ref="AJ47:AJ48"/>
    <mergeCell ref="AK47:AK48"/>
    <mergeCell ref="AL47:AL48"/>
    <mergeCell ref="AU43:AU44"/>
    <mergeCell ref="B45:B46"/>
    <mergeCell ref="C45:C46"/>
    <mergeCell ref="AJ45:AJ46"/>
    <mergeCell ref="AK45:AK46"/>
    <mergeCell ref="AL45:AL46"/>
    <mergeCell ref="AM45:AM46"/>
    <mergeCell ref="AN45:AN46"/>
    <mergeCell ref="AO45:AO46"/>
    <mergeCell ref="AP45:AP46"/>
    <mergeCell ref="AO43:AO44"/>
    <mergeCell ref="AP43:AP44"/>
    <mergeCell ref="AQ43:AQ44"/>
    <mergeCell ref="AR43:AR44"/>
    <mergeCell ref="AS43:AS44"/>
    <mergeCell ref="AT43:AT44"/>
    <mergeCell ref="AS41:AS42"/>
    <mergeCell ref="AT41:AT42"/>
    <mergeCell ref="AU41:AU42"/>
    <mergeCell ref="B43:B44"/>
    <mergeCell ref="C43:C44"/>
    <mergeCell ref="AJ43:AJ44"/>
    <mergeCell ref="AK43:AK44"/>
    <mergeCell ref="AL43:AL44"/>
    <mergeCell ref="AM43:AM44"/>
    <mergeCell ref="AN43:AN44"/>
    <mergeCell ref="AM41:AM42"/>
    <mergeCell ref="AN41:AN42"/>
    <mergeCell ref="AO41:AO42"/>
    <mergeCell ref="AP41:AP42"/>
    <mergeCell ref="AQ41:AQ42"/>
    <mergeCell ref="AR41:AR42"/>
    <mergeCell ref="AP39:AP40"/>
    <mergeCell ref="AR39:AR40"/>
    <mergeCell ref="AS39:AS40"/>
    <mergeCell ref="AT39:AT40"/>
    <mergeCell ref="AU39:AU40"/>
    <mergeCell ref="B41:B42"/>
    <mergeCell ref="C41:C42"/>
    <mergeCell ref="AJ41:AJ42"/>
    <mergeCell ref="AK41:AK42"/>
    <mergeCell ref="AL41:AL42"/>
    <mergeCell ref="AT37:AT38"/>
    <mergeCell ref="AU37:AU38"/>
    <mergeCell ref="B39:B40"/>
    <mergeCell ref="C39:C40"/>
    <mergeCell ref="AJ39:AJ40"/>
    <mergeCell ref="AK39:AK40"/>
    <mergeCell ref="AL39:AL40"/>
    <mergeCell ref="AM39:AM40"/>
    <mergeCell ref="AN39:AN40"/>
    <mergeCell ref="AO39:AO40"/>
    <mergeCell ref="AN37:AN38"/>
    <mergeCell ref="AO37:AO38"/>
    <mergeCell ref="AP37:AP38"/>
    <mergeCell ref="AQ37:AQ38"/>
    <mergeCell ref="AR37:AR38"/>
    <mergeCell ref="AS37:AS38"/>
    <mergeCell ref="AS35:AS36"/>
    <mergeCell ref="AT35:AT36"/>
    <mergeCell ref="AU35:AU36"/>
    <mergeCell ref="A37:A48"/>
    <mergeCell ref="B37:B38"/>
    <mergeCell ref="C37:C38"/>
    <mergeCell ref="AJ37:AJ38"/>
    <mergeCell ref="AK37:AK38"/>
    <mergeCell ref="AL37:AL38"/>
    <mergeCell ref="AM37:AM38"/>
    <mergeCell ref="AM35:AM36"/>
    <mergeCell ref="AN35:AN36"/>
    <mergeCell ref="AO35:AO36"/>
    <mergeCell ref="AP35:AP36"/>
    <mergeCell ref="AQ35:AQ36"/>
    <mergeCell ref="AR35:AR36"/>
    <mergeCell ref="AQ33:AQ34"/>
    <mergeCell ref="AR33:AR34"/>
    <mergeCell ref="AS33:AS34"/>
    <mergeCell ref="AT33:AT34"/>
    <mergeCell ref="AU33:AU34"/>
    <mergeCell ref="B35:B36"/>
    <mergeCell ref="C35:C36"/>
    <mergeCell ref="AJ35:AJ36"/>
    <mergeCell ref="AK35:AK36"/>
    <mergeCell ref="AL35:AL36"/>
    <mergeCell ref="AU31:AU32"/>
    <mergeCell ref="B33:B34"/>
    <mergeCell ref="C33:C34"/>
    <mergeCell ref="AJ33:AJ34"/>
    <mergeCell ref="AK33:AK34"/>
    <mergeCell ref="AL33:AL34"/>
    <mergeCell ref="AM33:AM34"/>
    <mergeCell ref="AN33:AN34"/>
    <mergeCell ref="AO33:AO34"/>
    <mergeCell ref="AP33:AP34"/>
    <mergeCell ref="AO31:AO32"/>
    <mergeCell ref="AP31:AP32"/>
    <mergeCell ref="AQ31:AQ32"/>
    <mergeCell ref="AR31:AR32"/>
    <mergeCell ref="AS31:AS32"/>
    <mergeCell ref="AT31:AT32"/>
    <mergeCell ref="AS29:AS30"/>
    <mergeCell ref="AT29:AT30"/>
    <mergeCell ref="AU29:AU30"/>
    <mergeCell ref="B31:B32"/>
    <mergeCell ref="C31:C32"/>
    <mergeCell ref="AJ31:AJ32"/>
    <mergeCell ref="AK31:AK32"/>
    <mergeCell ref="AL31:AL32"/>
    <mergeCell ref="AM31:AM32"/>
    <mergeCell ref="AN31:AN32"/>
    <mergeCell ref="AM29:AM30"/>
    <mergeCell ref="AN29:AN30"/>
    <mergeCell ref="AO29:AO30"/>
    <mergeCell ref="AP29:AP30"/>
    <mergeCell ref="AQ29:AQ30"/>
    <mergeCell ref="AR29:AR30"/>
    <mergeCell ref="AQ27:AQ28"/>
    <mergeCell ref="AR27:AR28"/>
    <mergeCell ref="AS27:AS28"/>
    <mergeCell ref="AT27:AT28"/>
    <mergeCell ref="AU27:AU28"/>
    <mergeCell ref="B29:B30"/>
    <mergeCell ref="C29:C30"/>
    <mergeCell ref="AJ29:AJ30"/>
    <mergeCell ref="AK29:AK30"/>
    <mergeCell ref="AL29:AL30"/>
    <mergeCell ref="AU25:AU26"/>
    <mergeCell ref="B27:B28"/>
    <mergeCell ref="C27:C28"/>
    <mergeCell ref="AJ27:AJ28"/>
    <mergeCell ref="AK27:AK28"/>
    <mergeCell ref="AL27:AL28"/>
    <mergeCell ref="AM27:AM28"/>
    <mergeCell ref="AN27:AN28"/>
    <mergeCell ref="AO27:AO28"/>
    <mergeCell ref="AP27:AP28"/>
    <mergeCell ref="AO25:AO26"/>
    <mergeCell ref="AP25:AP26"/>
    <mergeCell ref="AQ25:AQ26"/>
    <mergeCell ref="AR25:AR26"/>
    <mergeCell ref="AS25:AS26"/>
    <mergeCell ref="AT25:AT26"/>
    <mergeCell ref="AS23:AS24"/>
    <mergeCell ref="AT23:AT24"/>
    <mergeCell ref="AU23:AU24"/>
    <mergeCell ref="B25:B26"/>
    <mergeCell ref="C25:C26"/>
    <mergeCell ref="AJ25:AJ26"/>
    <mergeCell ref="AK25:AK26"/>
    <mergeCell ref="AL25:AL26"/>
    <mergeCell ref="AM25:AM26"/>
    <mergeCell ref="AN25:AN26"/>
    <mergeCell ref="AM23:AM24"/>
    <mergeCell ref="AN23:AN24"/>
    <mergeCell ref="AO23:AO24"/>
    <mergeCell ref="AP23:AP24"/>
    <mergeCell ref="AQ23:AQ24"/>
    <mergeCell ref="AR23:AR24"/>
    <mergeCell ref="A23:A36"/>
    <mergeCell ref="B23:B24"/>
    <mergeCell ref="C23:C24"/>
    <mergeCell ref="AJ23:AJ24"/>
    <mergeCell ref="AK23:AK24"/>
    <mergeCell ref="AL23:AL24"/>
    <mergeCell ref="AP21:AP22"/>
    <mergeCell ref="AQ21:AQ22"/>
    <mergeCell ref="AR21:AR22"/>
    <mergeCell ref="AS21:AS22"/>
    <mergeCell ref="AT21:AT22"/>
    <mergeCell ref="AU21:AU22"/>
    <mergeCell ref="AT19:AT20"/>
    <mergeCell ref="AU19:AU20"/>
    <mergeCell ref="B21:B22"/>
    <mergeCell ref="C21:C22"/>
    <mergeCell ref="AJ21:AJ22"/>
    <mergeCell ref="AK21:AK22"/>
    <mergeCell ref="AL21:AL22"/>
    <mergeCell ref="AM21:AM22"/>
    <mergeCell ref="AN21:AN22"/>
    <mergeCell ref="AO21:AO22"/>
    <mergeCell ref="AN19:AN20"/>
    <mergeCell ref="AO19:AO20"/>
    <mergeCell ref="AP19:AP20"/>
    <mergeCell ref="AQ19:AQ20"/>
    <mergeCell ref="AR19:AR20"/>
    <mergeCell ref="AS19:AS20"/>
    <mergeCell ref="B19:B20"/>
    <mergeCell ref="C19:C20"/>
    <mergeCell ref="AJ19:AJ20"/>
    <mergeCell ref="AK19:AK20"/>
    <mergeCell ref="AL19:AL20"/>
    <mergeCell ref="AM19:AM20"/>
    <mergeCell ref="AP17:AP18"/>
    <mergeCell ref="AQ17:AQ18"/>
    <mergeCell ref="AR17:AR18"/>
    <mergeCell ref="AS17:AS18"/>
    <mergeCell ref="AT17:AT18"/>
    <mergeCell ref="AU17:AU18"/>
    <mergeCell ref="AT15:AT16"/>
    <mergeCell ref="AU15:AU16"/>
    <mergeCell ref="B17:B18"/>
    <mergeCell ref="C17:C18"/>
    <mergeCell ref="AJ17:AJ18"/>
    <mergeCell ref="AK17:AK18"/>
    <mergeCell ref="AL17:AL18"/>
    <mergeCell ref="AM17:AM18"/>
    <mergeCell ref="AN17:AN18"/>
    <mergeCell ref="AO17:AO18"/>
    <mergeCell ref="AN15:AN16"/>
    <mergeCell ref="AO15:AO16"/>
    <mergeCell ref="AP15:AP16"/>
    <mergeCell ref="AQ15:AQ16"/>
    <mergeCell ref="AR15:AR16"/>
    <mergeCell ref="AS15:AS16"/>
    <mergeCell ref="B15:B16"/>
    <mergeCell ref="C15:C16"/>
    <mergeCell ref="AJ15:AJ16"/>
    <mergeCell ref="AK15:AK16"/>
    <mergeCell ref="AL15:AL16"/>
    <mergeCell ref="AM15:AM16"/>
    <mergeCell ref="AP13:AP14"/>
    <mergeCell ref="AQ13:AQ14"/>
    <mergeCell ref="AR13:AR14"/>
    <mergeCell ref="AS13:AS14"/>
    <mergeCell ref="AT13:AT14"/>
    <mergeCell ref="AU13:AU14"/>
    <mergeCell ref="AT11:AT12"/>
    <mergeCell ref="AU11:AU12"/>
    <mergeCell ref="B13:B14"/>
    <mergeCell ref="C13:C14"/>
    <mergeCell ref="AJ13:AJ14"/>
    <mergeCell ref="AK13:AK14"/>
    <mergeCell ref="AL13:AL14"/>
    <mergeCell ref="AM13:AM14"/>
    <mergeCell ref="AN13:AN14"/>
    <mergeCell ref="AO13:AO14"/>
    <mergeCell ref="AN11:AN12"/>
    <mergeCell ref="AO11:AO12"/>
    <mergeCell ref="AP11:AP12"/>
    <mergeCell ref="AQ11:AQ12"/>
    <mergeCell ref="AR11:AR12"/>
    <mergeCell ref="AS11:AS12"/>
    <mergeCell ref="AS9:AS10"/>
    <mergeCell ref="AT9:AT10"/>
    <mergeCell ref="AU9:AU10"/>
    <mergeCell ref="A11:A22"/>
    <mergeCell ref="B11:B12"/>
    <mergeCell ref="C11:C12"/>
    <mergeCell ref="AJ11:AJ12"/>
    <mergeCell ref="AK11:AK12"/>
    <mergeCell ref="AL11:AL12"/>
    <mergeCell ref="AM11:AM12"/>
    <mergeCell ref="AM9:AM10"/>
    <mergeCell ref="AN9:AN10"/>
    <mergeCell ref="AO9:AO10"/>
    <mergeCell ref="AP9:AP10"/>
    <mergeCell ref="AQ9:AQ10"/>
    <mergeCell ref="AR9:AR10"/>
    <mergeCell ref="AQ7:AQ8"/>
    <mergeCell ref="AR7:AR8"/>
    <mergeCell ref="AS7:AS8"/>
    <mergeCell ref="AT7:AT8"/>
    <mergeCell ref="AU7:AU8"/>
    <mergeCell ref="B9:B10"/>
    <mergeCell ref="C9:C10"/>
    <mergeCell ref="AJ9:AJ10"/>
    <mergeCell ref="AK9:AK10"/>
    <mergeCell ref="AL9:AL10"/>
    <mergeCell ref="AU5:AU6"/>
    <mergeCell ref="B7:B8"/>
    <mergeCell ref="C7:C8"/>
    <mergeCell ref="AJ7:AJ8"/>
    <mergeCell ref="AK7:AK8"/>
    <mergeCell ref="AL7:AL8"/>
    <mergeCell ref="AM7:AM8"/>
    <mergeCell ref="AN7:AN8"/>
    <mergeCell ref="AO7:AO8"/>
    <mergeCell ref="AP7:AP8"/>
    <mergeCell ref="AO5:AO6"/>
    <mergeCell ref="AP5:AP6"/>
    <mergeCell ref="AQ5:AQ6"/>
    <mergeCell ref="AR5:AR6"/>
    <mergeCell ref="AS5:AS6"/>
    <mergeCell ref="AT5:AT6"/>
    <mergeCell ref="AS3:AT3"/>
    <mergeCell ref="E4:AG4"/>
    <mergeCell ref="A5:A10"/>
    <mergeCell ref="B5:B6"/>
    <mergeCell ref="C5:C6"/>
    <mergeCell ref="AJ5:AJ6"/>
    <mergeCell ref="AK5:AK6"/>
    <mergeCell ref="AL5:AL6"/>
    <mergeCell ref="AM5:AM6"/>
    <mergeCell ref="AN5:AN6"/>
    <mergeCell ref="A1:AQ1"/>
    <mergeCell ref="AM2:AO2"/>
    <mergeCell ref="A3:A4"/>
    <mergeCell ref="B3:B4"/>
    <mergeCell ref="AJ3:AJ4"/>
    <mergeCell ref="AK3:AL3"/>
    <mergeCell ref="AM3:AN3"/>
    <mergeCell ref="AO3:AP3"/>
    <mergeCell ref="AQ3:AR3"/>
  </mergeCells>
  <printOptions horizontalCentered="1"/>
  <pageMargins left="0.19685039370078741" right="0.19685039370078741" top="0.23622047244094491" bottom="0.23622047244094491" header="0" footer="0"/>
  <pageSetup paperSize="9" scale="31" fitToHeight="2" orientation="landscape" horizontalDpi="360" verticalDpi="360" r:id="rId1"/>
  <rowBreaks count="1" manualBreakCount="1">
    <brk id="77" max="46" man="1"/>
  </rowBreaks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HARVESTING INTERVAL-MARCH</vt:lpstr>
      <vt:lpstr>'HARVESTING INTERVAL-MARCH'!Print_Area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CHAN</dc:creator>
  <cp:lastModifiedBy>KEVIN CHAN</cp:lastModifiedBy>
  <dcterms:created xsi:type="dcterms:W3CDTF">2026-03-03T07:35:01Z</dcterms:created>
  <dcterms:modified xsi:type="dcterms:W3CDTF">2026-03-03T07:35:23Z</dcterms:modified>
</cp:coreProperties>
</file>